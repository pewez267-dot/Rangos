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05DB3BC3-05BE-48EB-8EF8-3EAA304B33AD}" xr6:coauthVersionLast="47" xr6:coauthVersionMax="47" xr10:uidLastSave="{00000000-0000-0000-0000-000000000000}"/>
  <bookViews>
    <workbookView xWindow="-108" yWindow="-108" windowWidth="23256" windowHeight="13176" tabRatio="500" firstSheet="2" activeTab="6" xr2:uid="{00000000-000D-0000-FFFF-FFFF00000000}"/>
  </bookViews>
  <sheets>
    <sheet name="Resumen Comparativo" sheetId="8" r:id="rId1"/>
    <sheet name="Sin Financiamiento" sheetId="1" r:id="rId2"/>
    <sheet name="PE$ sin Financiamiento" sheetId="2" r:id="rId3"/>
    <sheet name="PEx sin Financiamiento" sheetId="3" r:id="rId4"/>
    <sheet name="Francés" sheetId="4" r:id="rId5"/>
    <sheet name="Americano" sheetId="5" r:id="rId6"/>
    <sheet name="Italiano" sheetId="6" r:id="rId7"/>
    <sheet name="Alemán" sheetId="7" r:id="rId8"/>
  </sheets>
  <definedNames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SelectiveQR" hidden="1">FALSE()</definedName>
    <definedName name="_AtRisk_SimSetting_ReportsList" hidden="1">0</definedName>
    <definedName name="_AtRisk_SimSetting_ShowSimulationProgressWindow" hidden="1">TRUE()</definedName>
    <definedName name="_AtRisk_SimSetting_SimNameCount" hidden="1">0</definedName>
    <definedName name="_AtRisk_SimSetting_SmartSensitivityAnalysisEnabled" hidden="1">TRUE()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Pal_Workbook_GUID" hidden="1">"VAUUTCYJR48182D8K77728CM"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IsInput" hidden="1">FALSE()</definedName>
    <definedName name="RiskIsOptimization" hidden="1">FALSE()</definedName>
    <definedName name="RiskIsOutput" hidden="1">FALSE()</definedName>
    <definedName name="RiskIsStatistics" hidden="1">FALSE()</definedName>
    <definedName name="RiskMinimizeOnStart" hidden="1">FALSE()</definedName>
    <definedName name="RiskMonitorConvergence" hidden="1">FALSE()</definedName>
    <definedName name="RiskMultipleCPUSupportEnabled" hidden="1">TRUE()</definedName>
    <definedName name="RiskNumIterations" hidden="1">5000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2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TRUE()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9" i="7" l="1"/>
  <c r="E149" i="7" s="1"/>
  <c r="C149" i="7"/>
  <c r="C150" i="7" s="1"/>
  <c r="C148" i="7"/>
  <c r="L139" i="7"/>
  <c r="K139" i="7"/>
  <c r="J139" i="7"/>
  <c r="B137" i="7"/>
  <c r="G136" i="7"/>
  <c r="B136" i="7"/>
  <c r="B135" i="7" s="1"/>
  <c r="L135" i="7"/>
  <c r="K131" i="7"/>
  <c r="J131" i="7"/>
  <c r="I131" i="7"/>
  <c r="H131" i="7"/>
  <c r="G131" i="7"/>
  <c r="F131" i="7"/>
  <c r="E131" i="7"/>
  <c r="D131" i="7"/>
  <c r="C131" i="7"/>
  <c r="H130" i="7"/>
  <c r="D130" i="7"/>
  <c r="H124" i="7"/>
  <c r="D124" i="7"/>
  <c r="C124" i="7"/>
  <c r="C130" i="7" s="1"/>
  <c r="L121" i="7"/>
  <c r="K121" i="7"/>
  <c r="J121" i="7"/>
  <c r="L117" i="7"/>
  <c r="K103" i="7"/>
  <c r="B103" i="7"/>
  <c r="D148" i="7" s="1"/>
  <c r="E148" i="7" s="1"/>
  <c r="E150" i="7" s="1"/>
  <c r="K101" i="7"/>
  <c r="C97" i="7"/>
  <c r="B97" i="7"/>
  <c r="L96" i="7"/>
  <c r="K96" i="7"/>
  <c r="J96" i="7"/>
  <c r="I96" i="7"/>
  <c r="H96" i="7"/>
  <c r="G94" i="7"/>
  <c r="E94" i="7"/>
  <c r="B94" i="7"/>
  <c r="K88" i="7"/>
  <c r="L87" i="7"/>
  <c r="L124" i="7" s="1"/>
  <c r="L130" i="7" s="1"/>
  <c r="K87" i="7"/>
  <c r="K97" i="7" s="1"/>
  <c r="J87" i="7"/>
  <c r="I87" i="7"/>
  <c r="I88" i="7" s="1"/>
  <c r="H87" i="7"/>
  <c r="H88" i="7" s="1"/>
  <c r="G87" i="7"/>
  <c r="F87" i="7"/>
  <c r="E87" i="7"/>
  <c r="D87" i="7"/>
  <c r="D88" i="7" s="1"/>
  <c r="C87" i="7"/>
  <c r="C88" i="7" s="1"/>
  <c r="V83" i="7"/>
  <c r="S82" i="7"/>
  <c r="V82" i="7" s="1"/>
  <c r="G82" i="7"/>
  <c r="E82" i="7"/>
  <c r="B71" i="7"/>
  <c r="S85" i="7" s="1"/>
  <c r="V85" i="7" s="1"/>
  <c r="B70" i="7"/>
  <c r="S84" i="7" s="1"/>
  <c r="V84" i="7" s="1"/>
  <c r="B63" i="7"/>
  <c r="B76" i="7" s="1"/>
  <c r="B138" i="7" s="1"/>
  <c r="L59" i="7"/>
  <c r="K59" i="7"/>
  <c r="J59" i="7"/>
  <c r="I59" i="7"/>
  <c r="H59" i="7"/>
  <c r="G59" i="7"/>
  <c r="F59" i="7"/>
  <c r="E59" i="7"/>
  <c r="D59" i="7"/>
  <c r="C59" i="7"/>
  <c r="C58" i="7"/>
  <c r="C57" i="7" s="1"/>
  <c r="C62" i="7" s="1"/>
  <c r="D52" i="7"/>
  <c r="C52" i="7"/>
  <c r="C53" i="7" s="1"/>
  <c r="D45" i="7"/>
  <c r="C45" i="7"/>
  <c r="C44" i="7"/>
  <c r="F32" i="7"/>
  <c r="E32" i="7"/>
  <c r="E33" i="7" s="1"/>
  <c r="E116" i="7" s="1"/>
  <c r="C32" i="7"/>
  <c r="F31" i="7"/>
  <c r="B24" i="7"/>
  <c r="D17" i="7"/>
  <c r="E17" i="7" s="1"/>
  <c r="F17" i="7" s="1"/>
  <c r="D16" i="7"/>
  <c r="E16" i="7" s="1"/>
  <c r="C14" i="7"/>
  <c r="D14" i="7" s="1"/>
  <c r="E12" i="7"/>
  <c r="F12" i="7" s="1"/>
  <c r="G12" i="7" s="1"/>
  <c r="D12" i="7"/>
  <c r="D32" i="7" s="1"/>
  <c r="D11" i="7"/>
  <c r="E11" i="7" s="1"/>
  <c r="F11" i="7" s="1"/>
  <c r="G11" i="7" s="1"/>
  <c r="H11" i="7" s="1"/>
  <c r="I11" i="7" s="1"/>
  <c r="J11" i="7" s="1"/>
  <c r="K11" i="7" s="1"/>
  <c r="L11" i="7" s="1"/>
  <c r="I10" i="7"/>
  <c r="I31" i="7" s="1"/>
  <c r="G10" i="7"/>
  <c r="G31" i="7" s="1"/>
  <c r="F10" i="7"/>
  <c r="E10" i="7"/>
  <c r="E31" i="7" s="1"/>
  <c r="D10" i="7"/>
  <c r="D31" i="7" s="1"/>
  <c r="C10" i="7"/>
  <c r="L9" i="7"/>
  <c r="L10" i="7" s="1"/>
  <c r="L31" i="7" s="1"/>
  <c r="K9" i="7"/>
  <c r="K10" i="7" s="1"/>
  <c r="K31" i="7" s="1"/>
  <c r="J9" i="7"/>
  <c r="J10" i="7" s="1"/>
  <c r="J31" i="7" s="1"/>
  <c r="I9" i="7"/>
  <c r="H9" i="7"/>
  <c r="H10" i="7" s="1"/>
  <c r="H31" i="7" s="1"/>
  <c r="G9" i="7"/>
  <c r="F9" i="7"/>
  <c r="E9" i="7"/>
  <c r="D9" i="7"/>
  <c r="C9" i="7"/>
  <c r="E150" i="6"/>
  <c r="C150" i="6"/>
  <c r="D149" i="6"/>
  <c r="C149" i="6"/>
  <c r="E149" i="6" s="1"/>
  <c r="C148" i="6"/>
  <c r="L139" i="6"/>
  <c r="L135" i="6" s="1"/>
  <c r="K139" i="6"/>
  <c r="J139" i="6"/>
  <c r="B137" i="6"/>
  <c r="G136" i="6"/>
  <c r="K131" i="6"/>
  <c r="J131" i="6"/>
  <c r="I131" i="6"/>
  <c r="H131" i="6"/>
  <c r="G131" i="6"/>
  <c r="F131" i="6"/>
  <c r="E131" i="6"/>
  <c r="D131" i="6"/>
  <c r="C131" i="6"/>
  <c r="L130" i="6"/>
  <c r="J130" i="6"/>
  <c r="I130" i="6"/>
  <c r="H130" i="6"/>
  <c r="G130" i="6"/>
  <c r="J124" i="6"/>
  <c r="H124" i="6"/>
  <c r="G124" i="6"/>
  <c r="F124" i="6"/>
  <c r="F130" i="6" s="1"/>
  <c r="D124" i="6"/>
  <c r="D130" i="6" s="1"/>
  <c r="L121" i="6"/>
  <c r="K121" i="6"/>
  <c r="J121" i="6"/>
  <c r="L117" i="6"/>
  <c r="B103" i="6"/>
  <c r="D148" i="6" s="1"/>
  <c r="E148" i="6" s="1"/>
  <c r="L97" i="6"/>
  <c r="J97" i="6"/>
  <c r="I97" i="6"/>
  <c r="H97" i="6"/>
  <c r="G97" i="6"/>
  <c r="F97" i="6"/>
  <c r="B97" i="6"/>
  <c r="L96" i="6"/>
  <c r="K96" i="6"/>
  <c r="J96" i="6"/>
  <c r="I96" i="6"/>
  <c r="H96" i="6"/>
  <c r="B95" i="6"/>
  <c r="L94" i="6"/>
  <c r="B94" i="6"/>
  <c r="K88" i="6"/>
  <c r="I88" i="6"/>
  <c r="H88" i="6"/>
  <c r="G88" i="6"/>
  <c r="F88" i="6"/>
  <c r="E88" i="6"/>
  <c r="D88" i="6"/>
  <c r="L87" i="6"/>
  <c r="L124" i="6" s="1"/>
  <c r="K87" i="6"/>
  <c r="K124" i="6" s="1"/>
  <c r="K130" i="6" s="1"/>
  <c r="J87" i="6"/>
  <c r="J88" i="6" s="1"/>
  <c r="I87" i="6"/>
  <c r="I124" i="6" s="1"/>
  <c r="H87" i="6"/>
  <c r="G87" i="6"/>
  <c r="F87" i="6"/>
  <c r="E87" i="6"/>
  <c r="E124" i="6" s="1"/>
  <c r="E130" i="6" s="1"/>
  <c r="D87" i="6"/>
  <c r="D97" i="6" s="1"/>
  <c r="C87" i="6"/>
  <c r="S85" i="6"/>
  <c r="V85" i="6" s="1"/>
  <c r="G84" i="6"/>
  <c r="G96" i="6" s="1"/>
  <c r="V83" i="6"/>
  <c r="V82" i="6"/>
  <c r="S82" i="6"/>
  <c r="L82" i="6"/>
  <c r="K82" i="6"/>
  <c r="K94" i="6" s="1"/>
  <c r="J82" i="6"/>
  <c r="I82" i="6"/>
  <c r="B71" i="6"/>
  <c r="B96" i="6" s="1"/>
  <c r="B70" i="6"/>
  <c r="L59" i="6"/>
  <c r="K59" i="6"/>
  <c r="J59" i="6"/>
  <c r="I59" i="6"/>
  <c r="H59" i="6"/>
  <c r="G59" i="6"/>
  <c r="F59" i="6"/>
  <c r="E59" i="6"/>
  <c r="D59" i="6"/>
  <c r="C59" i="6"/>
  <c r="C53" i="6"/>
  <c r="C58" i="6" s="1"/>
  <c r="C57" i="6" s="1"/>
  <c r="C62" i="6" s="1"/>
  <c r="B63" i="6" s="1"/>
  <c r="B76" i="6" s="1"/>
  <c r="B138" i="6" s="1"/>
  <c r="C52" i="6"/>
  <c r="D52" i="6" s="1"/>
  <c r="D46" i="6"/>
  <c r="D120" i="6" s="1"/>
  <c r="C46" i="6"/>
  <c r="C120" i="6" s="1"/>
  <c r="C45" i="6"/>
  <c r="C44" i="6"/>
  <c r="C39" i="6"/>
  <c r="C119" i="6" s="1"/>
  <c r="C32" i="6"/>
  <c r="J31" i="6"/>
  <c r="I31" i="6"/>
  <c r="H31" i="6"/>
  <c r="B24" i="6"/>
  <c r="E17" i="6"/>
  <c r="E45" i="6" s="1"/>
  <c r="D17" i="6"/>
  <c r="D45" i="6" s="1"/>
  <c r="D16" i="6"/>
  <c r="D44" i="6" s="1"/>
  <c r="D14" i="6"/>
  <c r="C14" i="6"/>
  <c r="C15" i="6" s="1"/>
  <c r="C38" i="6" s="1"/>
  <c r="D12" i="6"/>
  <c r="E12" i="6" s="1"/>
  <c r="F12" i="6" s="1"/>
  <c r="E11" i="6"/>
  <c r="F11" i="6" s="1"/>
  <c r="G11" i="6" s="1"/>
  <c r="H11" i="6" s="1"/>
  <c r="I11" i="6" s="1"/>
  <c r="J11" i="6" s="1"/>
  <c r="K11" i="6" s="1"/>
  <c r="L11" i="6" s="1"/>
  <c r="D11" i="6"/>
  <c r="K10" i="6"/>
  <c r="K31" i="6" s="1"/>
  <c r="C10" i="6"/>
  <c r="C31" i="6" s="1"/>
  <c r="L9" i="6"/>
  <c r="L10" i="6" s="1"/>
  <c r="L31" i="6" s="1"/>
  <c r="K9" i="6"/>
  <c r="J9" i="6"/>
  <c r="J10" i="6" s="1"/>
  <c r="I9" i="6"/>
  <c r="I10" i="6" s="1"/>
  <c r="H9" i="6"/>
  <c r="H10" i="6" s="1"/>
  <c r="G9" i="6"/>
  <c r="G10" i="6" s="1"/>
  <c r="G31" i="6" s="1"/>
  <c r="F9" i="6"/>
  <c r="F10" i="6" s="1"/>
  <c r="F31" i="6" s="1"/>
  <c r="E9" i="6"/>
  <c r="E10" i="6" s="1"/>
  <c r="E31" i="6" s="1"/>
  <c r="D9" i="6"/>
  <c r="D10" i="6" s="1"/>
  <c r="D31" i="6" s="1"/>
  <c r="C9" i="6"/>
  <c r="E149" i="5"/>
  <c r="D149" i="5"/>
  <c r="C149" i="5"/>
  <c r="C150" i="5" s="1"/>
  <c r="D148" i="5"/>
  <c r="E148" i="5" s="1"/>
  <c r="E150" i="5" s="1"/>
  <c r="C148" i="5"/>
  <c r="L139" i="5"/>
  <c r="K139" i="5"/>
  <c r="J139" i="5"/>
  <c r="B137" i="5"/>
  <c r="G136" i="5"/>
  <c r="L135" i="5"/>
  <c r="K131" i="5"/>
  <c r="J131" i="5"/>
  <c r="I131" i="5"/>
  <c r="H131" i="5"/>
  <c r="G131" i="5"/>
  <c r="F131" i="5"/>
  <c r="E131" i="5"/>
  <c r="D131" i="5"/>
  <c r="C131" i="5"/>
  <c r="I130" i="5"/>
  <c r="L124" i="5"/>
  <c r="L130" i="5" s="1"/>
  <c r="K124" i="5"/>
  <c r="K130" i="5" s="1"/>
  <c r="H124" i="5"/>
  <c r="H130" i="5" s="1"/>
  <c r="G124" i="5"/>
  <c r="G130" i="5" s="1"/>
  <c r="F124" i="5"/>
  <c r="F130" i="5" s="1"/>
  <c r="L121" i="5"/>
  <c r="K121" i="5"/>
  <c r="J121" i="5"/>
  <c r="L117" i="5"/>
  <c r="B103" i="5"/>
  <c r="L97" i="5"/>
  <c r="K97" i="5"/>
  <c r="J97" i="5"/>
  <c r="I97" i="5"/>
  <c r="H97" i="5"/>
  <c r="B97" i="5"/>
  <c r="L96" i="5"/>
  <c r="K96" i="5"/>
  <c r="J96" i="5"/>
  <c r="I96" i="5"/>
  <c r="H96" i="5"/>
  <c r="B95" i="5"/>
  <c r="B94" i="5"/>
  <c r="L88" i="5"/>
  <c r="K88" i="5"/>
  <c r="J88" i="5"/>
  <c r="I88" i="5"/>
  <c r="H88" i="5"/>
  <c r="G88" i="5"/>
  <c r="L87" i="5"/>
  <c r="K87" i="5"/>
  <c r="J87" i="5"/>
  <c r="J124" i="5" s="1"/>
  <c r="J130" i="5" s="1"/>
  <c r="I87" i="5"/>
  <c r="I124" i="5" s="1"/>
  <c r="H87" i="5"/>
  <c r="G87" i="5"/>
  <c r="G97" i="5" s="1"/>
  <c r="F87" i="5"/>
  <c r="F88" i="5" s="1"/>
  <c r="E87" i="5"/>
  <c r="E124" i="5" s="1"/>
  <c r="E130" i="5" s="1"/>
  <c r="D87" i="5"/>
  <c r="C87" i="5"/>
  <c r="S84" i="5"/>
  <c r="V83" i="5"/>
  <c r="S82" i="5"/>
  <c r="V82" i="5" s="1"/>
  <c r="B71" i="5"/>
  <c r="B70" i="5"/>
  <c r="L59" i="5"/>
  <c r="K59" i="5"/>
  <c r="J59" i="5"/>
  <c r="I59" i="5"/>
  <c r="H59" i="5"/>
  <c r="G59" i="5"/>
  <c r="F59" i="5"/>
  <c r="E59" i="5"/>
  <c r="D59" i="5"/>
  <c r="C59" i="5"/>
  <c r="C53" i="5"/>
  <c r="C58" i="5" s="1"/>
  <c r="C57" i="5" s="1"/>
  <c r="C52" i="5"/>
  <c r="D52" i="5" s="1"/>
  <c r="E52" i="5" s="1"/>
  <c r="E45" i="5"/>
  <c r="D45" i="5"/>
  <c r="C45" i="5"/>
  <c r="C44" i="5"/>
  <c r="C46" i="5" s="1"/>
  <c r="C120" i="5" s="1"/>
  <c r="C38" i="5"/>
  <c r="C39" i="5" s="1"/>
  <c r="C119" i="5" s="1"/>
  <c r="D32" i="5"/>
  <c r="D33" i="5" s="1"/>
  <c r="D116" i="5" s="1"/>
  <c r="C32" i="5"/>
  <c r="L31" i="5"/>
  <c r="B24" i="5"/>
  <c r="D17" i="5"/>
  <c r="E17" i="5" s="1"/>
  <c r="F17" i="5" s="1"/>
  <c r="E16" i="5"/>
  <c r="D16" i="5"/>
  <c r="D44" i="5" s="1"/>
  <c r="D46" i="5" s="1"/>
  <c r="D120" i="5" s="1"/>
  <c r="C14" i="5"/>
  <c r="C15" i="5" s="1"/>
  <c r="D12" i="5"/>
  <c r="E12" i="5" s="1"/>
  <c r="E11" i="5"/>
  <c r="F11" i="5" s="1"/>
  <c r="G11" i="5" s="1"/>
  <c r="H11" i="5" s="1"/>
  <c r="I11" i="5" s="1"/>
  <c r="J11" i="5" s="1"/>
  <c r="K11" i="5" s="1"/>
  <c r="L11" i="5" s="1"/>
  <c r="D11" i="5"/>
  <c r="F10" i="5"/>
  <c r="F31" i="5" s="1"/>
  <c r="E10" i="5"/>
  <c r="E31" i="5" s="1"/>
  <c r="D10" i="5"/>
  <c r="D31" i="5" s="1"/>
  <c r="C10" i="5"/>
  <c r="C31" i="5" s="1"/>
  <c r="L9" i="5"/>
  <c r="L10" i="5" s="1"/>
  <c r="K9" i="5"/>
  <c r="K10" i="5" s="1"/>
  <c r="K31" i="5" s="1"/>
  <c r="J9" i="5"/>
  <c r="J10" i="5" s="1"/>
  <c r="J31" i="5" s="1"/>
  <c r="I9" i="5"/>
  <c r="I10" i="5" s="1"/>
  <c r="I31" i="5" s="1"/>
  <c r="H9" i="5"/>
  <c r="H10" i="5" s="1"/>
  <c r="H31" i="5" s="1"/>
  <c r="G9" i="5"/>
  <c r="G10" i="5" s="1"/>
  <c r="G31" i="5" s="1"/>
  <c r="F9" i="5"/>
  <c r="E9" i="5"/>
  <c r="D9" i="5"/>
  <c r="C9" i="5"/>
  <c r="D149" i="4"/>
  <c r="C149" i="4"/>
  <c r="C148" i="4"/>
  <c r="L139" i="4"/>
  <c r="K139" i="4"/>
  <c r="J139" i="4"/>
  <c r="B137" i="4"/>
  <c r="G136" i="4"/>
  <c r="B136" i="4"/>
  <c r="K131" i="4"/>
  <c r="J131" i="4"/>
  <c r="I131" i="4"/>
  <c r="H131" i="4"/>
  <c r="G131" i="4"/>
  <c r="F131" i="4"/>
  <c r="E131" i="4"/>
  <c r="D131" i="4"/>
  <c r="C131" i="4"/>
  <c r="E130" i="4"/>
  <c r="D130" i="4"/>
  <c r="C130" i="4"/>
  <c r="E124" i="4"/>
  <c r="D124" i="4"/>
  <c r="C124" i="4"/>
  <c r="L121" i="4"/>
  <c r="K121" i="4"/>
  <c r="J121" i="4"/>
  <c r="L117" i="4"/>
  <c r="B103" i="4"/>
  <c r="H97" i="4"/>
  <c r="G97" i="4"/>
  <c r="F97" i="4"/>
  <c r="E97" i="4"/>
  <c r="D97" i="4"/>
  <c r="C97" i="4"/>
  <c r="B97" i="4"/>
  <c r="L96" i="4"/>
  <c r="K96" i="4"/>
  <c r="J96" i="4"/>
  <c r="I96" i="4"/>
  <c r="H96" i="4"/>
  <c r="K94" i="4"/>
  <c r="B94" i="4"/>
  <c r="G88" i="4"/>
  <c r="F88" i="4"/>
  <c r="E88" i="4"/>
  <c r="D88" i="4"/>
  <c r="C88" i="4"/>
  <c r="L87" i="4"/>
  <c r="K87" i="4"/>
  <c r="J87" i="4"/>
  <c r="I87" i="4"/>
  <c r="I124" i="4" s="1"/>
  <c r="I130" i="4" s="1"/>
  <c r="H87" i="4"/>
  <c r="H124" i="4" s="1"/>
  <c r="H130" i="4" s="1"/>
  <c r="G87" i="4"/>
  <c r="G124" i="4" s="1"/>
  <c r="G130" i="4" s="1"/>
  <c r="F87" i="4"/>
  <c r="F124" i="4" s="1"/>
  <c r="F130" i="4" s="1"/>
  <c r="E87" i="4"/>
  <c r="D87" i="4"/>
  <c r="C87" i="4"/>
  <c r="S85" i="4"/>
  <c r="V85" i="4" s="1"/>
  <c r="D84" i="4"/>
  <c r="D96" i="4" s="1"/>
  <c r="V83" i="4"/>
  <c r="S82" i="4"/>
  <c r="V82" i="4" s="1"/>
  <c r="K82" i="4"/>
  <c r="J82" i="4"/>
  <c r="J94" i="4" s="1"/>
  <c r="I82" i="4"/>
  <c r="I94" i="4" s="1"/>
  <c r="H82" i="4"/>
  <c r="H94" i="4" s="1"/>
  <c r="G82" i="4"/>
  <c r="G94" i="4" s="1"/>
  <c r="F82" i="4"/>
  <c r="E82" i="4"/>
  <c r="B71" i="4"/>
  <c r="B96" i="4" s="1"/>
  <c r="B70" i="4"/>
  <c r="L59" i="4"/>
  <c r="K59" i="4"/>
  <c r="J59" i="4"/>
  <c r="I59" i="4"/>
  <c r="H59" i="4"/>
  <c r="G59" i="4"/>
  <c r="F59" i="4"/>
  <c r="E59" i="4"/>
  <c r="D59" i="4"/>
  <c r="C59" i="4"/>
  <c r="D57" i="4"/>
  <c r="D62" i="4" s="1"/>
  <c r="C57" i="4"/>
  <c r="F52" i="4"/>
  <c r="F53" i="4" s="1"/>
  <c r="F58" i="4" s="1"/>
  <c r="F57" i="4" s="1"/>
  <c r="F62" i="4" s="1"/>
  <c r="E63" i="4" s="1"/>
  <c r="E76" i="4" s="1"/>
  <c r="E52" i="4"/>
  <c r="E53" i="4" s="1"/>
  <c r="E58" i="4" s="1"/>
  <c r="E57" i="4" s="1"/>
  <c r="E62" i="4" s="1"/>
  <c r="D63" i="4" s="1"/>
  <c r="D76" i="4" s="1"/>
  <c r="D138" i="4" s="1"/>
  <c r="D52" i="4"/>
  <c r="D53" i="4" s="1"/>
  <c r="D58" i="4" s="1"/>
  <c r="C52" i="4"/>
  <c r="C53" i="4" s="1"/>
  <c r="C58" i="4" s="1"/>
  <c r="D46" i="4"/>
  <c r="D120" i="4" s="1"/>
  <c r="C46" i="4"/>
  <c r="C120" i="4" s="1"/>
  <c r="C45" i="4"/>
  <c r="C44" i="4"/>
  <c r="D33" i="4"/>
  <c r="D116" i="4" s="1"/>
  <c r="D32" i="4"/>
  <c r="C32" i="4"/>
  <c r="C33" i="4" s="1"/>
  <c r="C116" i="4" s="1"/>
  <c r="K31" i="4"/>
  <c r="J31" i="4"/>
  <c r="H31" i="4"/>
  <c r="D31" i="4"/>
  <c r="C31" i="4"/>
  <c r="B24" i="4"/>
  <c r="E17" i="4"/>
  <c r="E45" i="4" s="1"/>
  <c r="D17" i="4"/>
  <c r="D45" i="4" s="1"/>
  <c r="D16" i="4"/>
  <c r="D44" i="4" s="1"/>
  <c r="C14" i="4"/>
  <c r="C15" i="4" s="1"/>
  <c r="C38" i="4" s="1"/>
  <c r="C39" i="4" s="1"/>
  <c r="C119" i="4" s="1"/>
  <c r="E12" i="4"/>
  <c r="F12" i="4" s="1"/>
  <c r="D12" i="4"/>
  <c r="E11" i="4"/>
  <c r="F11" i="4" s="1"/>
  <c r="G11" i="4" s="1"/>
  <c r="H11" i="4" s="1"/>
  <c r="I11" i="4" s="1"/>
  <c r="J11" i="4" s="1"/>
  <c r="K11" i="4" s="1"/>
  <c r="L11" i="4" s="1"/>
  <c r="D11" i="4"/>
  <c r="L10" i="4"/>
  <c r="L31" i="4" s="1"/>
  <c r="K10" i="4"/>
  <c r="D10" i="4"/>
  <c r="C10" i="4"/>
  <c r="L9" i="4"/>
  <c r="K9" i="4"/>
  <c r="J9" i="4"/>
  <c r="J10" i="4" s="1"/>
  <c r="I9" i="4"/>
  <c r="I10" i="4" s="1"/>
  <c r="I31" i="4" s="1"/>
  <c r="H9" i="4"/>
  <c r="H10" i="4" s="1"/>
  <c r="G9" i="4"/>
  <c r="G10" i="4" s="1"/>
  <c r="G31" i="4" s="1"/>
  <c r="F9" i="4"/>
  <c r="F10" i="4" s="1"/>
  <c r="F31" i="4" s="1"/>
  <c r="E9" i="4"/>
  <c r="E10" i="4" s="1"/>
  <c r="E31" i="4" s="1"/>
  <c r="D9" i="4"/>
  <c r="C9" i="4"/>
  <c r="C150" i="3"/>
  <c r="E149" i="3"/>
  <c r="E150" i="3" s="1"/>
  <c r="D149" i="3"/>
  <c r="L139" i="3"/>
  <c r="L135" i="3" s="1"/>
  <c r="K139" i="3"/>
  <c r="J139" i="3"/>
  <c r="B137" i="3"/>
  <c r="G136" i="3"/>
  <c r="K131" i="3"/>
  <c r="J131" i="3"/>
  <c r="I131" i="3"/>
  <c r="H131" i="3"/>
  <c r="G131" i="3"/>
  <c r="F131" i="3"/>
  <c r="E131" i="3"/>
  <c r="D131" i="3"/>
  <c r="C131" i="3"/>
  <c r="L130" i="3"/>
  <c r="K124" i="3"/>
  <c r="K130" i="3" s="1"/>
  <c r="J124" i="3"/>
  <c r="J130" i="3" s="1"/>
  <c r="I124" i="3"/>
  <c r="I130" i="3" s="1"/>
  <c r="H124" i="3"/>
  <c r="H130" i="3" s="1"/>
  <c r="L121" i="3"/>
  <c r="K121" i="3"/>
  <c r="J121" i="3"/>
  <c r="L117" i="3"/>
  <c r="B103" i="3"/>
  <c r="L97" i="3"/>
  <c r="J97" i="3"/>
  <c r="I97" i="3"/>
  <c r="H97" i="3"/>
  <c r="G97" i="3"/>
  <c r="F97" i="3"/>
  <c r="B97" i="3"/>
  <c r="L96" i="3"/>
  <c r="K96" i="3"/>
  <c r="J96" i="3"/>
  <c r="I96" i="3"/>
  <c r="H96" i="3"/>
  <c r="L94" i="3"/>
  <c r="J94" i="3"/>
  <c r="B94" i="3"/>
  <c r="L88" i="3"/>
  <c r="K88" i="3"/>
  <c r="J88" i="3"/>
  <c r="I88" i="3"/>
  <c r="H88" i="3"/>
  <c r="G88" i="3"/>
  <c r="F88" i="3"/>
  <c r="L87" i="3"/>
  <c r="L124" i="3" s="1"/>
  <c r="K87" i="3"/>
  <c r="K97" i="3" s="1"/>
  <c r="J87" i="3"/>
  <c r="I87" i="3"/>
  <c r="H87" i="3"/>
  <c r="G87" i="3"/>
  <c r="G124" i="3" s="1"/>
  <c r="G130" i="3" s="1"/>
  <c r="F87" i="3"/>
  <c r="F124" i="3" s="1"/>
  <c r="F130" i="3" s="1"/>
  <c r="E87" i="3"/>
  <c r="D87" i="3"/>
  <c r="D88" i="3" s="1"/>
  <c r="C87" i="3"/>
  <c r="C88" i="3" s="1"/>
  <c r="V83" i="3"/>
  <c r="S82" i="3"/>
  <c r="V82" i="3" s="1"/>
  <c r="L82" i="3"/>
  <c r="J82" i="3"/>
  <c r="B71" i="3"/>
  <c r="S85" i="3" s="1"/>
  <c r="V85" i="3" s="1"/>
  <c r="B70" i="3"/>
  <c r="L59" i="3"/>
  <c r="K59" i="3"/>
  <c r="J59" i="3"/>
  <c r="I59" i="3"/>
  <c r="H59" i="3"/>
  <c r="G59" i="3"/>
  <c r="F59" i="3"/>
  <c r="E59" i="3"/>
  <c r="D59" i="3"/>
  <c r="C59" i="3"/>
  <c r="E57" i="3"/>
  <c r="E62" i="3" s="1"/>
  <c r="D63" i="3" s="1"/>
  <c r="D76" i="3" s="1"/>
  <c r="D138" i="3" s="1"/>
  <c r="E53" i="3"/>
  <c r="E58" i="3" s="1"/>
  <c r="D53" i="3"/>
  <c r="D58" i="3" s="1"/>
  <c r="D57" i="3" s="1"/>
  <c r="D62" i="3" s="1"/>
  <c r="C53" i="3"/>
  <c r="C58" i="3" s="1"/>
  <c r="C57" i="3" s="1"/>
  <c r="C62" i="3" s="1"/>
  <c r="B63" i="3" s="1"/>
  <c r="B76" i="3" s="1"/>
  <c r="B138" i="3" s="1"/>
  <c r="E52" i="3"/>
  <c r="F52" i="3" s="1"/>
  <c r="D52" i="3"/>
  <c r="C52" i="3"/>
  <c r="C46" i="3"/>
  <c r="C120" i="3" s="1"/>
  <c r="C45" i="3"/>
  <c r="D44" i="3"/>
  <c r="C44" i="3"/>
  <c r="E33" i="3"/>
  <c r="E116" i="3" s="1"/>
  <c r="E32" i="3"/>
  <c r="C32" i="3"/>
  <c r="C33" i="3" s="1"/>
  <c r="C116" i="3" s="1"/>
  <c r="I31" i="3"/>
  <c r="J31" i="3" s="1"/>
  <c r="K31" i="3" s="1"/>
  <c r="L31" i="3" s="1"/>
  <c r="E31" i="3"/>
  <c r="F31" i="3" s="1"/>
  <c r="G31" i="3" s="1"/>
  <c r="H31" i="3" s="1"/>
  <c r="D31" i="3"/>
  <c r="B24" i="3"/>
  <c r="E17" i="3"/>
  <c r="E45" i="3" s="1"/>
  <c r="D17" i="3"/>
  <c r="D45" i="3" s="1"/>
  <c r="D46" i="3" s="1"/>
  <c r="D120" i="3" s="1"/>
  <c r="D16" i="3"/>
  <c r="E16" i="3" s="1"/>
  <c r="C14" i="3"/>
  <c r="C15" i="3" s="1"/>
  <c r="C38" i="3" s="1"/>
  <c r="C39" i="3" s="1"/>
  <c r="C119" i="3" s="1"/>
  <c r="E12" i="3"/>
  <c r="F12" i="3" s="1"/>
  <c r="D12" i="3"/>
  <c r="D32" i="3" s="1"/>
  <c r="D33" i="3" s="1"/>
  <c r="D116" i="3" s="1"/>
  <c r="E11" i="3"/>
  <c r="F11" i="3" s="1"/>
  <c r="G11" i="3" s="1"/>
  <c r="H11" i="3" s="1"/>
  <c r="I11" i="3" s="1"/>
  <c r="J11" i="3" s="1"/>
  <c r="K11" i="3" s="1"/>
  <c r="L11" i="3" s="1"/>
  <c r="D11" i="3"/>
  <c r="L10" i="3"/>
  <c r="L9" i="3"/>
  <c r="K9" i="3"/>
  <c r="K10" i="3" s="1"/>
  <c r="J9" i="3"/>
  <c r="J10" i="3" s="1"/>
  <c r="I9" i="3"/>
  <c r="I10" i="3" s="1"/>
  <c r="H9" i="3"/>
  <c r="H10" i="3" s="1"/>
  <c r="G9" i="3"/>
  <c r="G10" i="3" s="1"/>
  <c r="F9" i="3"/>
  <c r="F10" i="3" s="1"/>
  <c r="E9" i="3"/>
  <c r="E10" i="3" s="1"/>
  <c r="D9" i="3"/>
  <c r="D10" i="3" s="1"/>
  <c r="C9" i="3"/>
  <c r="C10" i="3" s="1"/>
  <c r="C150" i="2"/>
  <c r="D149" i="2"/>
  <c r="E149" i="2" s="1"/>
  <c r="E150" i="2" s="1"/>
  <c r="L139" i="2"/>
  <c r="L135" i="2" s="1"/>
  <c r="K139" i="2"/>
  <c r="J139" i="2"/>
  <c r="B137" i="2"/>
  <c r="G136" i="2"/>
  <c r="K131" i="2"/>
  <c r="J131" i="2"/>
  <c r="I131" i="2"/>
  <c r="H131" i="2"/>
  <c r="G131" i="2"/>
  <c r="F131" i="2"/>
  <c r="E131" i="2"/>
  <c r="D131" i="2"/>
  <c r="C131" i="2"/>
  <c r="C124" i="2"/>
  <c r="C130" i="2" s="1"/>
  <c r="L121" i="2"/>
  <c r="K121" i="2"/>
  <c r="J121" i="2"/>
  <c r="D120" i="2"/>
  <c r="L117" i="2"/>
  <c r="B103" i="2"/>
  <c r="F97" i="2"/>
  <c r="C97" i="2"/>
  <c r="B97" i="2"/>
  <c r="L96" i="2"/>
  <c r="K96" i="2"/>
  <c r="J96" i="2"/>
  <c r="I96" i="2"/>
  <c r="H96" i="2"/>
  <c r="B96" i="2"/>
  <c r="E94" i="2"/>
  <c r="D94" i="2"/>
  <c r="C94" i="2"/>
  <c r="B94" i="2"/>
  <c r="F88" i="2"/>
  <c r="E88" i="2"/>
  <c r="D88" i="2"/>
  <c r="C88" i="2"/>
  <c r="L87" i="2"/>
  <c r="L88" i="2" s="1"/>
  <c r="K87" i="2"/>
  <c r="K88" i="2" s="1"/>
  <c r="J87" i="2"/>
  <c r="I87" i="2"/>
  <c r="H87" i="2"/>
  <c r="G87" i="2"/>
  <c r="F87" i="2"/>
  <c r="F124" i="2" s="1"/>
  <c r="F130" i="2" s="1"/>
  <c r="E87" i="2"/>
  <c r="D87" i="2"/>
  <c r="D97" i="2" s="1"/>
  <c r="C87" i="2"/>
  <c r="S85" i="2"/>
  <c r="V85" i="2" s="1"/>
  <c r="V83" i="2"/>
  <c r="S82" i="2"/>
  <c r="V82" i="2" s="1"/>
  <c r="E82" i="2"/>
  <c r="D82" i="2"/>
  <c r="C82" i="2"/>
  <c r="B71" i="2"/>
  <c r="B70" i="2"/>
  <c r="B136" i="2" s="1"/>
  <c r="L59" i="2"/>
  <c r="K59" i="2"/>
  <c r="J59" i="2"/>
  <c r="I59" i="2"/>
  <c r="H59" i="2"/>
  <c r="G59" i="2"/>
  <c r="F59" i="2"/>
  <c r="E59" i="2"/>
  <c r="D59" i="2"/>
  <c r="C59" i="2"/>
  <c r="C58" i="2"/>
  <c r="C57" i="2" s="1"/>
  <c r="C62" i="2" s="1"/>
  <c r="B63" i="2" s="1"/>
  <c r="B76" i="2" s="1"/>
  <c r="D52" i="2"/>
  <c r="C52" i="2"/>
  <c r="C53" i="2" s="1"/>
  <c r="H45" i="2"/>
  <c r="G45" i="2"/>
  <c r="F45" i="2"/>
  <c r="E45" i="2"/>
  <c r="C45" i="2"/>
  <c r="D44" i="2"/>
  <c r="C44" i="2"/>
  <c r="C46" i="2" s="1"/>
  <c r="C120" i="2" s="1"/>
  <c r="C32" i="2"/>
  <c r="C31" i="2"/>
  <c r="C33" i="2" s="1"/>
  <c r="C116" i="2" s="1"/>
  <c r="B24" i="2"/>
  <c r="E17" i="2"/>
  <c r="F17" i="2" s="1"/>
  <c r="G17" i="2" s="1"/>
  <c r="H17" i="2" s="1"/>
  <c r="I17" i="2" s="1"/>
  <c r="I45" i="2" s="1"/>
  <c r="D17" i="2"/>
  <c r="D45" i="2" s="1"/>
  <c r="D46" i="2" s="1"/>
  <c r="E16" i="2"/>
  <c r="E44" i="2" s="1"/>
  <c r="D16" i="2"/>
  <c r="C14" i="2"/>
  <c r="D14" i="2" s="1"/>
  <c r="E12" i="2"/>
  <c r="F12" i="2" s="1"/>
  <c r="D12" i="2"/>
  <c r="D32" i="2" s="1"/>
  <c r="D11" i="2"/>
  <c r="E11" i="2" s="1"/>
  <c r="F11" i="2" s="1"/>
  <c r="G11" i="2" s="1"/>
  <c r="H11" i="2" s="1"/>
  <c r="I11" i="2" s="1"/>
  <c r="J11" i="2" s="1"/>
  <c r="K11" i="2" s="1"/>
  <c r="L11" i="2" s="1"/>
  <c r="K10" i="2"/>
  <c r="K31" i="2" s="1"/>
  <c r="J10" i="2"/>
  <c r="J31" i="2" s="1"/>
  <c r="H10" i="2"/>
  <c r="H31" i="2" s="1"/>
  <c r="G10" i="2"/>
  <c r="G31" i="2" s="1"/>
  <c r="F10" i="2"/>
  <c r="F31" i="2" s="1"/>
  <c r="E10" i="2"/>
  <c r="E31" i="2" s="1"/>
  <c r="D10" i="2"/>
  <c r="D31" i="2" s="1"/>
  <c r="L9" i="2"/>
  <c r="L10" i="2" s="1"/>
  <c r="L31" i="2" s="1"/>
  <c r="K9" i="2"/>
  <c r="J9" i="2"/>
  <c r="I9" i="2"/>
  <c r="I10" i="2" s="1"/>
  <c r="I31" i="2" s="1"/>
  <c r="H9" i="2"/>
  <c r="G9" i="2"/>
  <c r="F9" i="2"/>
  <c r="E9" i="2"/>
  <c r="D9" i="2"/>
  <c r="C9" i="2"/>
  <c r="C10" i="2" s="1"/>
  <c r="C150" i="1"/>
  <c r="D149" i="1"/>
  <c r="E149" i="1" s="1"/>
  <c r="E150" i="1" s="1"/>
  <c r="D5" i="8" s="1"/>
  <c r="L139" i="1"/>
  <c r="K139" i="1"/>
  <c r="J139" i="1"/>
  <c r="B137" i="1"/>
  <c r="G136" i="1"/>
  <c r="B136" i="1"/>
  <c r="L135" i="1"/>
  <c r="K131" i="1"/>
  <c r="J131" i="1"/>
  <c r="I131" i="1"/>
  <c r="H131" i="1"/>
  <c r="G131" i="1"/>
  <c r="F131" i="1"/>
  <c r="E131" i="1"/>
  <c r="D131" i="1"/>
  <c r="C131" i="1"/>
  <c r="G130" i="1"/>
  <c r="E130" i="1"/>
  <c r="G124" i="1"/>
  <c r="E124" i="1"/>
  <c r="D124" i="1"/>
  <c r="D130" i="1" s="1"/>
  <c r="C124" i="1"/>
  <c r="C130" i="1" s="1"/>
  <c r="L121" i="1"/>
  <c r="K121" i="1"/>
  <c r="J121" i="1"/>
  <c r="L117" i="1"/>
  <c r="B103" i="1"/>
  <c r="E97" i="1"/>
  <c r="B97" i="1"/>
  <c r="L96" i="1"/>
  <c r="K96" i="1"/>
  <c r="J96" i="1"/>
  <c r="I96" i="1"/>
  <c r="H96" i="1"/>
  <c r="B95" i="1"/>
  <c r="D94" i="1"/>
  <c r="B94" i="1"/>
  <c r="L88" i="1"/>
  <c r="G88" i="1"/>
  <c r="E88" i="1"/>
  <c r="D88" i="1"/>
  <c r="L87" i="1"/>
  <c r="L97" i="1" s="1"/>
  <c r="K87" i="1"/>
  <c r="J87" i="1"/>
  <c r="I87" i="1"/>
  <c r="H87" i="1"/>
  <c r="G87" i="1"/>
  <c r="G97" i="1" s="1"/>
  <c r="F87" i="1"/>
  <c r="E87" i="1"/>
  <c r="D87" i="1"/>
  <c r="D97" i="1" s="1"/>
  <c r="C87" i="1"/>
  <c r="C88" i="1" s="1"/>
  <c r="V83" i="1"/>
  <c r="V82" i="1"/>
  <c r="L82" i="1" s="1"/>
  <c r="S82" i="1"/>
  <c r="S86" i="1" s="1"/>
  <c r="I82" i="1"/>
  <c r="I94" i="1" s="1"/>
  <c r="F82" i="1"/>
  <c r="F94" i="1" s="1"/>
  <c r="E82" i="1"/>
  <c r="E94" i="1" s="1"/>
  <c r="D82" i="1"/>
  <c r="C82" i="1"/>
  <c r="B71" i="1"/>
  <c r="S85" i="1" s="1"/>
  <c r="V85" i="1" s="1"/>
  <c r="B70" i="1"/>
  <c r="S84" i="1" s="1"/>
  <c r="V84" i="1" s="1"/>
  <c r="J83" i="1" s="1"/>
  <c r="J95" i="1" s="1"/>
  <c r="C62" i="1"/>
  <c r="B63" i="1" s="1"/>
  <c r="B76" i="1" s="1"/>
  <c r="B138" i="1" s="1"/>
  <c r="L59" i="1"/>
  <c r="K59" i="1"/>
  <c r="J59" i="1"/>
  <c r="I59" i="1"/>
  <c r="H59" i="1"/>
  <c r="G59" i="1"/>
  <c r="F59" i="1"/>
  <c r="E59" i="1"/>
  <c r="D59" i="1"/>
  <c r="C59" i="1"/>
  <c r="D58" i="1"/>
  <c r="D57" i="1" s="1"/>
  <c r="D62" i="1" s="1"/>
  <c r="D52" i="1"/>
  <c r="D53" i="1" s="1"/>
  <c r="C52" i="1"/>
  <c r="C53" i="1" s="1"/>
  <c r="C58" i="1" s="1"/>
  <c r="C57" i="1" s="1"/>
  <c r="D45" i="1"/>
  <c r="C45" i="1"/>
  <c r="C44" i="1"/>
  <c r="C46" i="1" s="1"/>
  <c r="C120" i="1" s="1"/>
  <c r="C32" i="1"/>
  <c r="E31" i="1"/>
  <c r="D31" i="1"/>
  <c r="C31" i="1"/>
  <c r="B24" i="1"/>
  <c r="D17" i="1"/>
  <c r="E17" i="1" s="1"/>
  <c r="D16" i="1"/>
  <c r="D14" i="1"/>
  <c r="E14" i="1" s="1"/>
  <c r="C14" i="1"/>
  <c r="E12" i="1"/>
  <c r="E32" i="1" s="1"/>
  <c r="E33" i="1" s="1"/>
  <c r="E116" i="1" s="1"/>
  <c r="D12" i="1"/>
  <c r="D32" i="1" s="1"/>
  <c r="E11" i="1"/>
  <c r="F11" i="1" s="1"/>
  <c r="G11" i="1" s="1"/>
  <c r="H11" i="1" s="1"/>
  <c r="I11" i="1" s="1"/>
  <c r="J11" i="1" s="1"/>
  <c r="K11" i="1" s="1"/>
  <c r="L11" i="1" s="1"/>
  <c r="D11" i="1"/>
  <c r="L10" i="1"/>
  <c r="L31" i="1" s="1"/>
  <c r="K10" i="1"/>
  <c r="K31" i="1" s="1"/>
  <c r="I10" i="1"/>
  <c r="I31" i="1" s="1"/>
  <c r="H10" i="1"/>
  <c r="H31" i="1" s="1"/>
  <c r="G10" i="1"/>
  <c r="G31" i="1" s="1"/>
  <c r="F10" i="1"/>
  <c r="F31" i="1" s="1"/>
  <c r="E10" i="1"/>
  <c r="C10" i="1"/>
  <c r="C15" i="1" s="1"/>
  <c r="C38" i="1" s="1"/>
  <c r="C39" i="1" s="1"/>
  <c r="C119" i="1" s="1"/>
  <c r="L9" i="1"/>
  <c r="K9" i="1"/>
  <c r="J9" i="1"/>
  <c r="J10" i="1" s="1"/>
  <c r="J31" i="1" s="1"/>
  <c r="I9" i="1"/>
  <c r="H9" i="1"/>
  <c r="G9" i="1"/>
  <c r="F9" i="1"/>
  <c r="E9" i="1"/>
  <c r="D9" i="1"/>
  <c r="D10" i="1" s="1"/>
  <c r="C9" i="1"/>
  <c r="I88" i="2" l="1"/>
  <c r="I124" i="2"/>
  <c r="I130" i="2" s="1"/>
  <c r="I97" i="2"/>
  <c r="E97" i="3"/>
  <c r="E124" i="3"/>
  <c r="E130" i="3" s="1"/>
  <c r="E88" i="3"/>
  <c r="V84" i="5"/>
  <c r="S86" i="5"/>
  <c r="F12" i="1"/>
  <c r="E14" i="2"/>
  <c r="D15" i="2"/>
  <c r="D38" i="2" s="1"/>
  <c r="D39" i="2" s="1"/>
  <c r="D119" i="2" s="1"/>
  <c r="J88" i="2"/>
  <c r="J124" i="2"/>
  <c r="J130" i="2" s="1"/>
  <c r="J97" i="2"/>
  <c r="C94" i="1"/>
  <c r="B138" i="2"/>
  <c r="B77" i="2"/>
  <c r="G12" i="4"/>
  <c r="F32" i="4"/>
  <c r="F33" i="4" s="1"/>
  <c r="F116" i="4" s="1"/>
  <c r="E83" i="2"/>
  <c r="F32" i="2"/>
  <c r="F33" i="2" s="1"/>
  <c r="F116" i="2" s="1"/>
  <c r="G12" i="2"/>
  <c r="C33" i="1"/>
  <c r="C116" i="1" s="1"/>
  <c r="C63" i="1"/>
  <c r="C76" i="1" s="1"/>
  <c r="E32" i="2"/>
  <c r="E33" i="2" s="1"/>
  <c r="E116" i="2" s="1"/>
  <c r="F14" i="1"/>
  <c r="E15" i="1"/>
  <c r="E38" i="1" s="1"/>
  <c r="E39" i="1" s="1"/>
  <c r="E119" i="1" s="1"/>
  <c r="G84" i="3"/>
  <c r="G96" i="3" s="1"/>
  <c r="D84" i="3"/>
  <c r="D96" i="3" s="1"/>
  <c r="F84" i="3"/>
  <c r="F96" i="3" s="1"/>
  <c r="E84" i="3"/>
  <c r="E96" i="3" s="1"/>
  <c r="C84" i="3"/>
  <c r="C96" i="3" s="1"/>
  <c r="E83" i="1"/>
  <c r="H88" i="1"/>
  <c r="H97" i="1"/>
  <c r="H124" i="1"/>
  <c r="H130" i="1" s="1"/>
  <c r="E46" i="2"/>
  <c r="E120" i="2" s="1"/>
  <c r="G84" i="2"/>
  <c r="G96" i="2" s="1"/>
  <c r="F84" i="2"/>
  <c r="F96" i="2" s="1"/>
  <c r="E84" i="2"/>
  <c r="E96" i="2" s="1"/>
  <c r="D84" i="2"/>
  <c r="D96" i="2" s="1"/>
  <c r="C84" i="2"/>
  <c r="C96" i="2" s="1"/>
  <c r="M96" i="2" s="1"/>
  <c r="F88" i="1"/>
  <c r="F97" i="1"/>
  <c r="F124" i="1"/>
  <c r="F130" i="1" s="1"/>
  <c r="E16" i="1"/>
  <c r="D44" i="1"/>
  <c r="D46" i="1" s="1"/>
  <c r="D120" i="1" s="1"/>
  <c r="G83" i="1"/>
  <c r="G95" i="1" s="1"/>
  <c r="I88" i="1"/>
  <c r="I97" i="1"/>
  <c r="I124" i="1"/>
  <c r="I130" i="1" s="1"/>
  <c r="F16" i="2"/>
  <c r="E94" i="4"/>
  <c r="L94" i="1"/>
  <c r="H83" i="1"/>
  <c r="H95" i="1" s="1"/>
  <c r="F94" i="4"/>
  <c r="G84" i="1"/>
  <c r="G96" i="1" s="1"/>
  <c r="F84" i="1"/>
  <c r="F96" i="1" s="1"/>
  <c r="E84" i="1"/>
  <c r="E96" i="1" s="1"/>
  <c r="D84" i="1"/>
  <c r="D96" i="1" s="1"/>
  <c r="C84" i="1"/>
  <c r="C96" i="1" s="1"/>
  <c r="I83" i="1"/>
  <c r="I95" i="1" s="1"/>
  <c r="K88" i="1"/>
  <c r="K97" i="1"/>
  <c r="K124" i="1"/>
  <c r="K130" i="1" s="1"/>
  <c r="C85" i="2"/>
  <c r="C123" i="2" s="1"/>
  <c r="D7" i="8"/>
  <c r="J88" i="1"/>
  <c r="J97" i="1"/>
  <c r="J124" i="1"/>
  <c r="J130" i="1" s="1"/>
  <c r="F83" i="1"/>
  <c r="D53" i="2"/>
  <c r="D58" i="2" s="1"/>
  <c r="D57" i="2" s="1"/>
  <c r="D62" i="2" s="1"/>
  <c r="C63" i="2" s="1"/>
  <c r="C76" i="2" s="1"/>
  <c r="E52" i="2"/>
  <c r="G124" i="2"/>
  <c r="G130" i="2" s="1"/>
  <c r="G88" i="2"/>
  <c r="G97" i="2"/>
  <c r="D33" i="1"/>
  <c r="D116" i="1" s="1"/>
  <c r="E45" i="1"/>
  <c r="F17" i="1"/>
  <c r="E52" i="1"/>
  <c r="B135" i="1"/>
  <c r="D33" i="2"/>
  <c r="D116" i="2" s="1"/>
  <c r="J17" i="2"/>
  <c r="L82" i="2"/>
  <c r="K82" i="2"/>
  <c r="J82" i="2"/>
  <c r="I82" i="2"/>
  <c r="H82" i="2"/>
  <c r="G82" i="2"/>
  <c r="F82" i="2"/>
  <c r="H88" i="2"/>
  <c r="H124" i="2"/>
  <c r="H130" i="2" s="1"/>
  <c r="H97" i="2"/>
  <c r="G82" i="1"/>
  <c r="K83" i="1"/>
  <c r="K95" i="1" s="1"/>
  <c r="I85" i="1"/>
  <c r="I123" i="1" s="1"/>
  <c r="C97" i="1"/>
  <c r="M97" i="1" s="1"/>
  <c r="J83" i="2"/>
  <c r="J95" i="2" s="1"/>
  <c r="C63" i="3"/>
  <c r="C76" i="3" s="1"/>
  <c r="I82" i="3"/>
  <c r="H82" i="3"/>
  <c r="G82" i="3"/>
  <c r="F82" i="3"/>
  <c r="E82" i="3"/>
  <c r="D82" i="3"/>
  <c r="C82" i="3"/>
  <c r="K82" i="3"/>
  <c r="D15" i="1"/>
  <c r="D38" i="1" s="1"/>
  <c r="D39" i="1" s="1"/>
  <c r="D119" i="1" s="1"/>
  <c r="B77" i="1"/>
  <c r="H82" i="1"/>
  <c r="L83" i="1"/>
  <c r="L95" i="1" s="1"/>
  <c r="C15" i="2"/>
  <c r="C38" i="2" s="1"/>
  <c r="C39" i="2" s="1"/>
  <c r="C119" i="2" s="1"/>
  <c r="K83" i="2"/>
  <c r="K95" i="2" s="1"/>
  <c r="B96" i="3"/>
  <c r="C150" i="4"/>
  <c r="E149" i="4"/>
  <c r="L124" i="4"/>
  <c r="L130" i="4" s="1"/>
  <c r="L88" i="4"/>
  <c r="L97" i="4"/>
  <c r="J82" i="1"/>
  <c r="B96" i="1"/>
  <c r="K82" i="1"/>
  <c r="D124" i="2"/>
  <c r="D130" i="2" s="1"/>
  <c r="B135" i="2"/>
  <c r="K97" i="2"/>
  <c r="M97" i="2" s="1"/>
  <c r="E138" i="4"/>
  <c r="E77" i="4"/>
  <c r="L97" i="2"/>
  <c r="E44" i="3"/>
  <c r="E46" i="3" s="1"/>
  <c r="E120" i="3" s="1"/>
  <c r="F16" i="3"/>
  <c r="B77" i="3"/>
  <c r="L124" i="1"/>
  <c r="L130" i="1" s="1"/>
  <c r="S86" i="2"/>
  <c r="S85" i="5"/>
  <c r="V85" i="5" s="1"/>
  <c r="B96" i="5"/>
  <c r="C83" i="1"/>
  <c r="C95" i="1" s="1"/>
  <c r="B95" i="2"/>
  <c r="K124" i="2"/>
  <c r="K130" i="2" s="1"/>
  <c r="C33" i="7"/>
  <c r="C116" i="7" s="1"/>
  <c r="D83" i="1"/>
  <c r="D95" i="1" s="1"/>
  <c r="C83" i="2"/>
  <c r="C95" i="2" s="1"/>
  <c r="S84" i="2"/>
  <c r="V84" i="2" s="1"/>
  <c r="L124" i="2"/>
  <c r="L130" i="2" s="1"/>
  <c r="C62" i="4"/>
  <c r="B63" i="4" s="1"/>
  <c r="B76" i="4" s="1"/>
  <c r="B138" i="4" s="1"/>
  <c r="K82" i="5"/>
  <c r="J82" i="5"/>
  <c r="I82" i="5"/>
  <c r="H82" i="5"/>
  <c r="G82" i="5"/>
  <c r="F82" i="5"/>
  <c r="E82" i="5"/>
  <c r="D82" i="5"/>
  <c r="C82" i="5"/>
  <c r="L82" i="5"/>
  <c r="D83" i="2"/>
  <c r="E97" i="2"/>
  <c r="E124" i="2"/>
  <c r="E130" i="2" s="1"/>
  <c r="G12" i="3"/>
  <c r="F32" i="3"/>
  <c r="F33" i="3" s="1"/>
  <c r="F116" i="3" s="1"/>
  <c r="F17" i="3"/>
  <c r="D77" i="3"/>
  <c r="F17" i="4"/>
  <c r="C63" i="4"/>
  <c r="C76" i="4" s="1"/>
  <c r="F45" i="5"/>
  <c r="G17" i="5"/>
  <c r="G52" i="3"/>
  <c r="F53" i="3"/>
  <c r="F58" i="3" s="1"/>
  <c r="F57" i="3" s="1"/>
  <c r="F62" i="3" s="1"/>
  <c r="E63" i="3" s="1"/>
  <c r="E76" i="3" s="1"/>
  <c r="D77" i="4"/>
  <c r="C33" i="5"/>
  <c r="C116" i="5" s="1"/>
  <c r="D8" i="8"/>
  <c r="B95" i="3"/>
  <c r="D9" i="8"/>
  <c r="D14" i="3"/>
  <c r="S84" i="3"/>
  <c r="V84" i="3" s="1"/>
  <c r="L83" i="3" s="1"/>
  <c r="D14" i="4"/>
  <c r="C124" i="5"/>
  <c r="C130" i="5" s="1"/>
  <c r="C88" i="5"/>
  <c r="C97" i="5"/>
  <c r="M97" i="5" s="1"/>
  <c r="H12" i="7"/>
  <c r="G32" i="7"/>
  <c r="G33" i="7" s="1"/>
  <c r="G116" i="7" s="1"/>
  <c r="G84" i="4"/>
  <c r="G96" i="4" s="1"/>
  <c r="F84" i="4"/>
  <c r="F96" i="4" s="1"/>
  <c r="M96" i="4" s="1"/>
  <c r="E84" i="4"/>
  <c r="E96" i="4" s="1"/>
  <c r="D124" i="5"/>
  <c r="D130" i="5" s="1"/>
  <c r="D88" i="5"/>
  <c r="D97" i="5"/>
  <c r="E32" i="4"/>
  <c r="E33" i="4" s="1"/>
  <c r="E116" i="4" s="1"/>
  <c r="E44" i="5"/>
  <c r="E46" i="5" s="1"/>
  <c r="E120" i="5" s="1"/>
  <c r="F16" i="5"/>
  <c r="F84" i="6"/>
  <c r="F96" i="6" s="1"/>
  <c r="E84" i="6"/>
  <c r="E96" i="6" s="1"/>
  <c r="D84" i="6"/>
  <c r="D96" i="6" s="1"/>
  <c r="C84" i="6"/>
  <c r="C96" i="6" s="1"/>
  <c r="M96" i="6" s="1"/>
  <c r="E16" i="4"/>
  <c r="S84" i="4"/>
  <c r="V84" i="4" s="1"/>
  <c r="B95" i="4"/>
  <c r="D82" i="4"/>
  <c r="C82" i="4"/>
  <c r="L82" i="4"/>
  <c r="B136" i="3"/>
  <c r="B135" i="3" s="1"/>
  <c r="F52" i="5"/>
  <c r="E53" i="5"/>
  <c r="E58" i="5" s="1"/>
  <c r="E57" i="5" s="1"/>
  <c r="E62" i="5" s="1"/>
  <c r="C124" i="3"/>
  <c r="C130" i="3" s="1"/>
  <c r="E44" i="7"/>
  <c r="E46" i="7" s="1"/>
  <c r="E120" i="7" s="1"/>
  <c r="F16" i="7"/>
  <c r="D124" i="3"/>
  <c r="D130" i="3" s="1"/>
  <c r="B135" i="4"/>
  <c r="F12" i="5"/>
  <c r="E32" i="5"/>
  <c r="E33" i="5" s="1"/>
  <c r="E116" i="5" s="1"/>
  <c r="C83" i="7"/>
  <c r="C95" i="7" s="1"/>
  <c r="H83" i="7"/>
  <c r="H95" i="7" s="1"/>
  <c r="G83" i="7"/>
  <c r="K83" i="7"/>
  <c r="K95" i="7" s="1"/>
  <c r="I83" i="7"/>
  <c r="I95" i="7" s="1"/>
  <c r="F83" i="7"/>
  <c r="F95" i="7" s="1"/>
  <c r="E83" i="7"/>
  <c r="E95" i="7" s="1"/>
  <c r="D83" i="7"/>
  <c r="D95" i="7" s="1"/>
  <c r="C97" i="3"/>
  <c r="M97" i="3" s="1"/>
  <c r="C62" i="5"/>
  <c r="B63" i="5" s="1"/>
  <c r="B76" i="5" s="1"/>
  <c r="B138" i="5" s="1"/>
  <c r="C31" i="7"/>
  <c r="C15" i="7"/>
  <c r="C38" i="7" s="1"/>
  <c r="C39" i="7" s="1"/>
  <c r="C119" i="7" s="1"/>
  <c r="D97" i="3"/>
  <c r="G52" i="4"/>
  <c r="B77" i="4"/>
  <c r="J124" i="4"/>
  <c r="J130" i="4" s="1"/>
  <c r="J88" i="4"/>
  <c r="J97" i="4"/>
  <c r="M97" i="4" s="1"/>
  <c r="D53" i="5"/>
  <c r="D58" i="5" s="1"/>
  <c r="D57" i="5" s="1"/>
  <c r="D62" i="5" s="1"/>
  <c r="D15" i="6"/>
  <c r="D38" i="6" s="1"/>
  <c r="D39" i="6" s="1"/>
  <c r="D119" i="6" s="1"/>
  <c r="E14" i="6"/>
  <c r="C84" i="4"/>
  <c r="C96" i="4" s="1"/>
  <c r="K124" i="4"/>
  <c r="K130" i="4" s="1"/>
  <c r="K88" i="4"/>
  <c r="K97" i="4"/>
  <c r="D14" i="5"/>
  <c r="F33" i="7"/>
  <c r="F116" i="7" s="1"/>
  <c r="C46" i="7"/>
  <c r="C120" i="7" s="1"/>
  <c r="D44" i="7"/>
  <c r="D46" i="7" s="1"/>
  <c r="D120" i="7" s="1"/>
  <c r="E88" i="7"/>
  <c r="E97" i="7"/>
  <c r="E124" i="7"/>
  <c r="E130" i="7" s="1"/>
  <c r="E52" i="6"/>
  <c r="D53" i="6"/>
  <c r="D58" i="6" s="1"/>
  <c r="D57" i="6" s="1"/>
  <c r="D62" i="6" s="1"/>
  <c r="C63" i="6" s="1"/>
  <c r="C76" i="6" s="1"/>
  <c r="C88" i="6"/>
  <c r="C97" i="6"/>
  <c r="F88" i="7"/>
  <c r="F97" i="7"/>
  <c r="C33" i="6"/>
  <c r="C116" i="6" s="1"/>
  <c r="L82" i="7"/>
  <c r="K82" i="7"/>
  <c r="J82" i="7"/>
  <c r="I82" i="7"/>
  <c r="H82" i="7"/>
  <c r="F82" i="7"/>
  <c r="D82" i="7"/>
  <c r="C82" i="7"/>
  <c r="G88" i="7"/>
  <c r="G97" i="7"/>
  <c r="G124" i="7"/>
  <c r="G130" i="7" s="1"/>
  <c r="H88" i="4"/>
  <c r="I97" i="4"/>
  <c r="E32" i="6"/>
  <c r="E33" i="6" s="1"/>
  <c r="E116" i="6" s="1"/>
  <c r="I94" i="6"/>
  <c r="C124" i="6"/>
  <c r="C130" i="6" s="1"/>
  <c r="E45" i="7"/>
  <c r="I88" i="4"/>
  <c r="S86" i="6"/>
  <c r="J94" i="6"/>
  <c r="E97" i="6"/>
  <c r="M97" i="6" s="1"/>
  <c r="G12" i="6"/>
  <c r="F32" i="6"/>
  <c r="F33" i="6" s="1"/>
  <c r="F116" i="6" s="1"/>
  <c r="H82" i="6"/>
  <c r="G82" i="6"/>
  <c r="F82" i="6"/>
  <c r="E82" i="6"/>
  <c r="D82" i="6"/>
  <c r="C82" i="6"/>
  <c r="J88" i="7"/>
  <c r="J97" i="7"/>
  <c r="J124" i="7"/>
  <c r="J130" i="7" s="1"/>
  <c r="B136" i="6"/>
  <c r="B135" i="6" s="1"/>
  <c r="B77" i="6"/>
  <c r="S84" i="6"/>
  <c r="V84" i="6" s="1"/>
  <c r="L83" i="6" s="1"/>
  <c r="D33" i="7"/>
  <c r="D116" i="7" s="1"/>
  <c r="G17" i="7"/>
  <c r="F45" i="7"/>
  <c r="G84" i="7"/>
  <c r="G96" i="7" s="1"/>
  <c r="F84" i="7"/>
  <c r="F96" i="7" s="1"/>
  <c r="E84" i="7"/>
  <c r="E96" i="7" s="1"/>
  <c r="D84" i="7"/>
  <c r="D96" i="7" s="1"/>
  <c r="C84" i="7"/>
  <c r="C96" i="7" s="1"/>
  <c r="F124" i="7"/>
  <c r="F130" i="7" s="1"/>
  <c r="D148" i="4"/>
  <c r="E148" i="4" s="1"/>
  <c r="E150" i="4" s="1"/>
  <c r="E97" i="5"/>
  <c r="F17" i="6"/>
  <c r="L83" i="7"/>
  <c r="L95" i="7" s="1"/>
  <c r="E88" i="5"/>
  <c r="F97" i="5"/>
  <c r="E14" i="7"/>
  <c r="D15" i="7"/>
  <c r="D38" i="7" s="1"/>
  <c r="D39" i="7" s="1"/>
  <c r="D119" i="7" s="1"/>
  <c r="L88" i="7"/>
  <c r="B136" i="5"/>
  <c r="D53" i="7"/>
  <c r="D58" i="7" s="1"/>
  <c r="D57" i="7" s="1"/>
  <c r="D62" i="7" s="1"/>
  <c r="C63" i="7" s="1"/>
  <c r="C76" i="7" s="1"/>
  <c r="E52" i="7"/>
  <c r="L97" i="7"/>
  <c r="D32" i="6"/>
  <c r="D33" i="6" s="1"/>
  <c r="D116" i="6" s="1"/>
  <c r="K97" i="6"/>
  <c r="J83" i="7"/>
  <c r="J95" i="7" s="1"/>
  <c r="L88" i="6"/>
  <c r="B77" i="7"/>
  <c r="D97" i="7"/>
  <c r="I124" i="7"/>
  <c r="I130" i="7" s="1"/>
  <c r="E16" i="6"/>
  <c r="B96" i="7"/>
  <c r="K124" i="7"/>
  <c r="K130" i="7" s="1"/>
  <c r="H97" i="7"/>
  <c r="S86" i="7"/>
  <c r="I97" i="7"/>
  <c r="B95" i="7"/>
  <c r="L95" i="3" l="1"/>
  <c r="L85" i="3"/>
  <c r="L123" i="3" s="1"/>
  <c r="L95" i="6"/>
  <c r="L85" i="6"/>
  <c r="L123" i="6" s="1"/>
  <c r="D6" i="8"/>
  <c r="D10" i="8" s="1"/>
  <c r="B6" i="8"/>
  <c r="B102" i="4"/>
  <c r="L83" i="4"/>
  <c r="L95" i="4" s="1"/>
  <c r="K83" i="4"/>
  <c r="J83" i="4"/>
  <c r="I83" i="4"/>
  <c r="D95" i="2"/>
  <c r="D85" i="2"/>
  <c r="D123" i="2" s="1"/>
  <c r="E94" i="3"/>
  <c r="H94" i="2"/>
  <c r="E53" i="2"/>
  <c r="E58" i="2" s="1"/>
  <c r="E57" i="2" s="1"/>
  <c r="E62" i="2" s="1"/>
  <c r="D63" i="2" s="1"/>
  <c r="D76" i="2" s="1"/>
  <c r="F52" i="2"/>
  <c r="C77" i="1"/>
  <c r="C138" i="1"/>
  <c r="H17" i="7"/>
  <c r="G45" i="7"/>
  <c r="H94" i="6"/>
  <c r="H85" i="6"/>
  <c r="H123" i="6" s="1"/>
  <c r="C77" i="6"/>
  <c r="C138" i="6"/>
  <c r="G53" i="4"/>
  <c r="G58" i="4" s="1"/>
  <c r="G57" i="4" s="1"/>
  <c r="G62" i="4" s="1"/>
  <c r="F63" i="4" s="1"/>
  <c r="F76" i="4" s="1"/>
  <c r="H52" i="4"/>
  <c r="E44" i="4"/>
  <c r="E46" i="4" s="1"/>
  <c r="E120" i="4" s="1"/>
  <c r="F16" i="4"/>
  <c r="L85" i="5"/>
  <c r="L123" i="5" s="1"/>
  <c r="L94" i="5"/>
  <c r="F94" i="3"/>
  <c r="I94" i="2"/>
  <c r="C138" i="2"/>
  <c r="C77" i="2"/>
  <c r="E15" i="2"/>
  <c r="E38" i="2" s="1"/>
  <c r="E39" i="2" s="1"/>
  <c r="E119" i="2" s="1"/>
  <c r="F14" i="2"/>
  <c r="G94" i="3"/>
  <c r="C94" i="7"/>
  <c r="C85" i="7"/>
  <c r="C123" i="7" s="1"/>
  <c r="I12" i="7"/>
  <c r="H32" i="7"/>
  <c r="H33" i="7" s="1"/>
  <c r="H116" i="7" s="1"/>
  <c r="E77" i="3"/>
  <c r="E138" i="3"/>
  <c r="D94" i="5"/>
  <c r="H94" i="3"/>
  <c r="K94" i="2"/>
  <c r="K85" i="2"/>
  <c r="K123" i="2" s="1"/>
  <c r="E95" i="1"/>
  <c r="E85" i="1"/>
  <c r="E123" i="1" s="1"/>
  <c r="H52" i="3"/>
  <c r="G53" i="3"/>
  <c r="G58" i="3" s="1"/>
  <c r="G57" i="3" s="1"/>
  <c r="G62" i="3" s="1"/>
  <c r="F63" i="3" s="1"/>
  <c r="F76" i="3" s="1"/>
  <c r="E94" i="5"/>
  <c r="I94" i="3"/>
  <c r="I85" i="3"/>
  <c r="I123" i="3" s="1"/>
  <c r="L94" i="2"/>
  <c r="L85" i="2"/>
  <c r="L123" i="2" s="1"/>
  <c r="E95" i="2"/>
  <c r="E85" i="2"/>
  <c r="E123" i="2" s="1"/>
  <c r="L83" i="5"/>
  <c r="L95" i="5" s="1"/>
  <c r="K83" i="5"/>
  <c r="K95" i="5" s="1"/>
  <c r="J83" i="5"/>
  <c r="J95" i="5" s="1"/>
  <c r="I83" i="5"/>
  <c r="I95" i="5" s="1"/>
  <c r="H83" i="5"/>
  <c r="H95" i="5" s="1"/>
  <c r="G83" i="5"/>
  <c r="G95" i="5" s="1"/>
  <c r="F83" i="5"/>
  <c r="F95" i="5" s="1"/>
  <c r="E83" i="5"/>
  <c r="E95" i="5" s="1"/>
  <c r="D83" i="5"/>
  <c r="D95" i="5" s="1"/>
  <c r="C83" i="5"/>
  <c r="C95" i="5" s="1"/>
  <c r="M95" i="5" s="1"/>
  <c r="H12" i="6"/>
  <c r="G32" i="6"/>
  <c r="G33" i="6" s="1"/>
  <c r="G116" i="6" s="1"/>
  <c r="F94" i="7"/>
  <c r="F85" i="7"/>
  <c r="F123" i="7" s="1"/>
  <c r="D83" i="6"/>
  <c r="D95" i="6" s="1"/>
  <c r="M96" i="3"/>
  <c r="C77" i="3"/>
  <c r="C138" i="3"/>
  <c r="K17" i="2"/>
  <c r="J45" i="2"/>
  <c r="E44" i="1"/>
  <c r="E46" i="1" s="1"/>
  <c r="E120" i="1" s="1"/>
  <c r="F16" i="1"/>
  <c r="E53" i="7"/>
  <c r="E58" i="7" s="1"/>
  <c r="E57" i="7" s="1"/>
  <c r="E62" i="7" s="1"/>
  <c r="D63" i="7" s="1"/>
  <c r="D76" i="7" s="1"/>
  <c r="F52" i="7"/>
  <c r="D94" i="7"/>
  <c r="D85" i="7"/>
  <c r="D123" i="7" s="1"/>
  <c r="C77" i="7"/>
  <c r="C138" i="7"/>
  <c r="B102" i="6"/>
  <c r="B8" i="8"/>
  <c r="C63" i="5"/>
  <c r="C76" i="5" s="1"/>
  <c r="G94" i="5"/>
  <c r="E85" i="7"/>
  <c r="E123" i="7" s="1"/>
  <c r="D15" i="4"/>
  <c r="D38" i="4" s="1"/>
  <c r="D39" i="4" s="1"/>
  <c r="D119" i="4" s="1"/>
  <c r="E14" i="4"/>
  <c r="H94" i="5"/>
  <c r="B77" i="5"/>
  <c r="H12" i="2"/>
  <c r="G32" i="2"/>
  <c r="G33" i="2" s="1"/>
  <c r="G116" i="2" s="1"/>
  <c r="F44" i="7"/>
  <c r="F46" i="7" s="1"/>
  <c r="F120" i="7" s="1"/>
  <c r="G16" i="7"/>
  <c r="F94" i="5"/>
  <c r="C83" i="6"/>
  <c r="C95" i="6" s="1"/>
  <c r="I94" i="7"/>
  <c r="I85" i="7"/>
  <c r="I123" i="7" s="1"/>
  <c r="D63" i="5"/>
  <c r="D76" i="5" s="1"/>
  <c r="F44" i="5"/>
  <c r="F46" i="5" s="1"/>
  <c r="F120" i="5" s="1"/>
  <c r="G16" i="5"/>
  <c r="K83" i="3"/>
  <c r="K95" i="3" s="1"/>
  <c r="J83" i="3"/>
  <c r="I83" i="3"/>
  <c r="I95" i="3" s="1"/>
  <c r="H83" i="3"/>
  <c r="H95" i="3" s="1"/>
  <c r="G83" i="3"/>
  <c r="G95" i="3" s="1"/>
  <c r="F83" i="3"/>
  <c r="F95" i="3" s="1"/>
  <c r="E83" i="3"/>
  <c r="E95" i="3" s="1"/>
  <c r="C83" i="3"/>
  <c r="C95" i="3" s="1"/>
  <c r="D83" i="3"/>
  <c r="D95" i="3" s="1"/>
  <c r="C138" i="4"/>
  <c r="C77" i="4"/>
  <c r="I94" i="5"/>
  <c r="I85" i="5"/>
  <c r="I123" i="5" s="1"/>
  <c r="K85" i="1"/>
  <c r="K123" i="1" s="1"/>
  <c r="K94" i="1"/>
  <c r="I129" i="1"/>
  <c r="I128" i="1" s="1"/>
  <c r="I122" i="1"/>
  <c r="E53" i="1"/>
  <c r="E58" i="1" s="1"/>
  <c r="E57" i="1" s="1"/>
  <c r="E62" i="1" s="1"/>
  <c r="D63" i="1" s="1"/>
  <c r="D76" i="1" s="1"/>
  <c r="F52" i="1"/>
  <c r="H12" i="4"/>
  <c r="G32" i="4"/>
  <c r="G33" i="4" s="1"/>
  <c r="G116" i="4" s="1"/>
  <c r="F52" i="6"/>
  <c r="E53" i="6"/>
  <c r="E58" i="6" s="1"/>
  <c r="E57" i="6" s="1"/>
  <c r="E62" i="6" s="1"/>
  <c r="D63" i="6" s="1"/>
  <c r="D76" i="6" s="1"/>
  <c r="J94" i="2"/>
  <c r="J85" i="2"/>
  <c r="J123" i="2" s="1"/>
  <c r="G45" i="5"/>
  <c r="H17" i="5"/>
  <c r="E83" i="6"/>
  <c r="E95" i="6" s="1"/>
  <c r="J94" i="7"/>
  <c r="J85" i="7"/>
  <c r="J123" i="7" s="1"/>
  <c r="M96" i="7"/>
  <c r="E15" i="7"/>
  <c r="E38" i="7" s="1"/>
  <c r="E39" i="7" s="1"/>
  <c r="E119" i="7" s="1"/>
  <c r="F14" i="7"/>
  <c r="F83" i="6"/>
  <c r="F95" i="6" s="1"/>
  <c r="K94" i="7"/>
  <c r="K85" i="7"/>
  <c r="K123" i="7" s="1"/>
  <c r="G52" i="5"/>
  <c r="F53" i="5"/>
  <c r="F58" i="5" s="1"/>
  <c r="F57" i="5" s="1"/>
  <c r="F62" i="5" s="1"/>
  <c r="E63" i="5" s="1"/>
  <c r="E76" i="5" s="1"/>
  <c r="D15" i="3"/>
  <c r="D38" i="3" s="1"/>
  <c r="D39" i="3" s="1"/>
  <c r="D119" i="3" s="1"/>
  <c r="E14" i="3"/>
  <c r="F45" i="4"/>
  <c r="G17" i="4"/>
  <c r="J94" i="5"/>
  <c r="J85" i="5"/>
  <c r="J123" i="5" s="1"/>
  <c r="D84" i="5"/>
  <c r="D96" i="5" s="1"/>
  <c r="C84" i="5"/>
  <c r="C96" i="5" s="1"/>
  <c r="E84" i="5"/>
  <c r="E96" i="5" s="1"/>
  <c r="G84" i="5"/>
  <c r="G96" i="5" s="1"/>
  <c r="F84" i="5"/>
  <c r="F96" i="5" s="1"/>
  <c r="M96" i="5" s="1"/>
  <c r="H94" i="1"/>
  <c r="H85" i="1"/>
  <c r="H123" i="1" s="1"/>
  <c r="G17" i="1"/>
  <c r="F45" i="1"/>
  <c r="L85" i="1"/>
  <c r="L123" i="1" s="1"/>
  <c r="B102" i="2"/>
  <c r="B149" i="2"/>
  <c r="B148" i="2"/>
  <c r="B150" i="2" s="1"/>
  <c r="G12" i="5"/>
  <c r="F32" i="5"/>
  <c r="F33" i="5" s="1"/>
  <c r="F116" i="5" s="1"/>
  <c r="F95" i="1"/>
  <c r="F85" i="1"/>
  <c r="F123" i="1" s="1"/>
  <c r="F14" i="6"/>
  <c r="E15" i="6"/>
  <c r="E38" i="6" s="1"/>
  <c r="E39" i="6" s="1"/>
  <c r="E119" i="6" s="1"/>
  <c r="G94" i="1"/>
  <c r="M94" i="1" s="1"/>
  <c r="M98" i="1" s="1"/>
  <c r="L132" i="1" s="1"/>
  <c r="G85" i="1"/>
  <c r="G123" i="1" s="1"/>
  <c r="F45" i="3"/>
  <c r="G17" i="3"/>
  <c r="M96" i="1"/>
  <c r="G12" i="1"/>
  <c r="F32" i="1"/>
  <c r="F33" i="1" s="1"/>
  <c r="F116" i="1" s="1"/>
  <c r="B135" i="5"/>
  <c r="J94" i="1"/>
  <c r="J85" i="1"/>
  <c r="J123" i="1" s="1"/>
  <c r="F15" i="1"/>
  <c r="F38" i="1" s="1"/>
  <c r="F39" i="1" s="1"/>
  <c r="F119" i="1" s="1"/>
  <c r="G14" i="1"/>
  <c r="D85" i="1"/>
  <c r="D123" i="1" s="1"/>
  <c r="G83" i="6"/>
  <c r="G95" i="6" s="1"/>
  <c r="L94" i="7"/>
  <c r="L85" i="7"/>
  <c r="L123" i="7" s="1"/>
  <c r="K94" i="5"/>
  <c r="K85" i="5"/>
  <c r="K123" i="5" s="1"/>
  <c r="C94" i="6"/>
  <c r="C85" i="6"/>
  <c r="C123" i="6" s="1"/>
  <c r="M97" i="7"/>
  <c r="D94" i="6"/>
  <c r="D85" i="6"/>
  <c r="D123" i="6" s="1"/>
  <c r="E83" i="4"/>
  <c r="L94" i="4"/>
  <c r="L85" i="4"/>
  <c r="L123" i="4" s="1"/>
  <c r="B102" i="3"/>
  <c r="B149" i="3"/>
  <c r="B148" i="3"/>
  <c r="B150" i="3" s="1"/>
  <c r="B9" i="8"/>
  <c r="B102" i="7"/>
  <c r="F45" i="6"/>
  <c r="G17" i="6"/>
  <c r="J83" i="6"/>
  <c r="E94" i="6"/>
  <c r="E85" i="6"/>
  <c r="E123" i="6" s="1"/>
  <c r="D15" i="5"/>
  <c r="D38" i="5" s="1"/>
  <c r="D39" i="5" s="1"/>
  <c r="D119" i="5" s="1"/>
  <c r="E14" i="5"/>
  <c r="F83" i="4"/>
  <c r="G95" i="7"/>
  <c r="M95" i="7" s="1"/>
  <c r="G85" i="7"/>
  <c r="G123" i="7" s="1"/>
  <c r="C94" i="4"/>
  <c r="M94" i="4" s="1"/>
  <c r="H12" i="3"/>
  <c r="G32" i="3"/>
  <c r="G33" i="3" s="1"/>
  <c r="G116" i="3" s="1"/>
  <c r="S86" i="3"/>
  <c r="F44" i="3"/>
  <c r="G16" i="3"/>
  <c r="K85" i="3"/>
  <c r="K123" i="3" s="1"/>
  <c r="K94" i="3"/>
  <c r="H94" i="7"/>
  <c r="H85" i="7"/>
  <c r="H123" i="7" s="1"/>
  <c r="F94" i="6"/>
  <c r="F85" i="6"/>
  <c r="F123" i="6" s="1"/>
  <c r="D94" i="4"/>
  <c r="F94" i="2"/>
  <c r="M94" i="2" s="1"/>
  <c r="C85" i="1"/>
  <c r="C123" i="1" s="1"/>
  <c r="C94" i="5"/>
  <c r="M95" i="1"/>
  <c r="E44" i="6"/>
  <c r="E46" i="6" s="1"/>
  <c r="E120" i="6" s="1"/>
  <c r="F16" i="6"/>
  <c r="C83" i="4"/>
  <c r="C95" i="4" s="1"/>
  <c r="B5" i="8"/>
  <c r="B149" i="1"/>
  <c r="B148" i="1"/>
  <c r="B102" i="1"/>
  <c r="C129" i="2"/>
  <c r="C128" i="2" s="1"/>
  <c r="C122" i="2"/>
  <c r="H83" i="6"/>
  <c r="H95" i="6" s="1"/>
  <c r="D83" i="4"/>
  <c r="D95" i="4" s="1"/>
  <c r="I83" i="6"/>
  <c r="K83" i="6"/>
  <c r="G83" i="4"/>
  <c r="C94" i="3"/>
  <c r="M94" i="3" s="1"/>
  <c r="G94" i="6"/>
  <c r="S86" i="4"/>
  <c r="H83" i="4"/>
  <c r="L83" i="2"/>
  <c r="L95" i="2" s="1"/>
  <c r="H83" i="2"/>
  <c r="H95" i="2" s="1"/>
  <c r="I83" i="2"/>
  <c r="I95" i="2" s="1"/>
  <c r="G83" i="2"/>
  <c r="G95" i="2" s="1"/>
  <c r="F83" i="2"/>
  <c r="F95" i="2" s="1"/>
  <c r="M95" i="2" s="1"/>
  <c r="D94" i="3"/>
  <c r="D85" i="3"/>
  <c r="D123" i="3" s="1"/>
  <c r="G94" i="2"/>
  <c r="F44" i="2"/>
  <c r="F46" i="2" s="1"/>
  <c r="F120" i="2" s="1"/>
  <c r="G16" i="2"/>
  <c r="E129" i="2" l="1"/>
  <c r="E128" i="2" s="1"/>
  <c r="E122" i="2"/>
  <c r="D85" i="4"/>
  <c r="D123" i="4" s="1"/>
  <c r="G129" i="7"/>
  <c r="G128" i="7" s="1"/>
  <c r="G122" i="7"/>
  <c r="G129" i="1"/>
  <c r="G128" i="1" s="1"/>
  <c r="G122" i="1"/>
  <c r="G52" i="6"/>
  <c r="F53" i="6"/>
  <c r="F58" i="6" s="1"/>
  <c r="F57" i="6" s="1"/>
  <c r="F62" i="6" s="1"/>
  <c r="E63" i="6" s="1"/>
  <c r="E76" i="6" s="1"/>
  <c r="B108" i="6"/>
  <c r="I111" i="6"/>
  <c r="I139" i="6" s="1"/>
  <c r="C8" i="8"/>
  <c r="G111" i="6"/>
  <c r="G139" i="6" s="1"/>
  <c r="E111" i="6"/>
  <c r="E139" i="6" s="1"/>
  <c r="B148" i="6"/>
  <c r="H111" i="6"/>
  <c r="H139" i="6" s="1"/>
  <c r="F111" i="6"/>
  <c r="F139" i="6" s="1"/>
  <c r="D111" i="6"/>
  <c r="D139" i="6" s="1"/>
  <c r="C111" i="6"/>
  <c r="C139" i="6" s="1"/>
  <c r="B134" i="6"/>
  <c r="B131" i="6" s="1"/>
  <c r="B140" i="6" s="1"/>
  <c r="D85" i="5"/>
  <c r="D123" i="5" s="1"/>
  <c r="I85" i="2"/>
  <c r="I123" i="2" s="1"/>
  <c r="I95" i="4"/>
  <c r="I85" i="4"/>
  <c r="I123" i="4" s="1"/>
  <c r="M98" i="2"/>
  <c r="L132" i="2" s="1"/>
  <c r="F95" i="4"/>
  <c r="F85" i="4"/>
  <c r="F123" i="4" s="1"/>
  <c r="K95" i="4"/>
  <c r="K85" i="4"/>
  <c r="K123" i="4" s="1"/>
  <c r="H14" i="1"/>
  <c r="G15" i="1"/>
  <c r="G38" i="1" s="1"/>
  <c r="G39" i="1" s="1"/>
  <c r="G119" i="1" s="1"/>
  <c r="G52" i="1"/>
  <c r="F53" i="1"/>
  <c r="F58" i="1" s="1"/>
  <c r="F57" i="1" s="1"/>
  <c r="F62" i="1" s="1"/>
  <c r="E63" i="1" s="1"/>
  <c r="E76" i="1" s="1"/>
  <c r="I12" i="2"/>
  <c r="H32" i="2"/>
  <c r="H33" i="2" s="1"/>
  <c r="H116" i="2" s="1"/>
  <c r="I122" i="3"/>
  <c r="I129" i="3"/>
  <c r="I128" i="3" s="1"/>
  <c r="H122" i="6"/>
  <c r="H129" i="6"/>
  <c r="H128" i="6" s="1"/>
  <c r="F122" i="6"/>
  <c r="F129" i="6"/>
  <c r="F128" i="6" s="1"/>
  <c r="C5" i="8"/>
  <c r="B134" i="1"/>
  <c r="B131" i="1" s="1"/>
  <c r="B140" i="1" s="1"/>
  <c r="B108" i="1"/>
  <c r="E15" i="5"/>
  <c r="E38" i="5" s="1"/>
  <c r="E39" i="5" s="1"/>
  <c r="E119" i="5" s="1"/>
  <c r="F14" i="5"/>
  <c r="E95" i="4"/>
  <c r="M95" i="4" s="1"/>
  <c r="M98" i="4" s="1"/>
  <c r="L132" i="4" s="1"/>
  <c r="E85" i="4"/>
  <c r="E123" i="4" s="1"/>
  <c r="B150" i="1"/>
  <c r="H129" i="7"/>
  <c r="H128" i="7" s="1"/>
  <c r="H122" i="7"/>
  <c r="G14" i="6"/>
  <c r="F15" i="6"/>
  <c r="F38" i="6" s="1"/>
  <c r="F39" i="6" s="1"/>
  <c r="F119" i="6" s="1"/>
  <c r="J129" i="7"/>
  <c r="J128" i="7" s="1"/>
  <c r="J122" i="7"/>
  <c r="D77" i="1"/>
  <c r="D138" i="1"/>
  <c r="D122" i="7"/>
  <c r="D129" i="7"/>
  <c r="D128" i="7" s="1"/>
  <c r="H32" i="6"/>
  <c r="H33" i="6" s="1"/>
  <c r="H116" i="6" s="1"/>
  <c r="I12" i="6"/>
  <c r="I17" i="7"/>
  <c r="H45" i="7"/>
  <c r="C6" i="8"/>
  <c r="B148" i="4"/>
  <c r="B134" i="4"/>
  <c r="B131" i="4" s="1"/>
  <c r="B140" i="4" s="1"/>
  <c r="B108" i="4"/>
  <c r="F109" i="4"/>
  <c r="E109" i="4"/>
  <c r="I109" i="4"/>
  <c r="G109" i="4"/>
  <c r="H109" i="4"/>
  <c r="B134" i="3"/>
  <c r="B131" i="3" s="1"/>
  <c r="B140" i="3" s="1"/>
  <c r="B108" i="3"/>
  <c r="H95" i="4"/>
  <c r="H85" i="4"/>
  <c r="H123" i="4" s="1"/>
  <c r="E122" i="6"/>
  <c r="E129" i="6"/>
  <c r="E128" i="6" s="1"/>
  <c r="E85" i="5"/>
  <c r="E123" i="5" s="1"/>
  <c r="J12" i="7"/>
  <c r="I32" i="7"/>
  <c r="I33" i="7" s="1"/>
  <c r="I116" i="7" s="1"/>
  <c r="F15" i="7"/>
  <c r="F38" i="7" s="1"/>
  <c r="F39" i="7" s="1"/>
  <c r="F119" i="7" s="1"/>
  <c r="G14" i="7"/>
  <c r="J95" i="4"/>
  <c r="J85" i="4"/>
  <c r="J123" i="4" s="1"/>
  <c r="H32" i="4"/>
  <c r="H33" i="4" s="1"/>
  <c r="H116" i="4" s="1"/>
  <c r="I12" i="4"/>
  <c r="F85" i="3"/>
  <c r="F123" i="3" s="1"/>
  <c r="D122" i="6"/>
  <c r="D129" i="6"/>
  <c r="D128" i="6" s="1"/>
  <c r="J129" i="1"/>
  <c r="J128" i="1" s="1"/>
  <c r="J122" i="1"/>
  <c r="F129" i="1"/>
  <c r="F128" i="1" s="1"/>
  <c r="F122" i="1"/>
  <c r="J95" i="3"/>
  <c r="M95" i="3" s="1"/>
  <c r="M98" i="3" s="1"/>
  <c r="L132" i="3" s="1"/>
  <c r="J85" i="3"/>
  <c r="J123" i="3" s="1"/>
  <c r="J129" i="5"/>
  <c r="J128" i="5" s="1"/>
  <c r="J122" i="5"/>
  <c r="B7" i="8"/>
  <c r="B10" i="8" s="1"/>
  <c r="B102" i="5"/>
  <c r="G52" i="7"/>
  <c r="F53" i="7"/>
  <c r="F58" i="7" s="1"/>
  <c r="F57" i="7" s="1"/>
  <c r="F62" i="7" s="1"/>
  <c r="E63" i="7" s="1"/>
  <c r="E76" i="7" s="1"/>
  <c r="L129" i="5"/>
  <c r="L128" i="5" s="1"/>
  <c r="L122" i="5"/>
  <c r="F129" i="7"/>
  <c r="F128" i="7" s="1"/>
  <c r="F122" i="7"/>
  <c r="D122" i="1"/>
  <c r="D129" i="1"/>
  <c r="D128" i="1" s="1"/>
  <c r="G85" i="6"/>
  <c r="G123" i="6" s="1"/>
  <c r="K122" i="3"/>
  <c r="K129" i="3"/>
  <c r="K128" i="3" s="1"/>
  <c r="J95" i="6"/>
  <c r="J85" i="6"/>
  <c r="J123" i="6" s="1"/>
  <c r="G44" i="5"/>
  <c r="G46" i="5" s="1"/>
  <c r="G120" i="5" s="1"/>
  <c r="H16" i="5"/>
  <c r="H85" i="5"/>
  <c r="H123" i="5" s="1"/>
  <c r="D77" i="7"/>
  <c r="D138" i="7"/>
  <c r="F138" i="3"/>
  <c r="F77" i="3"/>
  <c r="C122" i="7"/>
  <c r="C129" i="7"/>
  <c r="C128" i="7" s="1"/>
  <c r="H12" i="5"/>
  <c r="G32" i="5"/>
  <c r="G33" i="5" s="1"/>
  <c r="G116" i="5" s="1"/>
  <c r="G45" i="4"/>
  <c r="H17" i="4"/>
  <c r="K129" i="1"/>
  <c r="K128" i="1" s="1"/>
  <c r="K122" i="1"/>
  <c r="H53" i="3"/>
  <c r="H58" i="3" s="1"/>
  <c r="H57" i="3" s="1"/>
  <c r="H62" i="3" s="1"/>
  <c r="G63" i="3" s="1"/>
  <c r="G76" i="3" s="1"/>
  <c r="I52" i="3"/>
  <c r="M94" i="7"/>
  <c r="M98" i="7" s="1"/>
  <c r="L132" i="7" s="1"/>
  <c r="G16" i="4"/>
  <c r="F44" i="4"/>
  <c r="F46" i="4" s="1"/>
  <c r="F120" i="4" s="1"/>
  <c r="F53" i="2"/>
  <c r="F58" i="2" s="1"/>
  <c r="F57" i="2" s="1"/>
  <c r="F62" i="2" s="1"/>
  <c r="E63" i="2" s="1"/>
  <c r="E76" i="2" s="1"/>
  <c r="G52" i="2"/>
  <c r="D138" i="5"/>
  <c r="D77" i="5"/>
  <c r="F14" i="4"/>
  <c r="E15" i="4"/>
  <c r="E38" i="4" s="1"/>
  <c r="E39" i="4" s="1"/>
  <c r="E119" i="4" s="1"/>
  <c r="F44" i="1"/>
  <c r="F46" i="1" s="1"/>
  <c r="F120" i="1" s="1"/>
  <c r="G16" i="1"/>
  <c r="G85" i="3"/>
  <c r="G123" i="3" s="1"/>
  <c r="D138" i="2"/>
  <c r="D77" i="2"/>
  <c r="D138" i="6"/>
  <c r="D135" i="6" s="1"/>
  <c r="D77" i="6"/>
  <c r="L129" i="4"/>
  <c r="L128" i="4" s="1"/>
  <c r="L122" i="4"/>
  <c r="L129" i="2"/>
  <c r="L128" i="2" s="1"/>
  <c r="L122" i="2"/>
  <c r="G44" i="2"/>
  <c r="G46" i="2" s="1"/>
  <c r="G120" i="2" s="1"/>
  <c r="H16" i="2"/>
  <c r="F46" i="3"/>
  <c r="F120" i="3" s="1"/>
  <c r="C122" i="6"/>
  <c r="C129" i="6"/>
  <c r="C128" i="6" s="1"/>
  <c r="H85" i="2"/>
  <c r="H123" i="2" s="1"/>
  <c r="L129" i="6"/>
  <c r="L128" i="6" s="1"/>
  <c r="L122" i="6"/>
  <c r="G16" i="6"/>
  <c r="F44" i="6"/>
  <c r="F46" i="6" s="1"/>
  <c r="F120" i="6" s="1"/>
  <c r="H16" i="3"/>
  <c r="G44" i="3"/>
  <c r="H45" i="5"/>
  <c r="I17" i="5"/>
  <c r="I129" i="7"/>
  <c r="I128" i="7" s="1"/>
  <c r="I122" i="7"/>
  <c r="E129" i="1"/>
  <c r="E128" i="1" s="1"/>
  <c r="E122" i="1"/>
  <c r="G85" i="2"/>
  <c r="G123" i="2" s="1"/>
  <c r="G95" i="4"/>
  <c r="G85" i="4"/>
  <c r="G123" i="4" s="1"/>
  <c r="C85" i="5"/>
  <c r="C123" i="5" s="1"/>
  <c r="K129" i="5"/>
  <c r="K128" i="5" s="1"/>
  <c r="K122" i="5"/>
  <c r="B134" i="2"/>
  <c r="B131" i="2" s="1"/>
  <c r="B140" i="2" s="1"/>
  <c r="B108" i="2"/>
  <c r="E129" i="7"/>
  <c r="E128" i="7" s="1"/>
  <c r="E122" i="7"/>
  <c r="G14" i="2"/>
  <c r="F15" i="2"/>
  <c r="F38" i="2" s="1"/>
  <c r="F39" i="2" s="1"/>
  <c r="F119" i="2" s="1"/>
  <c r="H53" i="4"/>
  <c r="H58" i="4" s="1"/>
  <c r="H57" i="4" s="1"/>
  <c r="H62" i="4" s="1"/>
  <c r="G63" i="4" s="1"/>
  <c r="G76" i="4" s="1"/>
  <c r="I52" i="4"/>
  <c r="H129" i="1"/>
  <c r="H128" i="1" s="1"/>
  <c r="H122" i="1"/>
  <c r="G44" i="7"/>
  <c r="G46" i="7" s="1"/>
  <c r="G120" i="7" s="1"/>
  <c r="H16" i="7"/>
  <c r="K95" i="6"/>
  <c r="K85" i="6"/>
  <c r="K123" i="6" s="1"/>
  <c r="G85" i="5"/>
  <c r="G123" i="5" s="1"/>
  <c r="K45" i="2"/>
  <c r="L17" i="2"/>
  <c r="L45" i="2" s="1"/>
  <c r="K122" i="2"/>
  <c r="K129" i="2"/>
  <c r="K128" i="2" s="1"/>
  <c r="F138" i="4"/>
  <c r="F77" i="4"/>
  <c r="E85" i="3"/>
  <c r="E123" i="3" s="1"/>
  <c r="C129" i="1"/>
  <c r="C128" i="1" s="1"/>
  <c r="C122" i="1"/>
  <c r="L129" i="7"/>
  <c r="L128" i="7" s="1"/>
  <c r="L122" i="7"/>
  <c r="H52" i="5"/>
  <c r="G53" i="5"/>
  <c r="G58" i="5" s="1"/>
  <c r="G57" i="5" s="1"/>
  <c r="G62" i="5" s="1"/>
  <c r="F63" i="5" s="1"/>
  <c r="F76" i="5" s="1"/>
  <c r="J122" i="2"/>
  <c r="J129" i="2"/>
  <c r="J128" i="2" s="1"/>
  <c r="F85" i="5"/>
  <c r="F123" i="5" s="1"/>
  <c r="C135" i="6"/>
  <c r="L122" i="3"/>
  <c r="L129" i="3"/>
  <c r="L128" i="3" s="1"/>
  <c r="G45" i="6"/>
  <c r="H17" i="6"/>
  <c r="C85" i="3"/>
  <c r="C123" i="3" s="1"/>
  <c r="G32" i="1"/>
  <c r="G33" i="1" s="1"/>
  <c r="G116" i="1" s="1"/>
  <c r="H12" i="1"/>
  <c r="C9" i="8"/>
  <c r="B148" i="7"/>
  <c r="B108" i="7"/>
  <c r="K100" i="7"/>
  <c r="K104" i="7" s="1"/>
  <c r="K105" i="7" s="1"/>
  <c r="B134" i="7"/>
  <c r="B131" i="7" s="1"/>
  <c r="M94" i="6"/>
  <c r="F14" i="3"/>
  <c r="E15" i="3"/>
  <c r="E38" i="3" s="1"/>
  <c r="E39" i="3" s="1"/>
  <c r="E119" i="3" s="1"/>
  <c r="I129" i="5"/>
  <c r="I128" i="5" s="1"/>
  <c r="I122" i="5"/>
  <c r="M94" i="5"/>
  <c r="M98" i="5" s="1"/>
  <c r="L132" i="5" s="1"/>
  <c r="H32" i="3"/>
  <c r="H33" i="3" s="1"/>
  <c r="H116" i="3" s="1"/>
  <c r="I12" i="3"/>
  <c r="L129" i="1"/>
  <c r="L128" i="1" s="1"/>
  <c r="L122" i="1"/>
  <c r="E138" i="5"/>
  <c r="E77" i="5"/>
  <c r="D129" i="3"/>
  <c r="D128" i="3" s="1"/>
  <c r="D122" i="3"/>
  <c r="I95" i="6"/>
  <c r="M95" i="6" s="1"/>
  <c r="I85" i="6"/>
  <c r="I123" i="6" s="1"/>
  <c r="F85" i="2"/>
  <c r="F123" i="2" s="1"/>
  <c r="C85" i="4"/>
  <c r="C123" i="4" s="1"/>
  <c r="G45" i="3"/>
  <c r="H17" i="3"/>
  <c r="H17" i="1"/>
  <c r="G45" i="1"/>
  <c r="K129" i="7"/>
  <c r="K128" i="7" s="1"/>
  <c r="K122" i="7"/>
  <c r="C77" i="5"/>
  <c r="C138" i="5"/>
  <c r="H85" i="3"/>
  <c r="H123" i="3" s="1"/>
  <c r="D129" i="2"/>
  <c r="D128" i="2" s="1"/>
  <c r="D122" i="2"/>
  <c r="B142" i="4" l="1"/>
  <c r="B144" i="4"/>
  <c r="F129" i="4"/>
  <c r="F128" i="4" s="1"/>
  <c r="F122" i="4"/>
  <c r="G122" i="3"/>
  <c r="G129" i="3"/>
  <c r="G128" i="3" s="1"/>
  <c r="G44" i="1"/>
  <c r="G46" i="1" s="1"/>
  <c r="G120" i="1" s="1"/>
  <c r="H16" i="1"/>
  <c r="G138" i="4"/>
  <c r="G77" i="4"/>
  <c r="G14" i="4"/>
  <c r="F15" i="4"/>
  <c r="F38" i="4" s="1"/>
  <c r="F39" i="4" s="1"/>
  <c r="F119" i="4" s="1"/>
  <c r="E122" i="5"/>
  <c r="E129" i="5"/>
  <c r="E128" i="5" s="1"/>
  <c r="I129" i="4"/>
  <c r="I128" i="4" s="1"/>
  <c r="I122" i="4"/>
  <c r="G53" i="6"/>
  <c r="G58" i="6" s="1"/>
  <c r="G57" i="6" s="1"/>
  <c r="G62" i="6" s="1"/>
  <c r="F63" i="6" s="1"/>
  <c r="F76" i="6" s="1"/>
  <c r="H52" i="6"/>
  <c r="H45" i="4"/>
  <c r="I17" i="4"/>
  <c r="H122" i="2"/>
  <c r="H129" i="2"/>
  <c r="H128" i="2" s="1"/>
  <c r="I12" i="5"/>
  <c r="H32" i="5"/>
  <c r="H33" i="5" s="1"/>
  <c r="H116" i="5" s="1"/>
  <c r="K12" i="7"/>
  <c r="J32" i="7"/>
  <c r="J33" i="7" s="1"/>
  <c r="J116" i="7" s="1"/>
  <c r="I17" i="1"/>
  <c r="H45" i="1"/>
  <c r="I45" i="7"/>
  <c r="J17" i="7"/>
  <c r="H44" i="2"/>
  <c r="H46" i="2" s="1"/>
  <c r="H120" i="2" s="1"/>
  <c r="I16" i="2"/>
  <c r="E129" i="4"/>
  <c r="E128" i="4" s="1"/>
  <c r="E122" i="4"/>
  <c r="I122" i="2"/>
  <c r="I129" i="2"/>
  <c r="I128" i="2" s="1"/>
  <c r="G122" i="2"/>
  <c r="G129" i="2"/>
  <c r="G128" i="2" s="1"/>
  <c r="G129" i="6"/>
  <c r="G128" i="6" s="1"/>
  <c r="G122" i="6"/>
  <c r="J122" i="3"/>
  <c r="J129" i="3"/>
  <c r="J128" i="3" s="1"/>
  <c r="H45" i="3"/>
  <c r="I17" i="3"/>
  <c r="G15" i="2"/>
  <c r="G38" i="2" s="1"/>
  <c r="G39" i="2" s="1"/>
  <c r="G119" i="2" s="1"/>
  <c r="H14" i="2"/>
  <c r="I45" i="5"/>
  <c r="J17" i="5"/>
  <c r="H52" i="2"/>
  <c r="G53" i="2"/>
  <c r="G58" i="2" s="1"/>
  <c r="G57" i="2" s="1"/>
  <c r="G62" i="2" s="1"/>
  <c r="F63" i="2" s="1"/>
  <c r="F76" i="2" s="1"/>
  <c r="H129" i="4"/>
  <c r="H128" i="4" s="1"/>
  <c r="H122" i="4"/>
  <c r="I32" i="6"/>
  <c r="I33" i="6" s="1"/>
  <c r="I116" i="6" s="1"/>
  <c r="J12" i="6"/>
  <c r="J12" i="2"/>
  <c r="I32" i="2"/>
  <c r="I33" i="2" s="1"/>
  <c r="I116" i="2" s="1"/>
  <c r="D122" i="5"/>
  <c r="D129" i="5"/>
  <c r="D128" i="5" s="1"/>
  <c r="G15" i="7"/>
  <c r="G38" i="7" s="1"/>
  <c r="G39" i="7" s="1"/>
  <c r="G119" i="7" s="1"/>
  <c r="H14" i="7"/>
  <c r="G14" i="3"/>
  <c r="F15" i="3"/>
  <c r="F38" i="3" s="1"/>
  <c r="F39" i="3" s="1"/>
  <c r="F119" i="3" s="1"/>
  <c r="E77" i="2"/>
  <c r="E138" i="2"/>
  <c r="F15" i="5"/>
  <c r="F38" i="5" s="1"/>
  <c r="F39" i="5" s="1"/>
  <c r="F119" i="5" s="1"/>
  <c r="G14" i="5"/>
  <c r="E77" i="1"/>
  <c r="E138" i="1"/>
  <c r="B144" i="6"/>
  <c r="B142" i="6"/>
  <c r="H45" i="6"/>
  <c r="I17" i="6"/>
  <c r="E138" i="6"/>
  <c r="E135" i="6" s="1"/>
  <c r="E77" i="6"/>
  <c r="M98" i="6"/>
  <c r="L132" i="6" s="1"/>
  <c r="G46" i="3"/>
  <c r="G120" i="3" s="1"/>
  <c r="C110" i="3"/>
  <c r="G53" i="1"/>
  <c r="G58" i="1" s="1"/>
  <c r="G57" i="1" s="1"/>
  <c r="G62" i="1" s="1"/>
  <c r="F63" i="1" s="1"/>
  <c r="F76" i="1" s="1"/>
  <c r="H52" i="1"/>
  <c r="D129" i="4"/>
  <c r="D128" i="4" s="1"/>
  <c r="D122" i="4"/>
  <c r="C110" i="4"/>
  <c r="C129" i="4"/>
  <c r="C128" i="4" s="1"/>
  <c r="C122" i="4"/>
  <c r="F122" i="5"/>
  <c r="F129" i="5"/>
  <c r="F128" i="5" s="1"/>
  <c r="F122" i="2"/>
  <c r="F129" i="2"/>
  <c r="F128" i="2" s="1"/>
  <c r="I129" i="6"/>
  <c r="I128" i="6" s="1"/>
  <c r="I122" i="6"/>
  <c r="G129" i="5"/>
  <c r="G128" i="5" s="1"/>
  <c r="G122" i="5"/>
  <c r="C110" i="2"/>
  <c r="I16" i="3"/>
  <c r="H44" i="3"/>
  <c r="H16" i="4"/>
  <c r="G44" i="4"/>
  <c r="G46" i="4" s="1"/>
  <c r="G120" i="4" s="1"/>
  <c r="B142" i="3"/>
  <c r="B144" i="3"/>
  <c r="C110" i="1"/>
  <c r="C129" i="3"/>
  <c r="C128" i="3" s="1"/>
  <c r="C122" i="3"/>
  <c r="B149" i="4"/>
  <c r="B150" i="4" s="1"/>
  <c r="I109" i="7"/>
  <c r="I111" i="7" s="1"/>
  <c r="I139" i="7" s="1"/>
  <c r="H109" i="7"/>
  <c r="H111" i="7" s="1"/>
  <c r="H139" i="7" s="1"/>
  <c r="F109" i="7"/>
  <c r="F111" i="7" s="1"/>
  <c r="F139" i="7" s="1"/>
  <c r="G109" i="7"/>
  <c r="G111" i="7" s="1"/>
  <c r="G139" i="7" s="1"/>
  <c r="E109" i="7"/>
  <c r="E111" i="7" s="1"/>
  <c r="E139" i="7" s="1"/>
  <c r="B144" i="2"/>
  <c r="B142" i="2"/>
  <c r="H129" i="5"/>
  <c r="H128" i="5" s="1"/>
  <c r="H122" i="5"/>
  <c r="E77" i="7"/>
  <c r="E138" i="7"/>
  <c r="F122" i="3"/>
  <c r="F129" i="3"/>
  <c r="F128" i="3" s="1"/>
  <c r="B144" i="1"/>
  <c r="B142" i="1"/>
  <c r="G129" i="4"/>
  <c r="G128" i="4" s="1"/>
  <c r="G122" i="4"/>
  <c r="H14" i="6"/>
  <c r="G15" i="6"/>
  <c r="G38" i="6" s="1"/>
  <c r="G39" i="6" s="1"/>
  <c r="G119" i="6" s="1"/>
  <c r="E129" i="3"/>
  <c r="E128" i="3" s="1"/>
  <c r="E122" i="3"/>
  <c r="C108" i="6"/>
  <c r="C110" i="6"/>
  <c r="I53" i="4"/>
  <c r="I58" i="4" s="1"/>
  <c r="I57" i="4" s="1"/>
  <c r="I62" i="4" s="1"/>
  <c r="H63" i="4" s="1"/>
  <c r="H76" i="4" s="1"/>
  <c r="J52" i="4"/>
  <c r="C110" i="7"/>
  <c r="B110" i="7"/>
  <c r="F138" i="5"/>
  <c r="F77" i="5"/>
  <c r="K129" i="6"/>
  <c r="K128" i="6" s="1"/>
  <c r="K122" i="6"/>
  <c r="H16" i="6"/>
  <c r="G44" i="6"/>
  <c r="G46" i="6" s="1"/>
  <c r="G120" i="6" s="1"/>
  <c r="I53" i="3"/>
  <c r="I58" i="3" s="1"/>
  <c r="I57" i="3" s="1"/>
  <c r="I62" i="3" s="1"/>
  <c r="H63" i="3" s="1"/>
  <c r="H76" i="3" s="1"/>
  <c r="J52" i="3"/>
  <c r="H44" i="5"/>
  <c r="H46" i="5" s="1"/>
  <c r="H120" i="5" s="1"/>
  <c r="I16" i="5"/>
  <c r="H52" i="7"/>
  <c r="G53" i="7"/>
  <c r="G58" i="7" s="1"/>
  <c r="G57" i="7" s="1"/>
  <c r="G62" i="7" s="1"/>
  <c r="F63" i="7" s="1"/>
  <c r="F76" i="7" s="1"/>
  <c r="I32" i="4"/>
  <c r="I33" i="4" s="1"/>
  <c r="I116" i="4" s="1"/>
  <c r="J12" i="4"/>
  <c r="H15" i="1"/>
  <c r="H38" i="1" s="1"/>
  <c r="H39" i="1" s="1"/>
  <c r="H119" i="1" s="1"/>
  <c r="I14" i="1"/>
  <c r="I52" i="5"/>
  <c r="H53" i="5"/>
  <c r="H58" i="5" s="1"/>
  <c r="H57" i="5" s="1"/>
  <c r="H62" i="5" s="1"/>
  <c r="G63" i="5" s="1"/>
  <c r="G76" i="5" s="1"/>
  <c r="G138" i="3"/>
  <c r="G77" i="3"/>
  <c r="K129" i="4"/>
  <c r="K128" i="4" s="1"/>
  <c r="K122" i="4"/>
  <c r="B149" i="6"/>
  <c r="B150" i="6" s="1"/>
  <c r="I32" i="3"/>
  <c r="I33" i="3" s="1"/>
  <c r="I116" i="3" s="1"/>
  <c r="J12" i="3"/>
  <c r="B150" i="7"/>
  <c r="B149" i="7"/>
  <c r="B148" i="5"/>
  <c r="C7" i="8"/>
  <c r="C10" i="8" s="1"/>
  <c r="B134" i="5"/>
  <c r="B131" i="5" s="1"/>
  <c r="B140" i="5" s="1"/>
  <c r="B108" i="5"/>
  <c r="J129" i="4"/>
  <c r="J128" i="4" s="1"/>
  <c r="J122" i="4"/>
  <c r="J6" i="8"/>
  <c r="H122" i="3"/>
  <c r="H129" i="3"/>
  <c r="H128" i="3" s="1"/>
  <c r="H32" i="1"/>
  <c r="H33" i="1" s="1"/>
  <c r="H116" i="1" s="1"/>
  <c r="I12" i="1"/>
  <c r="H44" i="7"/>
  <c r="H46" i="7" s="1"/>
  <c r="H120" i="7" s="1"/>
  <c r="I16" i="7"/>
  <c r="C122" i="5"/>
  <c r="C129" i="5"/>
  <c r="C128" i="5" s="1"/>
  <c r="J129" i="6"/>
  <c r="J128" i="6" s="1"/>
  <c r="J122" i="6"/>
  <c r="F77" i="2" l="1"/>
  <c r="F138" i="2"/>
  <c r="B149" i="5"/>
  <c r="B150" i="5" s="1"/>
  <c r="I15" i="1"/>
  <c r="I38" i="1" s="1"/>
  <c r="I39" i="1" s="1"/>
  <c r="I119" i="1" s="1"/>
  <c r="J14" i="1"/>
  <c r="I44" i="7"/>
  <c r="I46" i="7" s="1"/>
  <c r="I120" i="7" s="1"/>
  <c r="J16" i="7"/>
  <c r="I52" i="2"/>
  <c r="H53" i="2"/>
  <c r="H58" i="2" s="1"/>
  <c r="H57" i="2" s="1"/>
  <c r="H62" i="2" s="1"/>
  <c r="G63" i="2" s="1"/>
  <c r="G76" i="2" s="1"/>
  <c r="J12" i="5"/>
  <c r="I32" i="5"/>
  <c r="I33" i="5" s="1"/>
  <c r="I116" i="5" s="1"/>
  <c r="H44" i="1"/>
  <c r="H46" i="1" s="1"/>
  <c r="H120" i="1" s="1"/>
  <c r="I16" i="1"/>
  <c r="I45" i="4"/>
  <c r="J17" i="4"/>
  <c r="H15" i="2"/>
  <c r="H38" i="2" s="1"/>
  <c r="H39" i="2" s="1"/>
  <c r="H119" i="2" s="1"/>
  <c r="I14" i="2"/>
  <c r="I44" i="2"/>
  <c r="I46" i="2" s="1"/>
  <c r="I120" i="2" s="1"/>
  <c r="J16" i="2"/>
  <c r="B121" i="7"/>
  <c r="B118" i="7" s="1"/>
  <c r="B125" i="7" s="1"/>
  <c r="B127" i="7" s="1"/>
  <c r="B140" i="7" s="1"/>
  <c r="B109" i="7"/>
  <c r="I16" i="4"/>
  <c r="H44" i="4"/>
  <c r="H46" i="4" s="1"/>
  <c r="H120" i="4" s="1"/>
  <c r="F77" i="7"/>
  <c r="F138" i="7"/>
  <c r="F135" i="7" s="1"/>
  <c r="H138" i="4"/>
  <c r="H77" i="4"/>
  <c r="H46" i="3"/>
  <c r="H120" i="3" s="1"/>
  <c r="H15" i="7"/>
  <c r="H38" i="7" s="1"/>
  <c r="H39" i="7" s="1"/>
  <c r="H119" i="7" s="1"/>
  <c r="I14" i="7"/>
  <c r="H53" i="6"/>
  <c r="H58" i="6" s="1"/>
  <c r="H57" i="6" s="1"/>
  <c r="H62" i="6" s="1"/>
  <c r="G63" i="6" s="1"/>
  <c r="G76" i="6" s="1"/>
  <c r="I52" i="6"/>
  <c r="C109" i="4"/>
  <c r="C111" i="4" s="1"/>
  <c r="C121" i="4"/>
  <c r="C118" i="4" s="1"/>
  <c r="C125" i="4" s="1"/>
  <c r="I52" i="7"/>
  <c r="H53" i="7"/>
  <c r="H58" i="7" s="1"/>
  <c r="H57" i="7" s="1"/>
  <c r="H62" i="7" s="1"/>
  <c r="G63" i="7" s="1"/>
  <c r="G76" i="7" s="1"/>
  <c r="C109" i="6"/>
  <c r="J8" i="8" s="1"/>
  <c r="C121" i="6"/>
  <c r="C118" i="6" s="1"/>
  <c r="C125" i="6" s="1"/>
  <c r="J16" i="3"/>
  <c r="I44" i="3"/>
  <c r="I45" i="3"/>
  <c r="J17" i="3"/>
  <c r="K17" i="7"/>
  <c r="J45" i="7"/>
  <c r="F138" i="6"/>
  <c r="F135" i="6" s="1"/>
  <c r="F77" i="6"/>
  <c r="F77" i="1"/>
  <c r="F138" i="1"/>
  <c r="H14" i="3"/>
  <c r="G15" i="3"/>
  <c r="G38" i="3" s="1"/>
  <c r="G39" i="3" s="1"/>
  <c r="G119" i="3" s="1"/>
  <c r="D108" i="6"/>
  <c r="D110" i="6"/>
  <c r="J45" i="5"/>
  <c r="K17" i="5"/>
  <c r="J32" i="3"/>
  <c r="J33" i="3" s="1"/>
  <c r="J116" i="3" s="1"/>
  <c r="K12" i="3"/>
  <c r="J16" i="5"/>
  <c r="I44" i="5"/>
  <c r="I46" i="5" s="1"/>
  <c r="I120" i="5" s="1"/>
  <c r="C121" i="2"/>
  <c r="C118" i="2" s="1"/>
  <c r="C125" i="2" s="1"/>
  <c r="C109" i="2"/>
  <c r="C111" i="2" s="1"/>
  <c r="H77" i="3"/>
  <c r="H138" i="3"/>
  <c r="C121" i="3"/>
  <c r="C118" i="3" s="1"/>
  <c r="C125" i="3" s="1"/>
  <c r="C109" i="3"/>
  <c r="C111" i="3" s="1"/>
  <c r="K12" i="2"/>
  <c r="J32" i="2"/>
  <c r="J33" i="2" s="1"/>
  <c r="J116" i="2" s="1"/>
  <c r="J17" i="1"/>
  <c r="I45" i="1"/>
  <c r="J32" i="4"/>
  <c r="J33" i="4" s="1"/>
  <c r="J116" i="4" s="1"/>
  <c r="K12" i="4"/>
  <c r="I45" i="6"/>
  <c r="J17" i="6"/>
  <c r="J53" i="4"/>
  <c r="J58" i="4" s="1"/>
  <c r="J57" i="4" s="1"/>
  <c r="J62" i="4" s="1"/>
  <c r="I63" i="4" s="1"/>
  <c r="I76" i="4" s="1"/>
  <c r="K52" i="4"/>
  <c r="I14" i="6"/>
  <c r="H15" i="6"/>
  <c r="H38" i="6" s="1"/>
  <c r="H39" i="6" s="1"/>
  <c r="H119" i="6" s="1"/>
  <c r="J32" i="6"/>
  <c r="J33" i="6" s="1"/>
  <c r="J116" i="6" s="1"/>
  <c r="K12" i="6"/>
  <c r="J12" i="1"/>
  <c r="I32" i="1"/>
  <c r="I33" i="1" s="1"/>
  <c r="I116" i="1" s="1"/>
  <c r="C121" i="7"/>
  <c r="C118" i="7" s="1"/>
  <c r="C125" i="7" s="1"/>
  <c r="C109" i="7"/>
  <c r="E135" i="7"/>
  <c r="J53" i="3"/>
  <c r="J58" i="3" s="1"/>
  <c r="J57" i="3" s="1"/>
  <c r="J62" i="3" s="1"/>
  <c r="I63" i="3" s="1"/>
  <c r="I76" i="3" s="1"/>
  <c r="K52" i="3"/>
  <c r="G15" i="5"/>
  <c r="G38" i="5" s="1"/>
  <c r="G39" i="5" s="1"/>
  <c r="G119" i="5" s="1"/>
  <c r="H14" i="5"/>
  <c r="H14" i="4"/>
  <c r="G15" i="4"/>
  <c r="G38" i="4" s="1"/>
  <c r="G39" i="4" s="1"/>
  <c r="G119" i="4" s="1"/>
  <c r="C109" i="1"/>
  <c r="C111" i="1" s="1"/>
  <c r="C121" i="1"/>
  <c r="C118" i="1" s="1"/>
  <c r="C125" i="1" s="1"/>
  <c r="I52" i="1"/>
  <c r="H53" i="1"/>
  <c r="H58" i="1" s="1"/>
  <c r="H57" i="1" s="1"/>
  <c r="H62" i="1" s="1"/>
  <c r="G63" i="1" s="1"/>
  <c r="G76" i="1" s="1"/>
  <c r="C110" i="5"/>
  <c r="I16" i="6"/>
  <c r="H44" i="6"/>
  <c r="H46" i="6" s="1"/>
  <c r="H120" i="6" s="1"/>
  <c r="B142" i="5"/>
  <c r="B144" i="5"/>
  <c r="G138" i="5"/>
  <c r="G77" i="5"/>
  <c r="J52" i="5"/>
  <c r="I53" i="5"/>
  <c r="I58" i="5" s="1"/>
  <c r="I57" i="5" s="1"/>
  <c r="I62" i="5" s="1"/>
  <c r="H63" i="5" s="1"/>
  <c r="H76" i="5" s="1"/>
  <c r="L12" i="7"/>
  <c r="L32" i="7" s="1"/>
  <c r="L33" i="7" s="1"/>
  <c r="L116" i="7" s="1"/>
  <c r="K32" i="7"/>
  <c r="K33" i="7" s="1"/>
  <c r="K116" i="7" s="1"/>
  <c r="J16" i="4" l="1"/>
  <c r="I44" i="4"/>
  <c r="I46" i="4" s="1"/>
  <c r="I120" i="4" s="1"/>
  <c r="K32" i="6"/>
  <c r="K33" i="6" s="1"/>
  <c r="K116" i="6" s="1"/>
  <c r="L12" i="6"/>
  <c r="L32" i="6" s="1"/>
  <c r="L33" i="6" s="1"/>
  <c r="L116" i="6" s="1"/>
  <c r="C139" i="3"/>
  <c r="C135" i="3" s="1"/>
  <c r="C108" i="3"/>
  <c r="D121" i="6"/>
  <c r="D118" i="6" s="1"/>
  <c r="D125" i="6" s="1"/>
  <c r="D109" i="6"/>
  <c r="K16" i="3"/>
  <c r="J44" i="3"/>
  <c r="K12" i="5"/>
  <c r="J32" i="5"/>
  <c r="J33" i="5" s="1"/>
  <c r="J116" i="5" s="1"/>
  <c r="C126" i="3"/>
  <c r="C127" i="3" s="1"/>
  <c r="C140" i="3" s="1"/>
  <c r="E108" i="6"/>
  <c r="E110" i="6"/>
  <c r="C126" i="6"/>
  <c r="C127" i="6" s="1"/>
  <c r="C140" i="6" s="1"/>
  <c r="G77" i="2"/>
  <c r="G138" i="2"/>
  <c r="C139" i="2"/>
  <c r="C135" i="2" s="1"/>
  <c r="C108" i="2"/>
  <c r="J52" i="7"/>
  <c r="I53" i="7"/>
  <c r="I58" i="7" s="1"/>
  <c r="I57" i="7" s="1"/>
  <c r="I62" i="7" s="1"/>
  <c r="H63" i="7" s="1"/>
  <c r="H76" i="7" s="1"/>
  <c r="C121" i="5"/>
  <c r="C118" i="5" s="1"/>
  <c r="C125" i="5" s="1"/>
  <c r="C109" i="5"/>
  <c r="L52" i="4"/>
  <c r="L53" i="4" s="1"/>
  <c r="L58" i="4" s="1"/>
  <c r="L57" i="4" s="1"/>
  <c r="L62" i="4" s="1"/>
  <c r="K53" i="4"/>
  <c r="K58" i="4" s="1"/>
  <c r="K57" i="4" s="1"/>
  <c r="K62" i="4" s="1"/>
  <c r="J63" i="4" s="1"/>
  <c r="J76" i="4" s="1"/>
  <c r="C126" i="2"/>
  <c r="C127" i="2" s="1"/>
  <c r="C140" i="2" s="1"/>
  <c r="C126" i="4"/>
  <c r="C127" i="4"/>
  <c r="B142" i="7"/>
  <c r="B144" i="7"/>
  <c r="I138" i="4"/>
  <c r="I77" i="4"/>
  <c r="C139" i="4"/>
  <c r="C135" i="4" s="1"/>
  <c r="C108" i="4"/>
  <c r="J44" i="2"/>
  <c r="J46" i="2" s="1"/>
  <c r="J120" i="2" s="1"/>
  <c r="K16" i="2"/>
  <c r="J44" i="7"/>
  <c r="J46" i="7" s="1"/>
  <c r="J120" i="7" s="1"/>
  <c r="K16" i="7"/>
  <c r="K32" i="3"/>
  <c r="K33" i="3" s="1"/>
  <c r="K116" i="3" s="1"/>
  <c r="L12" i="3"/>
  <c r="L32" i="3" s="1"/>
  <c r="L33" i="3" s="1"/>
  <c r="L116" i="3" s="1"/>
  <c r="G77" i="6"/>
  <c r="G138" i="6"/>
  <c r="G135" i="6" s="1"/>
  <c r="I15" i="2"/>
  <c r="I38" i="2" s="1"/>
  <c r="I39" i="2" s="1"/>
  <c r="I119" i="2" s="1"/>
  <c r="J14" i="2"/>
  <c r="J15" i="1"/>
  <c r="J38" i="1" s="1"/>
  <c r="J39" i="1" s="1"/>
  <c r="J119" i="1" s="1"/>
  <c r="K14" i="1"/>
  <c r="J14" i="6"/>
  <c r="I15" i="6"/>
  <c r="I38" i="6" s="1"/>
  <c r="I39" i="6" s="1"/>
  <c r="I119" i="6" s="1"/>
  <c r="G77" i="1"/>
  <c r="G138" i="1"/>
  <c r="J16" i="6"/>
  <c r="I44" i="6"/>
  <c r="I46" i="6" s="1"/>
  <c r="I120" i="6" s="1"/>
  <c r="I15" i="7"/>
  <c r="I38" i="7" s="1"/>
  <c r="I39" i="7" s="1"/>
  <c r="I119" i="7" s="1"/>
  <c r="J14" i="7"/>
  <c r="I53" i="6"/>
  <c r="I58" i="6" s="1"/>
  <c r="I57" i="6" s="1"/>
  <c r="I62" i="6" s="1"/>
  <c r="H63" i="6" s="1"/>
  <c r="H76" i="6" s="1"/>
  <c r="J52" i="6"/>
  <c r="I77" i="3"/>
  <c r="I138" i="3"/>
  <c r="H138" i="5"/>
  <c r="H77" i="5"/>
  <c r="J9" i="8"/>
  <c r="C111" i="7"/>
  <c r="K45" i="5"/>
  <c r="L17" i="5"/>
  <c r="L45" i="5" s="1"/>
  <c r="K45" i="7"/>
  <c r="L17" i="7"/>
  <c r="L45" i="7" s="1"/>
  <c r="J45" i="4"/>
  <c r="K17" i="4"/>
  <c r="C126" i="7"/>
  <c r="C127" i="7" s="1"/>
  <c r="J45" i="3"/>
  <c r="K17" i="3"/>
  <c r="G77" i="7"/>
  <c r="G138" i="7"/>
  <c r="G135" i="7" s="1"/>
  <c r="J52" i="1"/>
  <c r="I53" i="1"/>
  <c r="I58" i="1" s="1"/>
  <c r="I57" i="1" s="1"/>
  <c r="I62" i="1" s="1"/>
  <c r="H63" i="1" s="1"/>
  <c r="H76" i="1" s="1"/>
  <c r="K16" i="5"/>
  <c r="J44" i="5"/>
  <c r="J46" i="5" s="1"/>
  <c r="J120" i="5" s="1"/>
  <c r="J45" i="6"/>
  <c r="K17" i="6"/>
  <c r="J53" i="5"/>
  <c r="J58" i="5" s="1"/>
  <c r="J57" i="5" s="1"/>
  <c r="J62" i="5" s="1"/>
  <c r="I63" i="5" s="1"/>
  <c r="I76" i="5" s="1"/>
  <c r="K52" i="5"/>
  <c r="C126" i="1"/>
  <c r="C127" i="1" s="1"/>
  <c r="C140" i="1" s="1"/>
  <c r="J45" i="1"/>
  <c r="K17" i="1"/>
  <c r="I44" i="1"/>
  <c r="I46" i="1" s="1"/>
  <c r="I120" i="1" s="1"/>
  <c r="J16" i="1"/>
  <c r="I14" i="3"/>
  <c r="H15" i="3"/>
  <c r="H38" i="3" s="1"/>
  <c r="H39" i="3" s="1"/>
  <c r="H119" i="3" s="1"/>
  <c r="C139" i="1"/>
  <c r="C135" i="1" s="1"/>
  <c r="C108" i="1"/>
  <c r="K12" i="1"/>
  <c r="J32" i="1"/>
  <c r="J33" i="1" s="1"/>
  <c r="J116" i="1" s="1"/>
  <c r="I14" i="4"/>
  <c r="H15" i="4"/>
  <c r="H38" i="4" s="1"/>
  <c r="H39" i="4" s="1"/>
  <c r="H119" i="4" s="1"/>
  <c r="J52" i="2"/>
  <c r="I53" i="2"/>
  <c r="I58" i="2" s="1"/>
  <c r="I57" i="2" s="1"/>
  <c r="I62" i="2" s="1"/>
  <c r="H63" i="2" s="1"/>
  <c r="H76" i="2" s="1"/>
  <c r="I14" i="5"/>
  <c r="H15" i="5"/>
  <c r="H38" i="5" s="1"/>
  <c r="H39" i="5" s="1"/>
  <c r="H119" i="5" s="1"/>
  <c r="K53" i="3"/>
  <c r="K58" i="3" s="1"/>
  <c r="K57" i="3" s="1"/>
  <c r="K62" i="3" s="1"/>
  <c r="J63" i="3" s="1"/>
  <c r="J76" i="3" s="1"/>
  <c r="L52" i="3"/>
  <c r="L53" i="3" s="1"/>
  <c r="L58" i="3" s="1"/>
  <c r="L57" i="3" s="1"/>
  <c r="L62" i="3" s="1"/>
  <c r="K32" i="4"/>
  <c r="K33" i="4" s="1"/>
  <c r="K116" i="4" s="1"/>
  <c r="L12" i="4"/>
  <c r="L32" i="4" s="1"/>
  <c r="L33" i="4" s="1"/>
  <c r="L116" i="4" s="1"/>
  <c r="L12" i="2"/>
  <c r="L32" i="2" s="1"/>
  <c r="L33" i="2" s="1"/>
  <c r="L116" i="2" s="1"/>
  <c r="K32" i="2"/>
  <c r="K33" i="2" s="1"/>
  <c r="K116" i="2" s="1"/>
  <c r="I46" i="3"/>
  <c r="I120" i="3" s="1"/>
  <c r="C144" i="2" l="1"/>
  <c r="C142" i="2"/>
  <c r="C144" i="6"/>
  <c r="C142" i="6"/>
  <c r="C140" i="7"/>
  <c r="C144" i="3"/>
  <c r="C142" i="3"/>
  <c r="C144" i="1"/>
  <c r="C142" i="1"/>
  <c r="J14" i="5"/>
  <c r="I15" i="5"/>
  <c r="I38" i="5" s="1"/>
  <c r="I39" i="5" s="1"/>
  <c r="I119" i="5" s="1"/>
  <c r="J138" i="4"/>
  <c r="J135" i="4" s="1"/>
  <c r="J77" i="4"/>
  <c r="J138" i="3"/>
  <c r="J135" i="3" s="1"/>
  <c r="J77" i="3"/>
  <c r="C139" i="7"/>
  <c r="C135" i="7" s="1"/>
  <c r="C108" i="7"/>
  <c r="K44" i="2"/>
  <c r="K46" i="2" s="1"/>
  <c r="K120" i="2" s="1"/>
  <c r="L16" i="2"/>
  <c r="L44" i="2" s="1"/>
  <c r="L46" i="2" s="1"/>
  <c r="L120" i="2" s="1"/>
  <c r="J7" i="8"/>
  <c r="J10" i="8" s="1"/>
  <c r="C111" i="5"/>
  <c r="J46" i="3"/>
  <c r="J120" i="3" s="1"/>
  <c r="C126" i="5"/>
  <c r="C127" i="5"/>
  <c r="K44" i="3"/>
  <c r="K46" i="3" s="1"/>
  <c r="K120" i="3" s="1"/>
  <c r="L16" i="3"/>
  <c r="L44" i="3" s="1"/>
  <c r="L46" i="3" s="1"/>
  <c r="L120" i="3" s="1"/>
  <c r="J14" i="4"/>
  <c r="I15" i="4"/>
  <c r="I38" i="4" s="1"/>
  <c r="I39" i="4" s="1"/>
  <c r="I119" i="4" s="1"/>
  <c r="J53" i="6"/>
  <c r="J58" i="6" s="1"/>
  <c r="J57" i="6" s="1"/>
  <c r="J62" i="6" s="1"/>
  <c r="I63" i="6" s="1"/>
  <c r="I76" i="6" s="1"/>
  <c r="K52" i="6"/>
  <c r="H77" i="7"/>
  <c r="H138" i="7"/>
  <c r="H135" i="7" s="1"/>
  <c r="D126" i="6"/>
  <c r="D127" i="6" s="1"/>
  <c r="D140" i="6" s="1"/>
  <c r="J15" i="7"/>
  <c r="J38" i="7" s="1"/>
  <c r="J39" i="7" s="1"/>
  <c r="J119" i="7" s="1"/>
  <c r="J118" i="7" s="1"/>
  <c r="J125" i="7" s="1"/>
  <c r="K14" i="7"/>
  <c r="J118" i="1"/>
  <c r="J125" i="1" s="1"/>
  <c r="D110" i="2"/>
  <c r="D110" i="3"/>
  <c r="J15" i="2"/>
  <c r="J38" i="2" s="1"/>
  <c r="J39" i="2" s="1"/>
  <c r="J119" i="2" s="1"/>
  <c r="J118" i="2" s="1"/>
  <c r="J125" i="2" s="1"/>
  <c r="K14" i="2"/>
  <c r="K53" i="5"/>
  <c r="K58" i="5" s="1"/>
  <c r="K57" i="5" s="1"/>
  <c r="K62" i="5" s="1"/>
  <c r="J63" i="5" s="1"/>
  <c r="J76" i="5" s="1"/>
  <c r="L52" i="5"/>
  <c r="L53" i="5" s="1"/>
  <c r="L58" i="5" s="1"/>
  <c r="L57" i="5" s="1"/>
  <c r="L62" i="5" s="1"/>
  <c r="L12" i="1"/>
  <c r="L32" i="1" s="1"/>
  <c r="L33" i="1" s="1"/>
  <c r="L116" i="1" s="1"/>
  <c r="K32" i="1"/>
  <c r="K33" i="1" s="1"/>
  <c r="K116" i="1" s="1"/>
  <c r="K45" i="6"/>
  <c r="L17" i="6"/>
  <c r="L45" i="6" s="1"/>
  <c r="L17" i="1"/>
  <c r="L45" i="1" s="1"/>
  <c r="K45" i="1"/>
  <c r="H138" i="6"/>
  <c r="H135" i="6" s="1"/>
  <c r="H77" i="6"/>
  <c r="C144" i="7"/>
  <c r="D110" i="4"/>
  <c r="D110" i="1"/>
  <c r="H77" i="2"/>
  <c r="H138" i="2"/>
  <c r="K52" i="2"/>
  <c r="J53" i="2"/>
  <c r="J58" i="2" s="1"/>
  <c r="J57" i="2" s="1"/>
  <c r="J62" i="2" s="1"/>
  <c r="I63" i="2" s="1"/>
  <c r="I76" i="2" s="1"/>
  <c r="K14" i="6"/>
  <c r="J15" i="6"/>
  <c r="J38" i="6" s="1"/>
  <c r="J39" i="6" s="1"/>
  <c r="J119" i="6" s="1"/>
  <c r="K15" i="1"/>
  <c r="K38" i="1" s="1"/>
  <c r="K39" i="1" s="1"/>
  <c r="K119" i="1" s="1"/>
  <c r="L14" i="1"/>
  <c r="L15" i="1" s="1"/>
  <c r="L38" i="1" s="1"/>
  <c r="L39" i="1" s="1"/>
  <c r="L119" i="1" s="1"/>
  <c r="K45" i="4"/>
  <c r="L17" i="4"/>
  <c r="L45" i="4" s="1"/>
  <c r="I138" i="5"/>
  <c r="I77" i="5"/>
  <c r="K16" i="6"/>
  <c r="J44" i="6"/>
  <c r="J46" i="6" s="1"/>
  <c r="J120" i="6" s="1"/>
  <c r="L16" i="5"/>
  <c r="L44" i="5" s="1"/>
  <c r="L46" i="5" s="1"/>
  <c r="L120" i="5" s="1"/>
  <c r="K44" i="5"/>
  <c r="K46" i="5" s="1"/>
  <c r="K120" i="5" s="1"/>
  <c r="L63" i="4"/>
  <c r="L76" i="4" s="1"/>
  <c r="K63" i="4"/>
  <c r="K76" i="4" s="1"/>
  <c r="C140" i="4"/>
  <c r="E109" i="6"/>
  <c r="E121" i="6"/>
  <c r="E118" i="6" s="1"/>
  <c r="E125" i="6" s="1"/>
  <c r="K16" i="4"/>
  <c r="J44" i="4"/>
  <c r="J46" i="4" s="1"/>
  <c r="J120" i="4" s="1"/>
  <c r="J44" i="1"/>
  <c r="J46" i="1" s="1"/>
  <c r="J120" i="1" s="1"/>
  <c r="K16" i="1"/>
  <c r="K45" i="3"/>
  <c r="L17" i="3"/>
  <c r="L45" i="3" s="1"/>
  <c r="K32" i="5"/>
  <c r="K33" i="5" s="1"/>
  <c r="K116" i="5" s="1"/>
  <c r="L12" i="5"/>
  <c r="L32" i="5" s="1"/>
  <c r="L33" i="5" s="1"/>
  <c r="L116" i="5" s="1"/>
  <c r="K52" i="7"/>
  <c r="J53" i="7"/>
  <c r="J58" i="7" s="1"/>
  <c r="J57" i="7" s="1"/>
  <c r="J62" i="7" s="1"/>
  <c r="I63" i="7" s="1"/>
  <c r="I76" i="7" s="1"/>
  <c r="H77" i="1"/>
  <c r="H138" i="1"/>
  <c r="K63" i="3"/>
  <c r="K76" i="3" s="1"/>
  <c r="L63" i="3"/>
  <c r="L76" i="3" s="1"/>
  <c r="L77" i="3" s="1"/>
  <c r="L133" i="3" s="1"/>
  <c r="L131" i="3" s="1"/>
  <c r="J14" i="3"/>
  <c r="I15" i="3"/>
  <c r="I38" i="3" s="1"/>
  <c r="I39" i="3" s="1"/>
  <c r="I119" i="3" s="1"/>
  <c r="K52" i="1"/>
  <c r="J53" i="1"/>
  <c r="J58" i="1" s="1"/>
  <c r="J57" i="1" s="1"/>
  <c r="J62" i="1" s="1"/>
  <c r="I63" i="1" s="1"/>
  <c r="I76" i="1" s="1"/>
  <c r="K44" i="7"/>
  <c r="K46" i="7" s="1"/>
  <c r="K120" i="7" s="1"/>
  <c r="L16" i="7"/>
  <c r="L44" i="7" s="1"/>
  <c r="L46" i="7" s="1"/>
  <c r="L120" i="7" s="1"/>
  <c r="F110" i="6"/>
  <c r="F108" i="6"/>
  <c r="J126" i="1" l="1"/>
  <c r="J127" i="1"/>
  <c r="E126" i="6"/>
  <c r="E127" i="6" s="1"/>
  <c r="E140" i="6" s="1"/>
  <c r="I138" i="6"/>
  <c r="I135" i="6" s="1"/>
  <c r="I77" i="6"/>
  <c r="K14" i="4"/>
  <c r="J15" i="4"/>
  <c r="J38" i="4" s="1"/>
  <c r="J39" i="4" s="1"/>
  <c r="J119" i="4" s="1"/>
  <c r="J118" i="4" s="1"/>
  <c r="J125" i="4" s="1"/>
  <c r="J118" i="6"/>
  <c r="J125" i="6" s="1"/>
  <c r="D121" i="3"/>
  <c r="D118" i="3" s="1"/>
  <c r="D125" i="3" s="1"/>
  <c r="D109" i="3"/>
  <c r="D111" i="3" s="1"/>
  <c r="C140" i="5"/>
  <c r="D142" i="6"/>
  <c r="L138" i="4"/>
  <c r="L77" i="4"/>
  <c r="L133" i="4" s="1"/>
  <c r="L131" i="4" s="1"/>
  <c r="I77" i="7"/>
  <c r="I138" i="7"/>
  <c r="I135" i="7" s="1"/>
  <c r="I138" i="2"/>
  <c r="I77" i="2"/>
  <c r="D121" i="2"/>
  <c r="D118" i="2" s="1"/>
  <c r="D125" i="2" s="1"/>
  <c r="D109" i="2"/>
  <c r="D111" i="2" s="1"/>
  <c r="D144" i="6"/>
  <c r="J138" i="5"/>
  <c r="J135" i="5" s="1"/>
  <c r="J77" i="5"/>
  <c r="K77" i="3"/>
  <c r="K138" i="3"/>
  <c r="K135" i="3" s="1"/>
  <c r="K15" i="2"/>
  <c r="K38" i="2" s="1"/>
  <c r="K39" i="2" s="1"/>
  <c r="K119" i="2" s="1"/>
  <c r="K118" i="2" s="1"/>
  <c r="K125" i="2" s="1"/>
  <c r="L14" i="2"/>
  <c r="L15" i="2" s="1"/>
  <c r="L38" i="2" s="1"/>
  <c r="L39" i="2" s="1"/>
  <c r="L119" i="2" s="1"/>
  <c r="L118" i="2" s="1"/>
  <c r="L125" i="2" s="1"/>
  <c r="C142" i="4"/>
  <c r="C144" i="4"/>
  <c r="K14" i="5"/>
  <c r="J15" i="5"/>
  <c r="J38" i="5" s="1"/>
  <c r="J39" i="5" s="1"/>
  <c r="J119" i="5" s="1"/>
  <c r="J118" i="5" s="1"/>
  <c r="J125" i="5" s="1"/>
  <c r="C139" i="5"/>
  <c r="C135" i="5" s="1"/>
  <c r="C108" i="5"/>
  <c r="J126" i="2"/>
  <c r="J127" i="2" s="1"/>
  <c r="K138" i="4"/>
  <c r="K135" i="4" s="1"/>
  <c r="K77" i="4"/>
  <c r="C142" i="7"/>
  <c r="J126" i="7"/>
  <c r="J127" i="7"/>
  <c r="G110" i="6"/>
  <c r="G108" i="6"/>
  <c r="I77" i="1"/>
  <c r="I138" i="1"/>
  <c r="K44" i="6"/>
  <c r="K46" i="6" s="1"/>
  <c r="K120" i="6" s="1"/>
  <c r="L16" i="6"/>
  <c r="L44" i="6" s="1"/>
  <c r="L46" i="6" s="1"/>
  <c r="L120" i="6" s="1"/>
  <c r="D109" i="1"/>
  <c r="D111" i="1" s="1"/>
  <c r="D121" i="1"/>
  <c r="D118" i="1" s="1"/>
  <c r="D125" i="1" s="1"/>
  <c r="L14" i="6"/>
  <c r="L15" i="6" s="1"/>
  <c r="L38" i="6" s="1"/>
  <c r="L39" i="6" s="1"/>
  <c r="L119" i="6" s="1"/>
  <c r="L118" i="6" s="1"/>
  <c r="L125" i="6" s="1"/>
  <c r="K15" i="6"/>
  <c r="K38" i="6" s="1"/>
  <c r="K39" i="6" s="1"/>
  <c r="K119" i="6" s="1"/>
  <c r="K118" i="6" s="1"/>
  <c r="K125" i="6" s="1"/>
  <c r="L52" i="2"/>
  <c r="L53" i="2" s="1"/>
  <c r="L58" i="2" s="1"/>
  <c r="L57" i="2" s="1"/>
  <c r="L62" i="2" s="1"/>
  <c r="K53" i="2"/>
  <c r="K58" i="2" s="1"/>
  <c r="K57" i="2" s="1"/>
  <c r="K62" i="2" s="1"/>
  <c r="J63" i="2" s="1"/>
  <c r="J76" i="2" s="1"/>
  <c r="F121" i="6"/>
  <c r="F118" i="6" s="1"/>
  <c r="F125" i="6" s="1"/>
  <c r="F109" i="6"/>
  <c r="K15" i="7"/>
  <c r="K38" i="7" s="1"/>
  <c r="K39" i="7" s="1"/>
  <c r="K119" i="7" s="1"/>
  <c r="K118" i="7" s="1"/>
  <c r="K125" i="7" s="1"/>
  <c r="L14" i="7"/>
  <c r="L15" i="7" s="1"/>
  <c r="L38" i="7" s="1"/>
  <c r="L39" i="7" s="1"/>
  <c r="L119" i="7" s="1"/>
  <c r="L118" i="7" s="1"/>
  <c r="L125" i="7" s="1"/>
  <c r="L52" i="1"/>
  <c r="L53" i="1" s="1"/>
  <c r="L58" i="1" s="1"/>
  <c r="L57" i="1" s="1"/>
  <c r="L62" i="1" s="1"/>
  <c r="K53" i="1"/>
  <c r="K58" i="1" s="1"/>
  <c r="K57" i="1" s="1"/>
  <c r="K62" i="1" s="1"/>
  <c r="J63" i="1" s="1"/>
  <c r="J76" i="1" s="1"/>
  <c r="K44" i="1"/>
  <c r="K46" i="1" s="1"/>
  <c r="K120" i="1" s="1"/>
  <c r="K118" i="1" s="1"/>
  <c r="K125" i="1" s="1"/>
  <c r="L16" i="1"/>
  <c r="L44" i="1" s="1"/>
  <c r="L46" i="1" s="1"/>
  <c r="L120" i="1" s="1"/>
  <c r="K53" i="6"/>
  <c r="K58" i="6" s="1"/>
  <c r="K57" i="6" s="1"/>
  <c r="K62" i="6" s="1"/>
  <c r="J63" i="6" s="1"/>
  <c r="J76" i="6" s="1"/>
  <c r="L52" i="6"/>
  <c r="L53" i="6" s="1"/>
  <c r="L58" i="6" s="1"/>
  <c r="L57" i="6" s="1"/>
  <c r="L62" i="6" s="1"/>
  <c r="L52" i="7"/>
  <c r="L53" i="7" s="1"/>
  <c r="L58" i="7" s="1"/>
  <c r="L57" i="7" s="1"/>
  <c r="L62" i="7" s="1"/>
  <c r="K53" i="7"/>
  <c r="K58" i="7" s="1"/>
  <c r="K57" i="7" s="1"/>
  <c r="K62" i="7" s="1"/>
  <c r="J63" i="7" s="1"/>
  <c r="J76" i="7" s="1"/>
  <c r="D110" i="7"/>
  <c r="K44" i="4"/>
  <c r="K46" i="4" s="1"/>
  <c r="K120" i="4" s="1"/>
  <c r="L16" i="4"/>
  <c r="L44" i="4" s="1"/>
  <c r="L46" i="4" s="1"/>
  <c r="L120" i="4" s="1"/>
  <c r="D109" i="4"/>
  <c r="D111" i="4" s="1"/>
  <c r="D121" i="4"/>
  <c r="D118" i="4" s="1"/>
  <c r="D125" i="4" s="1"/>
  <c r="L118" i="1"/>
  <c r="L125" i="1" s="1"/>
  <c r="K14" i="3"/>
  <c r="J15" i="3"/>
  <c r="J38" i="3" s="1"/>
  <c r="J39" i="3" s="1"/>
  <c r="J119" i="3" s="1"/>
  <c r="J118" i="3" s="1"/>
  <c r="J125" i="3" s="1"/>
  <c r="L63" i="5"/>
  <c r="L76" i="5" s="1"/>
  <c r="L77" i="5" s="1"/>
  <c r="L133" i="5" s="1"/>
  <c r="L131" i="5" s="1"/>
  <c r="K63" i="5"/>
  <c r="K76" i="5" s="1"/>
  <c r="K126" i="1" l="1"/>
  <c r="K127" i="1" s="1"/>
  <c r="L126" i="1"/>
  <c r="L127" i="1" s="1"/>
  <c r="L140" i="1" s="1"/>
  <c r="L14" i="4"/>
  <c r="L15" i="4" s="1"/>
  <c r="L38" i="4" s="1"/>
  <c r="L39" i="4" s="1"/>
  <c r="L119" i="4" s="1"/>
  <c r="L118" i="4" s="1"/>
  <c r="L125" i="4" s="1"/>
  <c r="K15" i="4"/>
  <c r="K38" i="4" s="1"/>
  <c r="K39" i="4" s="1"/>
  <c r="K119" i="4" s="1"/>
  <c r="K118" i="4" s="1"/>
  <c r="K125" i="4" s="1"/>
  <c r="K126" i="6"/>
  <c r="K127" i="6"/>
  <c r="J126" i="4"/>
  <c r="J127" i="4" s="1"/>
  <c r="J140" i="4" s="1"/>
  <c r="L14" i="3"/>
  <c r="L15" i="3" s="1"/>
  <c r="L38" i="3" s="1"/>
  <c r="L39" i="3" s="1"/>
  <c r="L119" i="3" s="1"/>
  <c r="L118" i="3" s="1"/>
  <c r="L125" i="3" s="1"/>
  <c r="K15" i="3"/>
  <c r="K38" i="3" s="1"/>
  <c r="K39" i="3" s="1"/>
  <c r="K119" i="3" s="1"/>
  <c r="K118" i="3" s="1"/>
  <c r="K125" i="3" s="1"/>
  <c r="J138" i="6"/>
  <c r="J135" i="6" s="1"/>
  <c r="J77" i="6"/>
  <c r="D126" i="1"/>
  <c r="D127" i="1"/>
  <c r="D140" i="1" s="1"/>
  <c r="D139" i="1"/>
  <c r="D135" i="1" s="1"/>
  <c r="D108" i="1"/>
  <c r="L126" i="2"/>
  <c r="L127" i="2"/>
  <c r="L140" i="2" s="1"/>
  <c r="K138" i="5"/>
  <c r="K135" i="5" s="1"/>
  <c r="K77" i="5"/>
  <c r="J140" i="7"/>
  <c r="L63" i="7"/>
  <c r="L76" i="7" s="1"/>
  <c r="L77" i="7" s="1"/>
  <c r="L133" i="7" s="1"/>
  <c r="L131" i="7" s="1"/>
  <c r="K63" i="7"/>
  <c r="K76" i="7" s="1"/>
  <c r="J127" i="3"/>
  <c r="J140" i="3" s="1"/>
  <c r="J126" i="3"/>
  <c r="D126" i="4"/>
  <c r="D127" i="4"/>
  <c r="J77" i="1"/>
  <c r="J138" i="1"/>
  <c r="J135" i="1" s="1"/>
  <c r="E142" i="6"/>
  <c r="J138" i="7"/>
  <c r="J135" i="7" s="1"/>
  <c r="J77" i="7"/>
  <c r="L126" i="6"/>
  <c r="L127" i="6" s="1"/>
  <c r="L140" i="6" s="1"/>
  <c r="L63" i="6"/>
  <c r="L76" i="6" s="1"/>
  <c r="L77" i="6" s="1"/>
  <c r="L133" i="6" s="1"/>
  <c r="L131" i="6" s="1"/>
  <c r="K63" i="6"/>
  <c r="K76" i="6" s="1"/>
  <c r="D139" i="4"/>
  <c r="D135" i="4" s="1"/>
  <c r="D108" i="4"/>
  <c r="K63" i="1"/>
  <c r="K76" i="1" s="1"/>
  <c r="L63" i="1"/>
  <c r="L76" i="1" s="1"/>
  <c r="L77" i="1" s="1"/>
  <c r="L133" i="1" s="1"/>
  <c r="L131" i="1" s="1"/>
  <c r="L126" i="7"/>
  <c r="L127" i="7" s="1"/>
  <c r="L140" i="7" s="1"/>
  <c r="C144" i="5"/>
  <c r="C142" i="5"/>
  <c r="E144" i="6"/>
  <c r="K126" i="2"/>
  <c r="K127" i="2" s="1"/>
  <c r="H110" i="6"/>
  <c r="H108" i="6"/>
  <c r="G109" i="6"/>
  <c r="G121" i="6"/>
  <c r="G118" i="6" s="1"/>
  <c r="G125" i="6" s="1"/>
  <c r="D109" i="7"/>
  <c r="D111" i="7" s="1"/>
  <c r="D121" i="7"/>
  <c r="D118" i="7" s="1"/>
  <c r="D125" i="7" s="1"/>
  <c r="D110" i="5"/>
  <c r="F126" i="6"/>
  <c r="F127" i="6" s="1"/>
  <c r="F140" i="6" s="1"/>
  <c r="D139" i="3"/>
  <c r="D135" i="3" s="1"/>
  <c r="D108" i="3"/>
  <c r="J126" i="5"/>
  <c r="J127" i="5" s="1"/>
  <c r="J140" i="5" s="1"/>
  <c r="D139" i="2"/>
  <c r="D135" i="2" s="1"/>
  <c r="D108" i="2"/>
  <c r="D126" i="3"/>
  <c r="D127" i="3" s="1"/>
  <c r="D140" i="3" s="1"/>
  <c r="J140" i="1"/>
  <c r="K126" i="7"/>
  <c r="K127" i="7"/>
  <c r="J138" i="2"/>
  <c r="J135" i="2" s="1"/>
  <c r="J140" i="2" s="1"/>
  <c r="J77" i="2"/>
  <c r="L63" i="2"/>
  <c r="L76" i="2" s="1"/>
  <c r="L77" i="2" s="1"/>
  <c r="L133" i="2" s="1"/>
  <c r="L131" i="2" s="1"/>
  <c r="K63" i="2"/>
  <c r="K76" i="2" s="1"/>
  <c r="L14" i="5"/>
  <c r="L15" i="5" s="1"/>
  <c r="L38" i="5" s="1"/>
  <c r="L39" i="5" s="1"/>
  <c r="L119" i="5" s="1"/>
  <c r="L118" i="5" s="1"/>
  <c r="L125" i="5" s="1"/>
  <c r="K15" i="5"/>
  <c r="K38" i="5" s="1"/>
  <c r="K39" i="5" s="1"/>
  <c r="K119" i="5" s="1"/>
  <c r="K118" i="5" s="1"/>
  <c r="K125" i="5" s="1"/>
  <c r="D127" i="2"/>
  <c r="D140" i="2" s="1"/>
  <c r="D126" i="2"/>
  <c r="J126" i="6"/>
  <c r="J127" i="6"/>
  <c r="J140" i="6" s="1"/>
  <c r="D142" i="3" l="1"/>
  <c r="D144" i="3"/>
  <c r="K140" i="1"/>
  <c r="K138" i="7"/>
  <c r="K135" i="7" s="1"/>
  <c r="K140" i="7" s="1"/>
  <c r="K77" i="7"/>
  <c r="K138" i="6"/>
  <c r="K135" i="6" s="1"/>
  <c r="K140" i="6" s="1"/>
  <c r="K77" i="6"/>
  <c r="K127" i="4"/>
  <c r="K140" i="4" s="1"/>
  <c r="K126" i="4"/>
  <c r="L126" i="5"/>
  <c r="L127" i="5" s="1"/>
  <c r="L140" i="5" s="1"/>
  <c r="L126" i="4"/>
  <c r="L127" i="4" s="1"/>
  <c r="L140" i="4" s="1"/>
  <c r="K77" i="2"/>
  <c r="K138" i="2"/>
  <c r="K135" i="2" s="1"/>
  <c r="K140" i="2" s="1"/>
  <c r="F142" i="6"/>
  <c r="G142" i="6" s="1"/>
  <c r="B155" i="6"/>
  <c r="G8" i="8" s="1"/>
  <c r="E110" i="1"/>
  <c r="H109" i="6"/>
  <c r="H121" i="6"/>
  <c r="H118" i="6" s="1"/>
  <c r="H125" i="6" s="1"/>
  <c r="K127" i="5"/>
  <c r="K140" i="5" s="1"/>
  <c r="K126" i="5"/>
  <c r="E110" i="3"/>
  <c r="F144" i="6"/>
  <c r="D144" i="1"/>
  <c r="D142" i="1"/>
  <c r="E110" i="4"/>
  <c r="I110" i="6"/>
  <c r="I108" i="6"/>
  <c r="D142" i="2"/>
  <c r="D144" i="2"/>
  <c r="D109" i="5"/>
  <c r="D111" i="5" s="1"/>
  <c r="D121" i="5"/>
  <c r="D118" i="5" s="1"/>
  <c r="D125" i="5" s="1"/>
  <c r="D140" i="4"/>
  <c r="D126" i="7"/>
  <c r="D127" i="7" s="1"/>
  <c r="D140" i="7" s="1"/>
  <c r="E110" i="2"/>
  <c r="K126" i="3"/>
  <c r="K127" i="3"/>
  <c r="K140" i="3" s="1"/>
  <c r="D139" i="7"/>
  <c r="D135" i="7" s="1"/>
  <c r="D108" i="7"/>
  <c r="E108" i="7" s="1"/>
  <c r="G126" i="6"/>
  <c r="G127" i="6"/>
  <c r="G140" i="6" s="1"/>
  <c r="K138" i="1"/>
  <c r="K135" i="1" s="1"/>
  <c r="K77" i="1"/>
  <c r="L126" i="3"/>
  <c r="L127" i="3"/>
  <c r="L140" i="3" s="1"/>
  <c r="D144" i="7" l="1"/>
  <c r="D142" i="7"/>
  <c r="I109" i="6"/>
  <c r="I121" i="6"/>
  <c r="I118" i="6" s="1"/>
  <c r="I125" i="6" s="1"/>
  <c r="E111" i="1"/>
  <c r="E121" i="1"/>
  <c r="E118" i="1" s="1"/>
  <c r="E125" i="1" s="1"/>
  <c r="H126" i="6"/>
  <c r="H127" i="6"/>
  <c r="H140" i="6" s="1"/>
  <c r="D144" i="4"/>
  <c r="D142" i="4"/>
  <c r="D139" i="5"/>
  <c r="D135" i="5" s="1"/>
  <c r="D108" i="5"/>
  <c r="E121" i="2"/>
  <c r="E118" i="2" s="1"/>
  <c r="E125" i="2" s="1"/>
  <c r="E111" i="2"/>
  <c r="E121" i="4"/>
  <c r="E118" i="4" s="1"/>
  <c r="E125" i="4" s="1"/>
  <c r="E111" i="4"/>
  <c r="G144" i="6"/>
  <c r="D127" i="5"/>
  <c r="D126" i="5"/>
  <c r="F108" i="7"/>
  <c r="E110" i="7"/>
  <c r="E121" i="7" s="1"/>
  <c r="E118" i="7" s="1"/>
  <c r="E125" i="7" s="1"/>
  <c r="E121" i="3"/>
  <c r="E118" i="3" s="1"/>
  <c r="E125" i="3" s="1"/>
  <c r="E111" i="3"/>
  <c r="E110" i="5" l="1"/>
  <c r="E126" i="7"/>
  <c r="E127" i="7"/>
  <c r="E140" i="7" s="1"/>
  <c r="E126" i="2"/>
  <c r="E127" i="2" s="1"/>
  <c r="E140" i="2" s="1"/>
  <c r="E142" i="7"/>
  <c r="E144" i="7"/>
  <c r="E139" i="2"/>
  <c r="E135" i="2" s="1"/>
  <c r="E108" i="2"/>
  <c r="E126" i="1"/>
  <c r="E127" i="1" s="1"/>
  <c r="E140" i="1" s="1"/>
  <c r="I126" i="6"/>
  <c r="I127" i="6" s="1"/>
  <c r="I140" i="6" s="1"/>
  <c r="D140" i="5"/>
  <c r="E126" i="3"/>
  <c r="E127" i="3" s="1"/>
  <c r="E140" i="3" s="1"/>
  <c r="G108" i="7"/>
  <c r="F110" i="7"/>
  <c r="F121" i="7" s="1"/>
  <c r="F118" i="7" s="1"/>
  <c r="F125" i="7" s="1"/>
  <c r="H144" i="6"/>
  <c r="B156" i="6"/>
  <c r="H8" i="8" s="1"/>
  <c r="H142" i="6"/>
  <c r="E139" i="3"/>
  <c r="E135" i="3" s="1"/>
  <c r="E108" i="3"/>
  <c r="E139" i="1"/>
  <c r="E135" i="1" s="1"/>
  <c r="E108" i="1"/>
  <c r="E139" i="4"/>
  <c r="E135" i="4" s="1"/>
  <c r="E108" i="4"/>
  <c r="E126" i="4"/>
  <c r="E127" i="4"/>
  <c r="E140" i="4" s="1"/>
  <c r="E142" i="3" l="1"/>
  <c r="E144" i="3"/>
  <c r="E142" i="1"/>
  <c r="E144" i="1"/>
  <c r="B157" i="6"/>
  <c r="I8" i="8" s="1"/>
  <c r="B154" i="6"/>
  <c r="F8" i="8" s="1"/>
  <c r="B153" i="6"/>
  <c r="E8" i="8" s="1"/>
  <c r="E144" i="2"/>
  <c r="E142" i="2"/>
  <c r="F126" i="7"/>
  <c r="F127" i="7"/>
  <c r="F140" i="7" s="1"/>
  <c r="I142" i="6"/>
  <c r="J142" i="6" s="1"/>
  <c r="K142" i="6" s="1"/>
  <c r="L142" i="6" s="1"/>
  <c r="D144" i="5"/>
  <c r="D142" i="5"/>
  <c r="F110" i="3"/>
  <c r="I144" i="6"/>
  <c r="J144" i="6" s="1"/>
  <c r="K144" i="6" s="1"/>
  <c r="L144" i="6" s="1"/>
  <c r="E142" i="4"/>
  <c r="E144" i="4"/>
  <c r="F110" i="2"/>
  <c r="F144" i="7"/>
  <c r="G110" i="7"/>
  <c r="G121" i="7" s="1"/>
  <c r="G118" i="7" s="1"/>
  <c r="G125" i="7" s="1"/>
  <c r="H108" i="7"/>
  <c r="E109" i="5"/>
  <c r="E111" i="5" s="1"/>
  <c r="E121" i="5"/>
  <c r="E118" i="5" s="1"/>
  <c r="E125" i="5" s="1"/>
  <c r="F142" i="7"/>
  <c r="F110" i="4"/>
  <c r="F110" i="1"/>
  <c r="F121" i="4" l="1"/>
  <c r="F118" i="4" s="1"/>
  <c r="F125" i="4" s="1"/>
  <c r="F111" i="4"/>
  <c r="B155" i="7"/>
  <c r="G9" i="8" s="1"/>
  <c r="H110" i="7"/>
  <c r="H121" i="7" s="1"/>
  <c r="H118" i="7" s="1"/>
  <c r="H125" i="7" s="1"/>
  <c r="I108" i="7"/>
  <c r="I110" i="7" s="1"/>
  <c r="I121" i="7" s="1"/>
  <c r="I118" i="7" s="1"/>
  <c r="I125" i="7" s="1"/>
  <c r="F111" i="3"/>
  <c r="F121" i="3"/>
  <c r="F118" i="3" s="1"/>
  <c r="F125" i="3" s="1"/>
  <c r="E126" i="5"/>
  <c r="E127" i="5" s="1"/>
  <c r="E140" i="5" s="1"/>
  <c r="E139" i="5"/>
  <c r="E135" i="5" s="1"/>
  <c r="E108" i="5"/>
  <c r="G126" i="7"/>
  <c r="G127" i="7"/>
  <c r="G140" i="7" s="1"/>
  <c r="G144" i="7" s="1"/>
  <c r="F111" i="2"/>
  <c r="F121" i="2"/>
  <c r="F118" i="2" s="1"/>
  <c r="F125" i="2" s="1"/>
  <c r="F121" i="1"/>
  <c r="F118" i="1" s="1"/>
  <c r="F125" i="1" s="1"/>
  <c r="F111" i="1"/>
  <c r="B156" i="7" l="1"/>
  <c r="H9" i="8" s="1"/>
  <c r="E142" i="5"/>
  <c r="E144" i="5"/>
  <c r="F139" i="2"/>
  <c r="F135" i="2" s="1"/>
  <c r="F108" i="2"/>
  <c r="H126" i="7"/>
  <c r="H127" i="7" s="1"/>
  <c r="H140" i="7" s="1"/>
  <c r="H144" i="7" s="1"/>
  <c r="I144" i="7" s="1"/>
  <c r="J144" i="7" s="1"/>
  <c r="K144" i="7" s="1"/>
  <c r="L144" i="7" s="1"/>
  <c r="F127" i="3"/>
  <c r="F140" i="3" s="1"/>
  <c r="F126" i="3"/>
  <c r="F139" i="3"/>
  <c r="F135" i="3" s="1"/>
  <c r="F108" i="3"/>
  <c r="F127" i="2"/>
  <c r="F140" i="2" s="1"/>
  <c r="F126" i="2"/>
  <c r="G142" i="7"/>
  <c r="F139" i="4"/>
  <c r="F135" i="4" s="1"/>
  <c r="F108" i="4"/>
  <c r="I126" i="7"/>
  <c r="I127" i="7"/>
  <c r="I140" i="7" s="1"/>
  <c r="F126" i="1"/>
  <c r="F127" i="1"/>
  <c r="F126" i="4"/>
  <c r="F127" i="4"/>
  <c r="F140" i="4" s="1"/>
  <c r="F110" i="5"/>
  <c r="F139" i="1"/>
  <c r="F135" i="1" s="1"/>
  <c r="F108" i="1"/>
  <c r="F144" i="2" l="1"/>
  <c r="F142" i="2"/>
  <c r="F109" i="5"/>
  <c r="F111" i="5" s="1"/>
  <c r="F121" i="5"/>
  <c r="F118" i="5" s="1"/>
  <c r="F125" i="5" s="1"/>
  <c r="G110" i="1"/>
  <c r="F140" i="1"/>
  <c r="B157" i="7"/>
  <c r="I9" i="8" s="1"/>
  <c r="B153" i="7"/>
  <c r="E9" i="8" s="1"/>
  <c r="B154" i="7"/>
  <c r="F9" i="8" s="1"/>
  <c r="G110" i="4"/>
  <c r="F144" i="3"/>
  <c r="F142" i="3"/>
  <c r="G110" i="2"/>
  <c r="G110" i="3"/>
  <c r="F144" i="4"/>
  <c r="F142" i="4"/>
  <c r="B155" i="5"/>
  <c r="G7" i="8" s="1"/>
  <c r="H142" i="7"/>
  <c r="I142" i="7" s="1"/>
  <c r="J142" i="7" s="1"/>
  <c r="K142" i="7" s="1"/>
  <c r="L142" i="7" s="1"/>
  <c r="G121" i="1" l="1"/>
  <c r="G118" i="1" s="1"/>
  <c r="G125" i="1" s="1"/>
  <c r="G111" i="1"/>
  <c r="G121" i="4"/>
  <c r="G118" i="4" s="1"/>
  <c r="G125" i="4" s="1"/>
  <c r="G111" i="4"/>
  <c r="G121" i="3"/>
  <c r="G118" i="3" s="1"/>
  <c r="G125" i="3" s="1"/>
  <c r="G111" i="3"/>
  <c r="F139" i="5"/>
  <c r="F135" i="5" s="1"/>
  <c r="F108" i="5"/>
  <c r="B156" i="4"/>
  <c r="H6" i="8" s="1"/>
  <c r="B155" i="4"/>
  <c r="G6" i="8" s="1"/>
  <c r="F142" i="1"/>
  <c r="F144" i="1"/>
  <c r="F126" i="5"/>
  <c r="F127" i="5"/>
  <c r="F140" i="5" s="1"/>
  <c r="G111" i="2"/>
  <c r="G121" i="2"/>
  <c r="G118" i="2" s="1"/>
  <c r="G125" i="2" s="1"/>
  <c r="G139" i="3" l="1"/>
  <c r="G135" i="3" s="1"/>
  <c r="G108" i="3"/>
  <c r="F144" i="5"/>
  <c r="F142" i="5"/>
  <c r="G139" i="2"/>
  <c r="G135" i="2" s="1"/>
  <c r="G108" i="2"/>
  <c r="G110" i="5"/>
  <c r="G127" i="2"/>
  <c r="G140" i="2" s="1"/>
  <c r="G126" i="2"/>
  <c r="G142" i="1"/>
  <c r="B155" i="1"/>
  <c r="G5" i="8" s="1"/>
  <c r="G10" i="8" s="1"/>
  <c r="G139" i="4"/>
  <c r="G135" i="4" s="1"/>
  <c r="G108" i="4"/>
  <c r="G126" i="4"/>
  <c r="G127" i="4" s="1"/>
  <c r="G140" i="4" s="1"/>
  <c r="G126" i="3"/>
  <c r="G127" i="3" s="1"/>
  <c r="G140" i="3" s="1"/>
  <c r="G139" i="1"/>
  <c r="G135" i="1" s="1"/>
  <c r="G108" i="1"/>
  <c r="G126" i="1"/>
  <c r="G127" i="1"/>
  <c r="G140" i="1" s="1"/>
  <c r="G144" i="1" s="1"/>
  <c r="G144" i="4" l="1"/>
  <c r="G142" i="4"/>
  <c r="G144" i="3"/>
  <c r="G142" i="3"/>
  <c r="H110" i="2"/>
  <c r="G109" i="5"/>
  <c r="G111" i="5" s="1"/>
  <c r="G121" i="5"/>
  <c r="G118" i="5" s="1"/>
  <c r="G125" i="5" s="1"/>
  <c r="H110" i="3"/>
  <c r="G144" i="2"/>
  <c r="G142" i="2"/>
  <c r="H110" i="1"/>
  <c r="B156" i="5"/>
  <c r="H7" i="8" s="1"/>
  <c r="H110" i="4"/>
  <c r="G139" i="5" l="1"/>
  <c r="G135" i="5" s="1"/>
  <c r="G108" i="5"/>
  <c r="H111" i="3"/>
  <c r="H121" i="3"/>
  <c r="H118" i="3" s="1"/>
  <c r="H125" i="3" s="1"/>
  <c r="H121" i="4"/>
  <c r="H118" i="4" s="1"/>
  <c r="H125" i="4" s="1"/>
  <c r="H111" i="4"/>
  <c r="G126" i="5"/>
  <c r="G127" i="5" s="1"/>
  <c r="G140" i="5" s="1"/>
  <c r="H111" i="2"/>
  <c r="H121" i="2"/>
  <c r="H118" i="2" s="1"/>
  <c r="H125" i="2" s="1"/>
  <c r="H121" i="1"/>
  <c r="H118" i="1" s="1"/>
  <c r="H125" i="1" s="1"/>
  <c r="H111" i="1"/>
  <c r="G144" i="5" l="1"/>
  <c r="G142" i="5"/>
  <c r="H126" i="3"/>
  <c r="H127" i="3" s="1"/>
  <c r="H140" i="3" s="1"/>
  <c r="H139" i="1"/>
  <c r="H135" i="1" s="1"/>
  <c r="H108" i="1"/>
  <c r="H126" i="4"/>
  <c r="H127" i="4" s="1"/>
  <c r="H140" i="4" s="1"/>
  <c r="H139" i="3"/>
  <c r="H135" i="3" s="1"/>
  <c r="H108" i="3"/>
  <c r="H126" i="1"/>
  <c r="H127" i="1"/>
  <c r="H140" i="1" s="1"/>
  <c r="H110" i="5"/>
  <c r="H127" i="2"/>
  <c r="H140" i="2" s="1"/>
  <c r="H126" i="2"/>
  <c r="H139" i="2"/>
  <c r="H135" i="2" s="1"/>
  <c r="H108" i="2"/>
  <c r="H139" i="4"/>
  <c r="H135" i="4" s="1"/>
  <c r="H108" i="4"/>
  <c r="H142" i="4" l="1"/>
  <c r="H144" i="4"/>
  <c r="H144" i="3"/>
  <c r="H142" i="3"/>
  <c r="H142" i="2"/>
  <c r="H144" i="2"/>
  <c r="I110" i="3"/>
  <c r="I121" i="3" s="1"/>
  <c r="I118" i="3" s="1"/>
  <c r="I125" i="3" s="1"/>
  <c r="I109" i="3"/>
  <c r="I111" i="3" s="1"/>
  <c r="I139" i="3" s="1"/>
  <c r="I135" i="3" s="1"/>
  <c r="I110" i="4"/>
  <c r="H109" i="5"/>
  <c r="H111" i="5" s="1"/>
  <c r="H121" i="5"/>
  <c r="H118" i="5" s="1"/>
  <c r="H125" i="5" s="1"/>
  <c r="I109" i="1"/>
  <c r="I111" i="1" s="1"/>
  <c r="I139" i="1" s="1"/>
  <c r="I135" i="1" s="1"/>
  <c r="I110" i="1"/>
  <c r="I121" i="1" s="1"/>
  <c r="I118" i="1" s="1"/>
  <c r="I125" i="1" s="1"/>
  <c r="H142" i="1"/>
  <c r="H144" i="1"/>
  <c r="I110" i="2"/>
  <c r="I121" i="2" s="1"/>
  <c r="I118" i="2" s="1"/>
  <c r="I125" i="2" s="1"/>
  <c r="I109" i="2"/>
  <c r="I126" i="1" l="1"/>
  <c r="I127" i="1"/>
  <c r="I140" i="1" s="1"/>
  <c r="I108" i="1"/>
  <c r="H126" i="5"/>
  <c r="H127" i="5"/>
  <c r="I126" i="2"/>
  <c r="I127" i="2" s="1"/>
  <c r="I126" i="3"/>
  <c r="I127" i="3" s="1"/>
  <c r="I140" i="3" s="1"/>
  <c r="I144" i="1"/>
  <c r="J144" i="1" s="1"/>
  <c r="K144" i="1" s="1"/>
  <c r="L144" i="1" s="1"/>
  <c r="B156" i="1" s="1"/>
  <c r="H5" i="8" s="1"/>
  <c r="H10" i="8" s="1"/>
  <c r="H139" i="5"/>
  <c r="H135" i="5" s="1"/>
  <c r="H108" i="5"/>
  <c r="I121" i="4"/>
  <c r="I118" i="4" s="1"/>
  <c r="I125" i="4" s="1"/>
  <c r="I111" i="4"/>
  <c r="I108" i="3"/>
  <c r="I111" i="2"/>
  <c r="I142" i="1"/>
  <c r="J142" i="1" s="1"/>
  <c r="K142" i="1" s="1"/>
  <c r="L142" i="1" s="1"/>
  <c r="B153" i="3" l="1"/>
  <c r="B154" i="3"/>
  <c r="B157" i="3"/>
  <c r="I144" i="3"/>
  <c r="J144" i="3" s="1"/>
  <c r="K144" i="3" s="1"/>
  <c r="L144" i="3" s="1"/>
  <c r="B156" i="3" s="1"/>
  <c r="I142" i="3"/>
  <c r="J142" i="3" s="1"/>
  <c r="K142" i="3" s="1"/>
  <c r="L142" i="3" s="1"/>
  <c r="B155" i="3" s="1"/>
  <c r="H140" i="5"/>
  <c r="I110" i="5"/>
  <c r="I121" i="5" s="1"/>
  <c r="I118" i="5" s="1"/>
  <c r="I125" i="5" s="1"/>
  <c r="I109" i="5"/>
  <c r="I111" i="5" s="1"/>
  <c r="I139" i="5" s="1"/>
  <c r="I135" i="5" s="1"/>
  <c r="B157" i="1"/>
  <c r="I5" i="8" s="1"/>
  <c r="B154" i="1"/>
  <c r="F5" i="8" s="1"/>
  <c r="B153" i="1"/>
  <c r="E5" i="8" s="1"/>
  <c r="I126" i="4"/>
  <c r="I127" i="4"/>
  <c r="I140" i="4" s="1"/>
  <c r="I139" i="2"/>
  <c r="I135" i="2" s="1"/>
  <c r="I140" i="2" s="1"/>
  <c r="I108" i="2"/>
  <c r="I139" i="4"/>
  <c r="I135" i="4" s="1"/>
  <c r="I108" i="4"/>
  <c r="B153" i="2" l="1"/>
  <c r="B157" i="2"/>
  <c r="B154" i="2"/>
  <c r="I144" i="2"/>
  <c r="J144" i="2" s="1"/>
  <c r="K144" i="2" s="1"/>
  <c r="L144" i="2" s="1"/>
  <c r="B156" i="2" s="1"/>
  <c r="I142" i="2"/>
  <c r="J142" i="2" s="1"/>
  <c r="K142" i="2" s="1"/>
  <c r="L142" i="2" s="1"/>
  <c r="B155" i="2" s="1"/>
  <c r="B157" i="4"/>
  <c r="I6" i="8" s="1"/>
  <c r="B153" i="4"/>
  <c r="E6" i="8" s="1"/>
  <c r="B154" i="4"/>
  <c r="F6" i="8" s="1"/>
  <c r="I142" i="4"/>
  <c r="J142" i="4" s="1"/>
  <c r="K142" i="4" s="1"/>
  <c r="L142" i="4" s="1"/>
  <c r="I144" i="4"/>
  <c r="J144" i="4" s="1"/>
  <c r="K144" i="4" s="1"/>
  <c r="L144" i="4" s="1"/>
  <c r="I108" i="5"/>
  <c r="H142" i="5"/>
  <c r="H144" i="5"/>
  <c r="I126" i="5"/>
  <c r="I127" i="5" s="1"/>
  <c r="I140" i="5" s="1"/>
  <c r="B157" i="5" l="1"/>
  <c r="I7" i="8" s="1"/>
  <c r="I10" i="8" s="1"/>
  <c r="B153" i="5"/>
  <c r="E7" i="8" s="1"/>
  <c r="E10" i="8" s="1"/>
  <c r="B154" i="5"/>
  <c r="F7" i="8" s="1"/>
  <c r="F10" i="8" s="1"/>
  <c r="I144" i="5"/>
  <c r="J144" i="5" s="1"/>
  <c r="K144" i="5" s="1"/>
  <c r="L144" i="5" s="1"/>
  <c r="I142" i="5"/>
  <c r="J142" i="5" s="1"/>
  <c r="K142" i="5" s="1"/>
  <c r="L142" i="5" s="1"/>
</calcChain>
</file>

<file path=xl/sharedStrings.xml><?xml version="1.0" encoding="utf-8"?>
<sst xmlns="http://schemas.openxmlformats.org/spreadsheetml/2006/main" count="1945" uniqueCount="177">
  <si>
    <t>Camaronera Industrial</t>
  </si>
  <si>
    <t>Variables</t>
  </si>
  <si>
    <t>Horizonte de evaluación (años)</t>
  </si>
  <si>
    <t>Devaluación</t>
  </si>
  <si>
    <t>Inflación</t>
  </si>
  <si>
    <t>Año 0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</si>
  <si>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</si>
  <si>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</si>
  <si>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</si>
  <si>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</si>
  <si>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</si>
  <si>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</si>
  <si>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</si>
  <si>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</si>
  <si>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</si>
  <si>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</si>
  <si>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Área en producción (Ha)</t>
  </si>
  <si>
    <t>Producción neta (Lb/Ha/año)</t>
  </si>
  <si>
    <t>Producción neta total (Lb/año)</t>
  </si>
  <si>
    <t>Tasa de cambio</t>
  </si>
  <si>
    <t>Precio de venta FOB ($/Lb)</t>
  </si>
  <si>
    <t>Capital de trabajo</t>
  </si>
  <si>
    <t>Costos variables ($1.45 x Lb)</t>
  </si>
  <si>
    <t>Costos variables anuales</t>
  </si>
  <si>
    <t>Costos fijos de producción</t>
  </si>
  <si>
    <t>Gastos administrativos</t>
  </si>
  <si>
    <t>Valor residual del terreno</t>
  </si>
  <si>
    <t>Valor residual de estanques y canales</t>
  </si>
  <si>
    <t>Valor residual de edificios</t>
  </si>
  <si>
    <t>Tasa de fiananciamiento bancario</t>
  </si>
  <si>
    <t>Plazo del financiamiento bancario (años)</t>
  </si>
  <si>
    <t>Plazo del financiamiento bancario (valor)</t>
  </si>
  <si>
    <t>Tasa de corte</t>
  </si>
  <si>
    <t>Tasa de ISR</t>
  </si>
  <si>
    <t>1. Ingresos del proyecto</t>
  </si>
  <si>
    <t>Calendario de ingresos (venta del producto)</t>
  </si>
  <si>
    <t>Concepto</t>
  </si>
  <si>
    <t>Cantidad de camarón (Lb)</t>
  </si>
  <si>
    <t>Precio unitario de venta ($/Lb)</t>
  </si>
  <si>
    <t>Ingresos</t>
  </si>
  <si>
    <t>2. Costos variables</t>
  </si>
  <si>
    <t>Calendario de costos variables</t>
  </si>
  <si>
    <t>Costos variables</t>
  </si>
  <si>
    <t>Total de costos variables</t>
  </si>
  <si>
    <t xml:space="preserve">3. Costos  fijos </t>
  </si>
  <si>
    <t>Calendario de los costos fijos</t>
  </si>
  <si>
    <t>Total de costos fijos</t>
  </si>
  <si>
    <t>4. Capital de trabajo</t>
  </si>
  <si>
    <t>Necesidad de Efectivo</t>
  </si>
  <si>
    <t>Efectivo requerido en caja</t>
  </si>
  <si>
    <t>Cálculo del Capital de Trabajo</t>
  </si>
  <si>
    <t>Cobertura</t>
  </si>
  <si>
    <t>Activo circulante</t>
  </si>
  <si>
    <t xml:space="preserve">     Efectivo </t>
  </si>
  <si>
    <t>Pasivo circulante</t>
  </si>
  <si>
    <t xml:space="preserve">     Cuentas por pagar</t>
  </si>
  <si>
    <t xml:space="preserve">     Proveedores</t>
  </si>
  <si>
    <t>Capital de Trabajo (Ac - Pc)</t>
  </si>
  <si>
    <t>Incremento Capital Trabajo</t>
  </si>
  <si>
    <t>5. Inversiones</t>
  </si>
  <si>
    <t>Calendario de inversiones</t>
  </si>
  <si>
    <t>Activos Fijos</t>
  </si>
  <si>
    <t xml:space="preserve">   Inversiones a 20 años</t>
  </si>
  <si>
    <t xml:space="preserve">  Inversiones a 10 años</t>
  </si>
  <si>
    <t xml:space="preserve">  Inversiones a 5 años</t>
  </si>
  <si>
    <t xml:space="preserve">  Inversion terrenos</t>
  </si>
  <si>
    <t>Gastos Pre-operativos</t>
  </si>
  <si>
    <t xml:space="preserve">  Gastos puesta en marcha</t>
  </si>
  <si>
    <t xml:space="preserve">   Capital de trabajo</t>
  </si>
  <si>
    <t>Total Inversiones</t>
  </si>
  <si>
    <t>6.  Depreciaciones y Amortizaciones</t>
  </si>
  <si>
    <t>Calendario de Depreciaciones y Amortizaciones</t>
  </si>
  <si>
    <t>Inversión</t>
  </si>
  <si>
    <t>Valor Activo</t>
  </si>
  <si>
    <t>Valor residual</t>
  </si>
  <si>
    <t>Vida útil</t>
  </si>
  <si>
    <t>Dep. Anual</t>
  </si>
  <si>
    <t>Inversiones a 20 años</t>
  </si>
  <si>
    <t>Edificio</t>
  </si>
  <si>
    <t>Inversiones a 10 años</t>
  </si>
  <si>
    <t>Estanque y canales</t>
  </si>
  <si>
    <t>Inversiones a 5 años</t>
  </si>
  <si>
    <t>Maq &amp; Equipo</t>
  </si>
  <si>
    <t>Total Depreciación</t>
  </si>
  <si>
    <t>Vehículos y embarcaciones</t>
  </si>
  <si>
    <t>Amortización pre-operativos</t>
  </si>
  <si>
    <t>Total Amortización</t>
  </si>
  <si>
    <t>7. Valor de desecho del proyecto</t>
  </si>
  <si>
    <t>Clalculo del valor de desecho del proyecto (método contable)</t>
  </si>
  <si>
    <t>Valor del</t>
  </si>
  <si>
    <t>Depreciación por periodo</t>
  </si>
  <si>
    <t>Valor de</t>
  </si>
  <si>
    <t>Activo</t>
  </si>
  <si>
    <t>Desecho</t>
  </si>
  <si>
    <t>Valor de desecho total</t>
  </si>
  <si>
    <t>8. Financiamiento</t>
  </si>
  <si>
    <t>Cálculo del Financiamiento</t>
  </si>
  <si>
    <t>Financiamiento bancario (valor)</t>
  </si>
  <si>
    <t>Financiamiento bancario (tasa)</t>
  </si>
  <si>
    <t>Financiamiento bancario (periodos)</t>
  </si>
  <si>
    <t>años</t>
  </si>
  <si>
    <t>Modalidad</t>
  </si>
  <si>
    <t>Pagos exactos</t>
  </si>
  <si>
    <t xml:space="preserve">Saldo crédito </t>
  </si>
  <si>
    <t>Cuota mensual (anualidad)</t>
  </si>
  <si>
    <t>Intereses</t>
  </si>
  <si>
    <t>Abono a capital (amortización)</t>
  </si>
  <si>
    <t>9.Flujo de caja del proyecto</t>
  </si>
  <si>
    <t>Flujo de caja del proyecto (con) Financiamiento)</t>
  </si>
  <si>
    <t>+ Ingreso por ventas</t>
  </si>
  <si>
    <t>Ingreso por venta del terreno</t>
  </si>
  <si>
    <t>- Egresos deducibles de impuestos</t>
  </si>
  <si>
    <t xml:space="preserve">     Costos variables</t>
  </si>
  <si>
    <t xml:space="preserve">     Costos Fijos</t>
  </si>
  <si>
    <t xml:space="preserve">     Gastos financieros</t>
  </si>
  <si>
    <t>- Gastos no desembolsables</t>
  </si>
  <si>
    <t xml:space="preserve">     Depreciación de activos</t>
  </si>
  <si>
    <t xml:space="preserve">     Amortización de pre-operativos</t>
  </si>
  <si>
    <t>= Utilidad antes de impuestos</t>
  </si>
  <si>
    <t>- Impuestos (30%)</t>
  </si>
  <si>
    <t>= Utilidad después de impuestos</t>
  </si>
  <si>
    <t>+ Gastos no desembolsables</t>
  </si>
  <si>
    <t>+ Ingresos no sujetos a impuestos</t>
  </si>
  <si>
    <t xml:space="preserve">     Valor de desecho</t>
  </si>
  <si>
    <t xml:space="preserve">     Recuperación del capital de trabajo</t>
  </si>
  <si>
    <t xml:space="preserve">     Préstamo bancario</t>
  </si>
  <si>
    <t>- Egresos no deducibles de impuestos</t>
  </si>
  <si>
    <t xml:space="preserve">     Activos (inv. 20 años, 10 años, 5 años, terreno)</t>
  </si>
  <si>
    <t xml:space="preserve">     Gastos de puesta en marcha (pre-operativos)</t>
  </si>
  <si>
    <t xml:space="preserve">     Inversión en capital de trabajo</t>
  </si>
  <si>
    <t xml:space="preserve">     Pago préstamo bancario</t>
  </si>
  <si>
    <t>= Flujo de caja</t>
  </si>
  <si>
    <t>Flujo de caja acumulado (PRI)</t>
  </si>
  <si>
    <t xml:space="preserve">     Flujo acumulado</t>
  </si>
  <si>
    <t>Flujo descontado acumulado (PRID)</t>
  </si>
  <si>
    <t xml:space="preserve">     Flujo desc. acumulado</t>
  </si>
  <si>
    <t>10. Costo del capital</t>
  </si>
  <si>
    <t>Participación ($)</t>
  </si>
  <si>
    <t>Participación (%)</t>
  </si>
  <si>
    <t>Costo</t>
  </si>
  <si>
    <t>Costo promedio</t>
  </si>
  <si>
    <t>Préstamo bancario</t>
  </si>
  <si>
    <t>Fondos propios</t>
  </si>
  <si>
    <t>11. Indicadores financieros</t>
  </si>
  <si>
    <t>VAN(19%) =</t>
  </si>
  <si>
    <t>TIR =</t>
  </si>
  <si>
    <t>PRI =</t>
  </si>
  <si>
    <t>PRID =</t>
  </si>
  <si>
    <t>ID =</t>
  </si>
  <si>
    <t>VAN(WACC) =</t>
  </si>
  <si>
    <t>C =</t>
  </si>
  <si>
    <t xml:space="preserve">i* = </t>
  </si>
  <si>
    <t>n =</t>
  </si>
  <si>
    <t>Años</t>
  </si>
  <si>
    <t>i =</t>
  </si>
  <si>
    <t>C* =</t>
  </si>
  <si>
    <t>A =</t>
  </si>
  <si>
    <t>Comparación de métodos de amortización vs escenario sin financiamiento · Horizonte 10 años · Inversión Total: $5,400,000</t>
  </si>
  <si>
    <t>Método / Escenario</t>
  </si>
  <si>
    <t>Inversión
Total ($)</t>
  </si>
  <si>
    <t>Financiamiento
Bancario ($)</t>
  </si>
  <si>
    <t>WACC /
Tasa de Corte</t>
  </si>
  <si>
    <t>VAN ($)</t>
  </si>
  <si>
    <t>TIR (%)</t>
  </si>
  <si>
    <t>PRI
(años)</t>
  </si>
  <si>
    <t>PRID
(años)</t>
  </si>
  <si>
    <t>ID (Índice
Deseabilidad)</t>
  </si>
  <si>
    <t>Cuota
Representativa ($)</t>
  </si>
  <si>
    <t>Sin Financiamiento</t>
  </si>
  <si>
    <t>"N/A"</t>
  </si>
  <si>
    <t>Método Francés (Annuity)</t>
  </si>
  <si>
    <t>Método Americano (Bullet)</t>
  </si>
  <si>
    <t>Método Italiano (Amort. Constante)</t>
  </si>
  <si>
    <t>Método Alemán (Gradiente)</t>
  </si>
  <si>
    <t>MEJOR VALOR POR INDICADOR</t>
  </si>
  <si>
    <t xml:space="preserve">CAMARONERA INDUSTRIAL — RESUMEN COMPARATIVO DE ESCENARIOS </t>
  </si>
  <si>
    <t>Fredy Valladares, Andrea Zambrano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</si>
</sst>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[$$-409]#,##0.00_ ;[Red]\-[$$-409]#,##0.00\ "/>
    <numFmt numFmtId="165" formatCode="[$$-409]#,##0.00"/>
    <numFmt numFmtId="166" formatCode="[$$-409]#,##0"/>
    <numFmt numFmtId="167" formatCode="[$$-409]#,##0_ ;[Red]\-[$$-409]#,##0\ "/>
    <numFmt numFmtId="168" formatCode="[$C$-4C0A]\ #,##0.00_ ;[Red]\-[$C$-4C0A]\ #,##0.00\ "/>
    <numFmt numFmtId="169" formatCode="#,##0_ ;[Red]\-#,##0\ "/>
    <numFmt numFmtId="170" formatCode="\$#,##0.00"/>
    <numFmt numFmtId="171" formatCode="0&quot; años&quot;"/>
    <numFmt numFmtId="172" formatCode="[$$-409]#,##0.00;[Red]\-[$$-409]#,##0.00"/>
    <numFmt numFmtId="173" formatCode="_-* #,##0_-;\-* #,##0_-;_-* \-??_-;_-@_-"/>
    <numFmt numFmtId="174" formatCode="_(* #,##0.00_);_(* \(#,##0.00\);_(* \-??_);_(@_)"/>
    <numFmt numFmtId="175" formatCode="#,##0.00_ ;[Red]\-#,##0.00\ "/>
    <numFmt numFmtId="176" formatCode="#,##0.0000_ ;[Red]\-#,##0.0000\ "/>
    <numFmt numFmtId="177" formatCode="\$#,##0;&quot;($&quot;#,##0\);\-"/>
    <numFmt numFmtId="178" formatCode="0.0000\x"/>
    <numFmt numFmtId="179" formatCode="0.0"/>
  </numFmts>
  <fonts count="22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2"/>
      <color rgb="FF1F3864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1F3864"/>
      <name val="Calibri"/>
      <family val="2"/>
      <charset val="1"/>
    </font>
    <font>
      <i/>
      <sz val="9"/>
      <color rgb="FF595959"/>
      <name val="Calibri"/>
      <family val="2"/>
      <charset val="1"/>
    </font>
    <font>
      <b/>
      <sz val="10"/>
      <color rgb="FF1F497D"/>
      <name val="Calibri"/>
      <family val="2"/>
      <charset val="1"/>
    </font>
    <font>
      <b/>
      <sz val="15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i/>
      <sz val="9"/>
      <color rgb="FF595959"/>
      <name val="Calibri"/>
      <family val="2"/>
    </font>
    <font>
      <i/>
      <sz val="9"/>
      <color rgb="FF595959"/>
      <name val="Calibri"/>
      <family val="2"/>
    </font>
    <font>
      <sz val="9"/>
      <color rgb="FF595959"/>
      <name val="Calibri"/>
      <family val="2"/>
    </font>
    <font>
      <b/>
      <sz val="9"/>
      <color rgb="FF595959"/>
      <name val="Calibri"/>
      <family val="2"/>
    </font>
    <font>
      <sz val="11"/>
      <color theme="1"/>
      <name val="Calibri"/>
      <family val="2"/>
    </font>
    <font>
      <b/>
      <sz val="12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/>
        <bgColor rgb="FFC9A227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1F497D"/>
      </patternFill>
    </fill>
    <fill>
      <patternFill patternType="solid">
        <fgColor rgb="FF2E75B6"/>
        <bgColor rgb="FF0066CC"/>
      </patternFill>
    </fill>
    <fill>
      <patternFill patternType="solid">
        <fgColor rgb="FFCCFFCC"/>
        <bgColor rgb="FFE2EFDA"/>
      </patternFill>
    </fill>
    <fill>
      <patternFill patternType="solid">
        <fgColor rgb="FFFFFFCC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1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theme="0" tint="-0.249977111117893"/>
        <bgColor rgb="FFAAAAAA"/>
      </patternFill>
    </fill>
    <fill>
      <patternFill patternType="solid">
        <fgColor rgb="FFDEEAF1"/>
        <bgColor rgb="FFE2EFDA"/>
      </patternFill>
    </fill>
    <fill>
      <patternFill patternType="solid">
        <fgColor theme="8"/>
        <bgColor rgb="FF2E75B6"/>
      </patternFill>
    </fill>
    <fill>
      <patternFill patternType="solid">
        <fgColor rgb="FFFF0000"/>
        <bgColor rgb="FF993300"/>
      </patternFill>
    </fill>
    <fill>
      <patternFill patternType="solid">
        <fgColor rgb="FFC9A227"/>
        <bgColor rgb="FFFFC000"/>
      </patternFill>
    </fill>
    <fill>
      <patternFill patternType="solid">
        <fgColor rgb="FFFFF2CC"/>
        <bgColor rgb="FFFFFFCC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164">
    <xf numFmtId="0" fontId="0" fillId="0" borderId="0" xfId="0"/>
    <xf numFmtId="0" fontId="0" fillId="0" borderId="0" xfId="0" applyAlignment="1"/>
    <xf numFmtId="0" fontId="2" fillId="2" borderId="0" xfId="0" applyFont="1" applyFill="1" applyAlignment="1"/>
    <xf numFmtId="0" fontId="3" fillId="3" borderId="0" xfId="0" applyFont="1" applyFill="1" applyAlignment="1"/>
    <xf numFmtId="0" fontId="4" fillId="0" borderId="0" xfId="0" applyFont="1" applyAlignment="1"/>
    <xf numFmtId="9" fontId="4" fillId="0" borderId="0" xfId="0" applyNumberFormat="1" applyFont="1" applyAlignment="1"/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/>
    <xf numFmtId="3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/>
    <xf numFmtId="165" fontId="4" fillId="0" borderId="1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0" fillId="0" borderId="1" xfId="0" applyBorder="1" applyAlignment="1"/>
    <xf numFmtId="167" fontId="4" fillId="0" borderId="1" xfId="0" applyNumberFormat="1" applyFont="1" applyBorder="1" applyAlignment="1"/>
    <xf numFmtId="168" fontId="0" fillId="0" borderId="0" xfId="0" applyNumberFormat="1" applyAlignment="1"/>
    <xf numFmtId="4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169" fontId="4" fillId="0" borderId="0" xfId="0" applyNumberFormat="1" applyFont="1" applyAlignment="1"/>
    <xf numFmtId="9" fontId="0" fillId="0" borderId="0" xfId="0" applyNumberFormat="1" applyAlignment="1"/>
    <xf numFmtId="0" fontId="5" fillId="5" borderId="0" xfId="0" applyFont="1" applyFill="1" applyAlignment="1"/>
    <xf numFmtId="0" fontId="3" fillId="0" borderId="0" xfId="0" applyFont="1" applyAlignment="1"/>
    <xf numFmtId="169" fontId="0" fillId="0" borderId="0" xfId="0" applyNumberFormat="1" applyAlignment="1"/>
    <xf numFmtId="0" fontId="5" fillId="4" borderId="2" xfId="0" applyFont="1" applyFill="1" applyBorder="1" applyAlignment="1">
      <alignment horizontal="center" vertical="center"/>
    </xf>
    <xf numFmtId="169" fontId="5" fillId="4" borderId="3" xfId="0" applyNumberFormat="1" applyFont="1" applyFill="1" applyBorder="1" applyAlignment="1">
      <alignment horizontal="center" vertical="center"/>
    </xf>
    <xf numFmtId="169" fontId="5" fillId="4" borderId="4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/>
    <xf numFmtId="169" fontId="0" fillId="6" borderId="1" xfId="0" applyNumberFormat="1" applyFill="1" applyBorder="1" applyAlignment="1"/>
    <xf numFmtId="169" fontId="4" fillId="6" borderId="1" xfId="0" applyNumberFormat="1" applyFont="1" applyFill="1" applyBorder="1" applyAlignment="1"/>
    <xf numFmtId="169" fontId="4" fillId="6" borderId="6" xfId="0" applyNumberFormat="1" applyFont="1" applyFill="1" applyBorder="1" applyAlignment="1"/>
    <xf numFmtId="164" fontId="4" fillId="6" borderId="1" xfId="0" applyNumberFormat="1" applyFont="1" applyFill="1" applyBorder="1" applyAlignment="1"/>
    <xf numFmtId="164" fontId="4" fillId="6" borderId="6" xfId="0" applyNumberFormat="1" applyFont="1" applyFill="1" applyBorder="1" applyAlignment="1"/>
    <xf numFmtId="0" fontId="3" fillId="7" borderId="7" xfId="0" applyFont="1" applyFill="1" applyBorder="1" applyAlignment="1"/>
    <xf numFmtId="169" fontId="7" fillId="7" borderId="8" xfId="0" applyNumberFormat="1" applyFont="1" applyFill="1" applyBorder="1" applyAlignment="1"/>
    <xf numFmtId="167" fontId="3" fillId="7" borderId="8" xfId="0" applyNumberFormat="1" applyFont="1" applyFill="1" applyBorder="1" applyAlignment="1"/>
    <xf numFmtId="167" fontId="3" fillId="7" borderId="9" xfId="0" applyNumberFormat="1" applyFont="1" applyFill="1" applyBorder="1" applyAlignment="1"/>
    <xf numFmtId="167" fontId="4" fillId="6" borderId="1" xfId="0" applyNumberFormat="1" applyFont="1" applyFill="1" applyBorder="1" applyAlignment="1"/>
    <xf numFmtId="167" fontId="4" fillId="6" borderId="6" xfId="0" applyNumberFormat="1" applyFont="1" applyFill="1" applyBorder="1" applyAlignment="1"/>
    <xf numFmtId="0" fontId="8" fillId="7" borderId="7" xfId="0" applyFont="1" applyFill="1" applyBorder="1" applyAlignment="1"/>
    <xf numFmtId="169" fontId="0" fillId="7" borderId="8" xfId="0" applyNumberFormat="1" applyFill="1" applyBorder="1" applyAlignment="1"/>
    <xf numFmtId="169" fontId="0" fillId="8" borderId="0" xfId="0" applyNumberFormat="1" applyFill="1" applyAlignment="1"/>
    <xf numFmtId="0" fontId="0" fillId="8" borderId="0" xfId="0" applyFill="1" applyAlignment="1"/>
    <xf numFmtId="0" fontId="3" fillId="8" borderId="0" xfId="0" applyFont="1" applyFill="1" applyAlignment="1"/>
    <xf numFmtId="167" fontId="0" fillId="6" borderId="1" xfId="0" applyNumberFormat="1" applyFill="1" applyBorder="1" applyAlignment="1"/>
    <xf numFmtId="167" fontId="7" fillId="7" borderId="8" xfId="0" applyNumberFormat="1" applyFont="1" applyFill="1" applyBorder="1" applyAlignment="1"/>
    <xf numFmtId="0" fontId="3" fillId="6" borderId="5" xfId="0" applyFont="1" applyFill="1" applyBorder="1" applyAlignment="1"/>
    <xf numFmtId="167" fontId="7" fillId="6" borderId="1" xfId="0" applyNumberFormat="1" applyFont="1" applyFill="1" applyBorder="1" applyAlignment="1"/>
    <xf numFmtId="167" fontId="3" fillId="6" borderId="1" xfId="0" applyNumberFormat="1" applyFont="1" applyFill="1" applyBorder="1" applyAlignment="1"/>
    <xf numFmtId="167" fontId="3" fillId="6" borderId="6" xfId="0" applyNumberFormat="1" applyFont="1" applyFill="1" applyBorder="1" applyAlignment="1"/>
    <xf numFmtId="0" fontId="3" fillId="7" borderId="5" xfId="0" applyFont="1" applyFill="1" applyBorder="1" applyAlignment="1"/>
    <xf numFmtId="167" fontId="7" fillId="7" borderId="1" xfId="0" applyNumberFormat="1" applyFont="1" applyFill="1" applyBorder="1" applyAlignment="1"/>
    <xf numFmtId="167" fontId="3" fillId="7" borderId="1" xfId="0" applyNumberFormat="1" applyFont="1" applyFill="1" applyBorder="1" applyAlignment="1"/>
    <xf numFmtId="167" fontId="3" fillId="7" borderId="6" xfId="0" applyNumberFormat="1" applyFont="1" applyFill="1" applyBorder="1" applyAlignment="1"/>
    <xf numFmtId="166" fontId="0" fillId="6" borderId="1" xfId="0" applyNumberFormat="1" applyFill="1" applyBorder="1" applyAlignment="1"/>
    <xf numFmtId="166" fontId="0" fillId="6" borderId="6" xfId="0" applyNumberFormat="1" applyFill="1" applyBorder="1" applyAlignment="1"/>
    <xf numFmtId="166" fontId="4" fillId="6" borderId="1" xfId="0" applyNumberFormat="1" applyFont="1" applyFill="1" applyBorder="1" applyAlignment="1"/>
    <xf numFmtId="166" fontId="3" fillId="6" borderId="6" xfId="0" applyNumberFormat="1" applyFont="1" applyFill="1" applyBorder="1" applyAlignment="1"/>
    <xf numFmtId="166" fontId="3" fillId="7" borderId="8" xfId="0" applyNumberFormat="1" applyFont="1" applyFill="1" applyBorder="1" applyAlignment="1"/>
    <xf numFmtId="166" fontId="3" fillId="7" borderId="9" xfId="0" applyNumberFormat="1" applyFont="1" applyFill="1" applyBorder="1" applyAlignment="1"/>
    <xf numFmtId="0" fontId="3" fillId="9" borderId="1" xfId="0" applyFont="1" applyFill="1" applyBorder="1" applyAlignment="1"/>
    <xf numFmtId="169" fontId="3" fillId="9" borderId="1" xfId="0" applyNumberFormat="1" applyFont="1" applyFill="1" applyBorder="1" applyAlignment="1">
      <alignment horizontal="center"/>
    </xf>
    <xf numFmtId="0" fontId="4" fillId="0" borderId="1" xfId="0" applyFont="1" applyBorder="1" applyAlignment="1"/>
    <xf numFmtId="169" fontId="4" fillId="0" borderId="1" xfId="0" applyNumberFormat="1" applyFont="1" applyBorder="1" applyAlignment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/>
    <xf numFmtId="0" fontId="8" fillId="7" borderId="5" xfId="0" applyFont="1" applyFill="1" applyBorder="1" applyAlignment="1"/>
    <xf numFmtId="166" fontId="7" fillId="7" borderId="1" xfId="0" applyNumberFormat="1" applyFont="1" applyFill="1" applyBorder="1" applyAlignment="1"/>
    <xf numFmtId="166" fontId="3" fillId="7" borderId="1" xfId="0" applyNumberFormat="1" applyFont="1" applyFill="1" applyBorder="1" applyAlignment="1"/>
    <xf numFmtId="0" fontId="0" fillId="6" borderId="5" xfId="0" applyFill="1" applyBorder="1" applyAlignment="1"/>
    <xf numFmtId="167" fontId="4" fillId="0" borderId="0" xfId="0" applyNumberFormat="1" applyFont="1" applyAlignment="1"/>
    <xf numFmtId="166" fontId="4" fillId="6" borderId="6" xfId="0" applyNumberFormat="1" applyFont="1" applyFill="1" applyBorder="1" applyAlignment="1"/>
    <xf numFmtId="167" fontId="0" fillId="0" borderId="0" xfId="0" applyNumberFormat="1" applyAlignment="1"/>
    <xf numFmtId="166" fontId="7" fillId="7" borderId="8" xfId="0" applyNumberFormat="1" applyFont="1" applyFill="1" applyBorder="1" applyAlignment="1"/>
    <xf numFmtId="169" fontId="3" fillId="9" borderId="3" xfId="0" applyNumberFormat="1" applyFont="1" applyFill="1" applyBorder="1" applyAlignment="1">
      <alignment horizontal="center"/>
    </xf>
    <xf numFmtId="169" fontId="3" fillId="9" borderId="4" xfId="0" applyNumberFormat="1" applyFont="1" applyFill="1" applyBorder="1" applyAlignment="1">
      <alignment horizontal="center"/>
    </xf>
    <xf numFmtId="169" fontId="5" fillId="4" borderId="1" xfId="0" applyNumberFormat="1" applyFont="1" applyFill="1" applyBorder="1" applyAlignment="1">
      <alignment horizontal="center" vertical="center"/>
    </xf>
    <xf numFmtId="169" fontId="3" fillId="9" borderId="6" xfId="0" applyNumberFormat="1" applyFont="1" applyFill="1" applyBorder="1" applyAlignment="1">
      <alignment horizontal="center"/>
    </xf>
    <xf numFmtId="166" fontId="4" fillId="6" borderId="7" xfId="0" applyNumberFormat="1" applyFont="1" applyFill="1" applyBorder="1" applyAlignment="1"/>
    <xf numFmtId="166" fontId="4" fillId="6" borderId="8" xfId="0" applyNumberFormat="1" applyFont="1" applyFill="1" applyBorder="1" applyAlignment="1"/>
    <xf numFmtId="166" fontId="4" fillId="6" borderId="9" xfId="0" applyNumberFormat="1" applyFont="1" applyFill="1" applyBorder="1" applyAlignment="1"/>
    <xf numFmtId="166" fontId="3" fillId="7" borderId="11" xfId="0" applyNumberFormat="1" applyFont="1" applyFill="1" applyBorder="1" applyAlignment="1"/>
    <xf numFmtId="0" fontId="4" fillId="6" borderId="2" xfId="0" applyFont="1" applyFill="1" applyBorder="1" applyAlignment="1"/>
    <xf numFmtId="167" fontId="4" fillId="6" borderId="12" xfId="0" applyNumberFormat="1" applyFont="1" applyFill="1" applyBorder="1" applyAlignment="1"/>
    <xf numFmtId="0" fontId="0" fillId="6" borderId="13" xfId="0" applyFill="1" applyBorder="1" applyAlignment="1"/>
    <xf numFmtId="9" fontId="4" fillId="8" borderId="0" xfId="0" applyNumberFormat="1" applyFont="1" applyFill="1" applyAlignment="1"/>
    <xf numFmtId="9" fontId="4" fillId="6" borderId="14" xfId="0" applyNumberFormat="1" applyFont="1" applyFill="1" applyBorder="1" applyAlignment="1"/>
    <xf numFmtId="0" fontId="0" fillId="6" borderId="15" xfId="0" applyFill="1" applyBorder="1" applyAlignment="1"/>
    <xf numFmtId="169" fontId="4" fillId="6" borderId="14" xfId="0" applyNumberFormat="1" applyFont="1" applyFill="1" applyBorder="1" applyAlignment="1"/>
    <xf numFmtId="0" fontId="4" fillId="6" borderId="15" xfId="0" applyFont="1" applyFill="1" applyBorder="1" applyAlignment="1"/>
    <xf numFmtId="0" fontId="4" fillId="6" borderId="7" xfId="0" applyFont="1" applyFill="1" applyBorder="1" applyAlignment="1"/>
    <xf numFmtId="166" fontId="0" fillId="6" borderId="8" xfId="0" applyNumberFormat="1" applyFill="1" applyBorder="1" applyAlignment="1"/>
    <xf numFmtId="49" fontId="8" fillId="0" borderId="5" xfId="0" applyNumberFormat="1" applyFont="1" applyBorder="1" applyAlignment="1">
      <alignment horizontal="left" vertical="top"/>
    </xf>
    <xf numFmtId="167" fontId="7" fillId="0" borderId="1" xfId="0" applyNumberFormat="1" applyFont="1" applyBorder="1" applyAlignment="1"/>
    <xf numFmtId="167" fontId="3" fillId="0" borderId="1" xfId="0" applyNumberFormat="1" applyFont="1" applyBorder="1" applyAlignment="1"/>
    <xf numFmtId="167" fontId="3" fillId="0" borderId="6" xfId="0" applyNumberFormat="1" applyFont="1" applyBorder="1" applyAlignment="1"/>
    <xf numFmtId="49" fontId="3" fillId="0" borderId="5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/>
    </xf>
    <xf numFmtId="167" fontId="0" fillId="0" borderId="1" xfId="0" applyNumberFormat="1" applyBorder="1" applyAlignment="1"/>
    <xf numFmtId="167" fontId="4" fillId="0" borderId="6" xfId="0" applyNumberFormat="1" applyFont="1" applyBorder="1" applyAlignment="1"/>
    <xf numFmtId="167" fontId="0" fillId="0" borderId="6" xfId="0" applyNumberFormat="1" applyBorder="1" applyAlignment="1"/>
    <xf numFmtId="167" fontId="7" fillId="0" borderId="6" xfId="0" applyNumberFormat="1" applyFont="1" applyBorder="1" applyAlignment="1"/>
    <xf numFmtId="49" fontId="8" fillId="7" borderId="5" xfId="0" applyNumberFormat="1" applyFont="1" applyFill="1" applyBorder="1" applyAlignment="1">
      <alignment horizontal="left" vertical="top"/>
    </xf>
    <xf numFmtId="0" fontId="9" fillId="10" borderId="0" xfId="0" applyFont="1" applyFill="1" applyAlignment="1"/>
    <xf numFmtId="164" fontId="0" fillId="0" borderId="0" xfId="0" applyNumberFormat="1" applyAlignment="1"/>
    <xf numFmtId="0" fontId="3" fillId="11" borderId="0" xfId="0" applyFont="1" applyFill="1" applyAlignment="1">
      <alignment horizontal="center"/>
    </xf>
    <xf numFmtId="10" fontId="10" fillId="12" borderId="0" xfId="0" applyNumberFormat="1" applyFont="1" applyFill="1" applyAlignment="1"/>
    <xf numFmtId="0" fontId="8" fillId="12" borderId="0" xfId="0" applyFont="1" applyFill="1" applyAlignment="1">
      <alignment horizontal="right"/>
    </xf>
    <xf numFmtId="170" fontId="8" fillId="12" borderId="0" xfId="0" applyNumberFormat="1" applyFont="1" applyFill="1" applyAlignment="1"/>
    <xf numFmtId="10" fontId="8" fillId="12" borderId="0" xfId="0" applyNumberFormat="1" applyFont="1" applyFill="1" applyAlignment="1"/>
    <xf numFmtId="171" fontId="8" fillId="12" borderId="0" xfId="0" applyNumberFormat="1" applyFont="1" applyFill="1" applyAlignment="1"/>
    <xf numFmtId="9" fontId="9" fillId="10" borderId="0" xfId="0" applyNumberFormat="1" applyFont="1" applyFill="1" applyAlignment="1"/>
    <xf numFmtId="167" fontId="9" fillId="10" borderId="0" xfId="0" applyNumberFormat="1" applyFont="1" applyFill="1" applyAlignment="1"/>
    <xf numFmtId="172" fontId="9" fillId="10" borderId="0" xfId="0" applyNumberFormat="1" applyFont="1" applyFill="1" applyAlignment="1"/>
    <xf numFmtId="165" fontId="5" fillId="5" borderId="1" xfId="0" applyNumberFormat="1" applyFont="1" applyFill="1" applyBorder="1" applyAlignment="1">
      <alignment horizontal="right"/>
    </xf>
    <xf numFmtId="3" fontId="4" fillId="13" borderId="1" xfId="0" applyNumberFormat="1" applyFont="1" applyFill="1" applyBorder="1" applyAlignment="1">
      <alignment horizontal="right" vertical="top" wrapText="1"/>
    </xf>
    <xf numFmtId="173" fontId="4" fillId="13" borderId="0" xfId="0" applyNumberFormat="1" applyFont="1" applyFill="1" applyAlignment="1"/>
    <xf numFmtId="169" fontId="4" fillId="14" borderId="1" xfId="0" applyNumberFormat="1" applyFont="1" applyFill="1" applyBorder="1" applyAlignment="1"/>
    <xf numFmtId="169" fontId="4" fillId="13" borderId="1" xfId="0" applyNumberFormat="1" applyFont="1" applyFill="1" applyBorder="1" applyAlignment="1"/>
    <xf numFmtId="174" fontId="0" fillId="0" borderId="0" xfId="0" applyNumberFormat="1" applyAlignment="1"/>
    <xf numFmtId="169" fontId="4" fillId="0" borderId="0" xfId="0" applyNumberFormat="1" applyFont="1" applyAlignment="1">
      <alignment horizontal="right"/>
    </xf>
    <xf numFmtId="175" fontId="4" fillId="0" borderId="0" xfId="0" applyNumberFormat="1" applyFont="1" applyAlignment="1"/>
    <xf numFmtId="176" fontId="4" fillId="0" borderId="0" xfId="0" applyNumberFormat="1" applyFont="1" applyAlignment="1"/>
    <xf numFmtId="0" fontId="4" fillId="8" borderId="0" xfId="0" applyFont="1" applyFill="1" applyAlignment="1"/>
    <xf numFmtId="0" fontId="12" fillId="5" borderId="17" xfId="0" applyFont="1" applyFill="1" applyBorder="1" applyAlignment="1">
      <alignment horizontal="center" vertical="center" wrapText="1"/>
    </xf>
    <xf numFmtId="10" fontId="14" fillId="10" borderId="18" xfId="0" applyNumberFormat="1" applyFont="1" applyFill="1" applyBorder="1" applyAlignment="1">
      <alignment horizontal="center" vertical="center"/>
    </xf>
    <xf numFmtId="1" fontId="14" fillId="10" borderId="18" xfId="0" applyNumberFormat="1" applyFont="1" applyFill="1" applyBorder="1" applyAlignment="1">
      <alignment horizontal="center" vertical="center"/>
    </xf>
    <xf numFmtId="178" fontId="14" fillId="10" borderId="18" xfId="0" applyNumberFormat="1" applyFont="1" applyFill="1" applyBorder="1" applyAlignment="1">
      <alignment horizontal="center" vertical="center"/>
    </xf>
    <xf numFmtId="10" fontId="14" fillId="8" borderId="18" xfId="0" applyNumberFormat="1" applyFont="1" applyFill="1" applyBorder="1" applyAlignment="1">
      <alignment horizontal="center" vertical="center"/>
    </xf>
    <xf numFmtId="1" fontId="14" fillId="8" borderId="18" xfId="0" applyNumberFormat="1" applyFont="1" applyFill="1" applyBorder="1" applyAlignment="1">
      <alignment horizontal="center" vertical="center"/>
    </xf>
    <xf numFmtId="178" fontId="14" fillId="8" borderId="18" xfId="0" applyNumberFormat="1" applyFont="1" applyFill="1" applyBorder="1" applyAlignment="1">
      <alignment horizontal="center" vertical="center"/>
    </xf>
    <xf numFmtId="0" fontId="12" fillId="15" borderId="17" xfId="0" applyFont="1" applyFill="1" applyBorder="1" applyAlignment="1">
      <alignment horizontal="center" vertical="center"/>
    </xf>
    <xf numFmtId="177" fontId="15" fillId="16" borderId="17" xfId="0" applyNumberFormat="1" applyFont="1" applyFill="1" applyBorder="1" applyAlignment="1">
      <alignment horizontal="center" vertical="center"/>
    </xf>
    <xf numFmtId="10" fontId="15" fillId="16" borderId="17" xfId="0" applyNumberFormat="1" applyFont="1" applyFill="1" applyBorder="1" applyAlignment="1">
      <alignment horizontal="center" vertical="center"/>
    </xf>
    <xf numFmtId="1" fontId="15" fillId="16" borderId="17" xfId="0" applyNumberFormat="1" applyFont="1" applyFill="1" applyBorder="1" applyAlignment="1">
      <alignment horizontal="center" vertical="center"/>
    </xf>
    <xf numFmtId="178" fontId="15" fillId="16" borderId="17" xfId="0" applyNumberFormat="1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/>
    </xf>
    <xf numFmtId="177" fontId="14" fillId="10" borderId="18" xfId="0" applyNumberFormat="1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177" fontId="14" fillId="8" borderId="18" xfId="0" applyNumberFormat="1" applyFont="1" applyFill="1" applyBorder="1" applyAlignment="1">
      <alignment horizontal="center" vertical="center"/>
    </xf>
    <xf numFmtId="179" fontId="8" fillId="12" borderId="0" xfId="0" applyNumberFormat="1" applyFont="1" applyFill="1" applyAlignment="1"/>
    <xf numFmtId="1" fontId="8" fillId="12" borderId="0" xfId="0" applyNumberFormat="1" applyFont="1" applyFill="1" applyAlignment="1"/>
    <xf numFmtId="171" fontId="8" fillId="12" borderId="0" xfId="0" applyNumberFormat="1" applyFont="1" applyFill="1" applyAlignment="1">
      <alignment horizontal="right"/>
    </xf>
    <xf numFmtId="0" fontId="16" fillId="10" borderId="0" xfId="0" applyFont="1" applyFill="1" applyAlignment="1"/>
    <xf numFmtId="0" fontId="17" fillId="10" borderId="0" xfId="0" applyFont="1" applyFill="1" applyAlignment="1"/>
    <xf numFmtId="3" fontId="10" fillId="12" borderId="0" xfId="0" applyNumberFormat="1" applyFont="1" applyFill="1" applyAlignment="1"/>
    <xf numFmtId="3" fontId="10" fillId="12" borderId="16" xfId="0" applyNumberFormat="1" applyFont="1" applyFill="1" applyBorder="1" applyAlignment="1"/>
    <xf numFmtId="9" fontId="10" fillId="12" borderId="0" xfId="0" applyNumberFormat="1" applyFont="1" applyFill="1" applyAlignment="1"/>
    <xf numFmtId="9" fontId="10" fillId="12" borderId="16" xfId="0" applyNumberFormat="1" applyFont="1" applyFill="1" applyBorder="1" applyAlignment="1"/>
    <xf numFmtId="9" fontId="8" fillId="12" borderId="0" xfId="0" applyNumberFormat="1" applyFont="1" applyFill="1" applyAlignment="1"/>
    <xf numFmtId="0" fontId="18" fillId="10" borderId="0" xfId="0" applyFont="1" applyFill="1" applyAlignment="1"/>
    <xf numFmtId="0" fontId="19" fillId="10" borderId="0" xfId="0" applyFont="1" applyFill="1" applyAlignment="1"/>
    <xf numFmtId="0" fontId="20" fillId="0" borderId="0" xfId="0" applyFont="1" applyAlignment="1"/>
    <xf numFmtId="0" fontId="21" fillId="4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0" fontId="0" fillId="5" borderId="0" xfId="0" applyFill="1" applyBorder="1"/>
    <xf numFmtId="169" fontId="4" fillId="6" borderId="8" xfId="0" applyNumberFormat="1" applyFont="1" applyFill="1" applyBorder="1" applyAlignment="1">
      <alignment horizontal="left"/>
    </xf>
    <xf numFmtId="0" fontId="3" fillId="8" borderId="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169" fontId="3" fillId="9" borderId="3" xfId="0" applyNumberFormat="1" applyFont="1" applyFill="1" applyBorder="1" applyAlignment="1">
      <alignment horizontal="center"/>
    </xf>
    <xf numFmtId="166" fontId="3" fillId="7" borderId="10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6000000}"/>
    <cellStyle name="Percent 2" xfId="2" xr:uid="{00000000-0005-0000-0000-000007000000}"/>
  </cellStyles>
  <dxfs count="6"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</dxfs>
  <tableStyles count="1" defaultTableStyle="TableStyleMedium2" defaultPivotStyle="PivotStyleLight16">
    <tableStyle name="Invisible" pivot="0" table="0" count="0" xr9:uid="{C81CDADB-DAB2-4021-B2D6-EFCBA8ACE79E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CFFCC"/>
      <rgbColor rgb="FFFFF2CC"/>
      <rgbColor rgb="FF99CCFF"/>
      <rgbColor rgb="FFFF99CC"/>
      <rgbColor rgb="FFCC99FF"/>
      <rgbColor rgb="FFF2F2F2"/>
      <rgbColor rgb="FF2E75B6"/>
      <rgbColor rgb="FF33CCCC"/>
      <rgbColor rgb="FF99CC00"/>
      <rgbColor rgb="FFFFC000"/>
      <rgbColor rgb="FFC9A227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15240</xdr:rowOff>
    </xdr:from>
    <xdr:to>
      <xdr:col>10</xdr:col>
      <xdr:colOff>30480</xdr:colOff>
      <xdr:row>25</xdr:row>
      <xdr:rowOff>144780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03B09E6-F90F-2724-ACCA-496E5A3B49D8}"/>
            </a:ext>
          </a:extLst>
        </xdr:cNvPr>
        <xdr:cNvSpPr/>
      </xdr:nvSpPr>
      <xdr:spPr>
        <a:xfrm>
          <a:off x="0" y="2834640"/>
          <a:ext cx="12519660" cy="27051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400"/>
            <a:t>El proyecto de Camaronera Industrial es rentable y viable bajo todos los escenarios evaluados. Financiar el 50% de la inversión con crédito bancario genera un apalancamiento positivo significativo, dado que el costo neto de la deuda (7% después de ISR) es muy inferior a la rentabilidad del proyecto (TIR &gt;40%), lo que permite casi duplicar el retorno sobre capital propio respecto a operar sin financiamiento.</a:t>
          </a:r>
        </a:p>
        <a:p>
          <a:endParaRPr lang="en-US" sz="1400"/>
        </a:p>
        <a:p>
          <a:r>
            <a:rPr lang="en-US" sz="1400"/>
            <a:t>De los métodos de amortización analizados, el </a:t>
          </a:r>
          <a:r>
            <a:rPr lang="en-US" sz="1400" b="1"/>
            <a:t>Método Americano</a:t>
          </a:r>
          <a:r>
            <a:rPr lang="en-US" sz="1400"/>
            <a:t> es el más conveniente para el inversionista. Presenta el mayor Valor Actual Neto ($7,720,020), la Tasa Interna de Retorno más alta (46.24%) y el período de recuperación más corto (3 años), lo que significa que el capital invertido se recupera antes y el proyecto genera más riqueza neta. Su estructura de pagos, basada en intereses únicamente durante los primeros seis años ($270,000 anuales), libera flujo de caja operativo para reinversión y fortalecimiento del negocio. El pago del principal al final del séptimo año puede gestionarse con los excedentes acumulados durante la operación, dado que el proyecto genera flujos crecientes y sostenidos a lo largo del horizonte de evaluación.</a:t>
          </a:r>
        </a:p>
        <a:p>
          <a:endParaRPr lang="en-US" sz="1400"/>
        </a:p>
        <a:p>
          <a:r>
            <a:rPr lang="en-US" sz="1400"/>
            <a:t>Por lo anterior, se recomienda negociar el financiamiento bancario bajo la modalidad del </a:t>
          </a:r>
          <a:r>
            <a:rPr lang="en-US" sz="1400" b="1"/>
            <a:t>Método Americano</a:t>
          </a:r>
          <a:r>
            <a:rPr lang="en-US" sz="1400"/>
            <a:t>.</a:t>
          </a:r>
        </a:p>
        <a:p>
          <a:pPr algn="l"/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zoomScaleNormal="100" workbookViewId="0">
      <selection activeCell="I7" sqref="I7"/>
    </sheetView>
  </sheetViews>
  <sheetFormatPr baseColWidth="10" defaultColWidth="8.6640625" defaultRowHeight="14.4" x14ac:dyDescent="0.3"/>
  <cols>
    <col min="1" max="1" width="32" customWidth="1"/>
    <col min="2" max="2" width="18" customWidth="1"/>
    <col min="3" max="3" width="22" customWidth="1"/>
    <col min="4" max="5" width="18" customWidth="1"/>
    <col min="6" max="6" width="12" customWidth="1"/>
    <col min="7" max="8" width="10" customWidth="1"/>
    <col min="9" max="9" width="16" customWidth="1"/>
    <col min="10" max="10" width="26.109375" customWidth="1"/>
  </cols>
  <sheetData>
    <row r="1" spans="1:10" ht="48" customHeight="1" x14ac:dyDescent="0.3">
      <c r="A1" s="156" t="s">
        <v>175</v>
      </c>
      <c r="B1" s="156"/>
      <c r="C1" s="156"/>
      <c r="D1" s="156"/>
      <c r="E1" s="156"/>
      <c r="F1" s="156"/>
      <c r="G1" s="156"/>
      <c r="H1" s="156"/>
      <c r="I1" s="156"/>
      <c r="J1" s="156"/>
    </row>
    <row r="2" spans="1:10" ht="48" customHeight="1" x14ac:dyDescent="0.3">
      <c r="A2" s="155" t="s">
        <v>176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0" ht="19.5" customHeight="1" thickBot="1" x14ac:dyDescent="0.35">
      <c r="A3" s="157" t="s">
        <v>157</v>
      </c>
      <c r="B3" s="157"/>
      <c r="C3" s="157"/>
      <c r="D3" s="157"/>
      <c r="E3" s="157"/>
      <c r="F3" s="157"/>
      <c r="G3" s="157"/>
      <c r="H3" s="157"/>
      <c r="I3" s="157"/>
      <c r="J3" s="157"/>
    </row>
    <row r="4" spans="1:10" ht="37.5" customHeight="1" x14ac:dyDescent="0.3">
      <c r="A4" s="126" t="s">
        <v>158</v>
      </c>
      <c r="B4" s="126" t="s">
        <v>159</v>
      </c>
      <c r="C4" s="126" t="s">
        <v>160</v>
      </c>
      <c r="D4" s="126" t="s">
        <v>161</v>
      </c>
      <c r="E4" s="126" t="s">
        <v>162</v>
      </c>
      <c r="F4" s="126" t="s">
        <v>163</v>
      </c>
      <c r="G4" s="126" t="s">
        <v>164</v>
      </c>
      <c r="H4" s="126" t="s">
        <v>165</v>
      </c>
      <c r="I4" s="126" t="s">
        <v>166</v>
      </c>
      <c r="J4" s="126" t="s">
        <v>167</v>
      </c>
    </row>
    <row r="5" spans="1:10" ht="19.5" customHeight="1" x14ac:dyDescent="0.3">
      <c r="A5" s="138" t="s">
        <v>168</v>
      </c>
      <c r="B5" s="139">
        <f>'Sin Financiamiento'!B77</f>
        <v>5400000</v>
      </c>
      <c r="C5" s="139">
        <f>'Sin Financiamiento'!B102</f>
        <v>0</v>
      </c>
      <c r="D5" s="127">
        <f>'Sin Financiamiento'!E150</f>
        <v>0.19</v>
      </c>
      <c r="E5" s="139">
        <f>'Sin Financiamiento'!B153</f>
        <v>3709755.677879924</v>
      </c>
      <c r="F5" s="127">
        <f>'Sin Financiamiento'!B154</f>
        <v>0.31148854076840227</v>
      </c>
      <c r="G5" s="128">
        <f>'Sin Financiamiento'!B155</f>
        <v>4</v>
      </c>
      <c r="H5" s="128">
        <f>'Sin Financiamiento'!B156</f>
        <v>7</v>
      </c>
      <c r="I5" s="129">
        <f>'Sin Financiamiento'!B157</f>
        <v>1.686991792199986</v>
      </c>
      <c r="J5" s="139" t="s">
        <v>169</v>
      </c>
    </row>
    <row r="6" spans="1:10" ht="19.5" customHeight="1" x14ac:dyDescent="0.3">
      <c r="A6" s="140" t="s">
        <v>170</v>
      </c>
      <c r="B6" s="141">
        <f>Francés!B77</f>
        <v>5400000</v>
      </c>
      <c r="C6" s="141">
        <f>Francés!B102</f>
        <v>2700000</v>
      </c>
      <c r="D6" s="130">
        <f>Francés!E150</f>
        <v>0.13</v>
      </c>
      <c r="E6" s="141">
        <f>Francés!B153</f>
        <v>7578967.2735753283</v>
      </c>
      <c r="F6" s="130">
        <f>Francés!B154</f>
        <v>0.43681496797083952</v>
      </c>
      <c r="G6" s="131">
        <f>Francés!B155</f>
        <v>4</v>
      </c>
      <c r="H6" s="131">
        <f>Francés!B156</f>
        <v>4</v>
      </c>
      <c r="I6" s="132">
        <f>Francés!B157</f>
        <v>3.8070249161390106</v>
      </c>
      <c r="J6" s="141">
        <f>Francés!E109</f>
        <v>712253.19814581261</v>
      </c>
    </row>
    <row r="7" spans="1:10" ht="19.5" customHeight="1" x14ac:dyDescent="0.3">
      <c r="A7" s="138" t="s">
        <v>171</v>
      </c>
      <c r="B7" s="139">
        <f>Americano!B77</f>
        <v>5400000</v>
      </c>
      <c r="C7" s="139">
        <f>Americano!B102</f>
        <v>2700000</v>
      </c>
      <c r="D7" s="127">
        <f>Americano!E150</f>
        <v>0.13</v>
      </c>
      <c r="E7" s="139">
        <f>Americano!B153</f>
        <v>7720019.7394492123</v>
      </c>
      <c r="F7" s="127">
        <f>Americano!B154</f>
        <v>0.4624443197271022</v>
      </c>
      <c r="G7" s="128">
        <f>Americano!B155</f>
        <v>3</v>
      </c>
      <c r="H7" s="128">
        <f>Americano!B156</f>
        <v>4</v>
      </c>
      <c r="I7" s="129">
        <f>Americano!B157</f>
        <v>3.8592665701663749</v>
      </c>
      <c r="J7" s="139">
        <f>Americano!C109</f>
        <v>270000</v>
      </c>
    </row>
    <row r="8" spans="1:10" ht="19.5" customHeight="1" x14ac:dyDescent="0.3">
      <c r="A8" s="140" t="s">
        <v>172</v>
      </c>
      <c r="B8" s="141">
        <f>Italiano!B77</f>
        <v>5400000</v>
      </c>
      <c r="C8" s="141">
        <f>Italiano!B102</f>
        <v>2700000</v>
      </c>
      <c r="D8" s="130">
        <f>Italiano!E150</f>
        <v>0.13</v>
      </c>
      <c r="E8" s="141">
        <f>Italiano!B153</f>
        <v>7462388.838248292</v>
      </c>
      <c r="F8" s="130">
        <f>Italiano!B154</f>
        <v>0.40616532028269936</v>
      </c>
      <c r="G8" s="131">
        <f>Italiano!B155</f>
        <v>4</v>
      </c>
      <c r="H8" s="131">
        <f>Italiano!B156</f>
        <v>5</v>
      </c>
      <c r="I8" s="132">
        <f>Italiano!B157</f>
        <v>3.7638477178697376</v>
      </c>
      <c r="J8" s="141">
        <f>Italiano!C109</f>
        <v>655714.28571428568</v>
      </c>
    </row>
    <row r="9" spans="1:10" ht="19.5" customHeight="1" x14ac:dyDescent="0.3">
      <c r="A9" s="138" t="s">
        <v>173</v>
      </c>
      <c r="B9" s="139">
        <f>Alemán!B77</f>
        <v>5400000</v>
      </c>
      <c r="C9" s="139">
        <f>Alemán!B102</f>
        <v>2700000</v>
      </c>
      <c r="D9" s="127">
        <f>Alemán!E150</f>
        <v>0.13</v>
      </c>
      <c r="E9" s="139">
        <f>Alemán!B153</f>
        <v>7412087.8178233579</v>
      </c>
      <c r="F9" s="127">
        <f>Alemán!B154</f>
        <v>0.41162025085294451</v>
      </c>
      <c r="G9" s="128">
        <f>Alemán!B155</f>
        <v>4</v>
      </c>
      <c r="H9" s="128">
        <f>Alemán!B156</f>
        <v>5</v>
      </c>
      <c r="I9" s="129">
        <f>Alemán!B157</f>
        <v>3.4956524639135886</v>
      </c>
      <c r="J9" s="139">
        <f>Alemán!C109</f>
        <v>270000</v>
      </c>
    </row>
    <row r="10" spans="1:10" ht="21.75" customHeight="1" x14ac:dyDescent="0.3">
      <c r="A10" s="133" t="s">
        <v>174</v>
      </c>
      <c r="B10" s="134">
        <f>MIN(B5:B9)</f>
        <v>5400000</v>
      </c>
      <c r="C10" s="134">
        <f>MAX(C5:C9)</f>
        <v>2700000</v>
      </c>
      <c r="D10" s="135">
        <f>MIN(D5:D9)</f>
        <v>0.13</v>
      </c>
      <c r="E10" s="134">
        <f>MAX(E5:E9)</f>
        <v>7720019.7394492123</v>
      </c>
      <c r="F10" s="135">
        <f>MAX(F5:F9)</f>
        <v>0.4624443197271022</v>
      </c>
      <c r="G10" s="136">
        <f>MIN(G5:G9)</f>
        <v>3</v>
      </c>
      <c r="H10" s="136">
        <f>MIN(H5:H9)</f>
        <v>4</v>
      </c>
      <c r="I10" s="137">
        <f>MAX(I5:I9)</f>
        <v>3.8592665701663749</v>
      </c>
      <c r="J10" s="134">
        <f>MIN(J5:J9)</f>
        <v>270000</v>
      </c>
    </row>
    <row r="11" spans="1:10" ht="6" customHeight="1" x14ac:dyDescent="0.3">
      <c r="A11" s="158"/>
      <c r="B11" s="158"/>
      <c r="C11" s="158"/>
      <c r="D11" s="158"/>
      <c r="E11" s="158"/>
      <c r="F11" s="158"/>
      <c r="G11" s="158"/>
      <c r="H11" s="158"/>
      <c r="I11" s="158"/>
      <c r="J11" s="158"/>
    </row>
    <row r="12" spans="1:10" ht="25.5" customHeight="1" x14ac:dyDescent="0.3"/>
    <row r="14" spans="1:10" ht="10.8" customHeight="1" x14ac:dyDescent="0.3"/>
    <row r="15" spans="1:10" ht="15.75" customHeight="1" x14ac:dyDescent="0.3"/>
    <row r="16" spans="1:10" ht="9" customHeight="1" x14ac:dyDescent="0.3"/>
    <row r="17" ht="15.75" customHeight="1" x14ac:dyDescent="0.3"/>
    <row r="18" ht="9" customHeight="1" x14ac:dyDescent="0.3"/>
    <row r="19" ht="15.75" customHeight="1" x14ac:dyDescent="0.3"/>
    <row r="20" ht="10.8" customHeight="1" x14ac:dyDescent="0.3"/>
    <row r="21" ht="15.75" customHeight="1" x14ac:dyDescent="0.3"/>
    <row r="22" ht="12" customHeight="1" x14ac:dyDescent="0.3"/>
  </sheetData>
  <mergeCells count="4">
    <mergeCell ref="A2:J2"/>
    <mergeCell ref="A1:J1"/>
    <mergeCell ref="A3:J3"/>
    <mergeCell ref="A11:J11"/>
  </mergeCells>
  <conditionalFormatting sqref="E5:F7 I5:I7">
    <cfRule type="cellIs" dxfId="5" priority="2" operator="equal">
      <formula>MAX(E5:E9)</formula>
    </cfRule>
  </conditionalFormatting>
  <conditionalFormatting sqref="E8:F8 I8">
    <cfRule type="cellIs" dxfId="4" priority="7" operator="equal">
      <formula>MAX(E8:E11)</formula>
    </cfRule>
  </conditionalFormatting>
  <conditionalFormatting sqref="E9:F9 I9">
    <cfRule type="cellIs" dxfId="3" priority="16" operator="equal">
      <formula>MAX(E9:E11)</formula>
    </cfRule>
  </conditionalFormatting>
  <conditionalFormatting sqref="G5:H7">
    <cfRule type="cellIs" dxfId="2" priority="5" operator="equal">
      <formula>MIN(G5:G9)</formula>
    </cfRule>
  </conditionalFormatting>
  <conditionalFormatting sqref="G8:H8">
    <cfRule type="cellIs" dxfId="1" priority="9" operator="equal">
      <formula>MIN(G8:G11)</formula>
    </cfRule>
  </conditionalFormatting>
  <conditionalFormatting sqref="G9:H9">
    <cfRule type="cellIs" dxfId="0" priority="18" operator="equal">
      <formula>MIN(G9:G11)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6"/>
  <sheetViews>
    <sheetView showGridLines="0" topLeftCell="A121" zoomScaleNormal="100" workbookViewId="0">
      <selection activeCell="B128" sqref="B128"/>
    </sheetView>
  </sheetViews>
  <sheetFormatPr baseColWidth="10" defaultColWidth="8.6640625" defaultRowHeight="14.4" x14ac:dyDescent="0.3"/>
  <cols>
    <col min="1" max="1" width="42.44140625" style="1" customWidth="1"/>
    <col min="2" max="2" width="15.5546875" style="1" customWidth="1"/>
    <col min="3" max="3" width="16.109375" style="1" customWidth="1"/>
    <col min="4" max="8" width="15.44140625" style="1" customWidth="1"/>
    <col min="9" max="11" width="15.5546875" style="1" customWidth="1"/>
    <col min="12" max="12" width="15.44140625" style="1" customWidth="1"/>
    <col min="13" max="13" width="13.5546875" style="1" customWidth="1"/>
    <col min="14" max="14" width="13.33203125" style="1" customWidth="1"/>
    <col min="16" max="16" width="10.6640625" style="1" customWidth="1"/>
    <col min="18" max="18" width="25.109375" style="1" customWidth="1"/>
    <col min="19" max="19" width="11.6640625" style="1" customWidth="1"/>
    <col min="20" max="20" width="13.44140625" style="1" customWidth="1"/>
    <col min="21" max="21" width="8.44140625" style="1" customWidth="1"/>
    <col min="22" max="22" width="10.6640625" style="1" customWidth="1"/>
  </cols>
  <sheetData>
    <row r="1" spans="1:12" ht="15" customHeight="1" x14ac:dyDescent="0.3">
      <c r="A1" s="2" t="s">
        <v>0</v>
      </c>
    </row>
    <row r="3" spans="1:12" ht="14.25" customHeight="1" x14ac:dyDescent="0.3">
      <c r="A3" s="3" t="s">
        <v>1</v>
      </c>
    </row>
    <row r="4" spans="1:12" ht="14.25" customHeight="1" x14ac:dyDescent="0.3">
      <c r="A4" s="4" t="s">
        <v>2</v>
      </c>
      <c r="B4" s="4">
        <v>10</v>
      </c>
    </row>
    <row r="5" spans="1:12" ht="14.25" customHeight="1" x14ac:dyDescent="0.3">
      <c r="A5" s="4" t="s">
        <v>3</v>
      </c>
      <c r="B5" s="5">
        <v>0.05</v>
      </c>
    </row>
    <row r="6" spans="1:12" ht="14.25" customHeight="1" x14ac:dyDescent="0.3">
      <c r="A6" s="4" t="s">
        <v>4</v>
      </c>
      <c r="B6" s="5">
        <v>7.0000000000000007E-2</v>
      </c>
    </row>
    <row r="7" spans="1:12" ht="14.25" customHeight="1" x14ac:dyDescent="0.3"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</row>
    <row r="8" spans="1:12" ht="14.25" customHeight="1" x14ac:dyDescent="0.3">
      <c r="A8" s="4" t="s">
        <v>16</v>
      </c>
      <c r="B8" s="7"/>
      <c r="C8" s="8">
        <v>750</v>
      </c>
      <c r="D8" s="8">
        <v>900</v>
      </c>
      <c r="E8" s="8">
        <v>900</v>
      </c>
      <c r="F8" s="8">
        <v>900</v>
      </c>
      <c r="G8" s="8">
        <v>900</v>
      </c>
      <c r="H8" s="8">
        <v>900</v>
      </c>
      <c r="I8" s="8">
        <v>900</v>
      </c>
      <c r="J8" s="8">
        <v>900</v>
      </c>
      <c r="K8" s="8">
        <v>900</v>
      </c>
      <c r="L8" s="8">
        <v>900</v>
      </c>
    </row>
    <row r="9" spans="1:12" ht="14.25" customHeight="1" x14ac:dyDescent="0.3">
      <c r="A9" s="4" t="s">
        <v>17</v>
      </c>
      <c r="B9" s="7"/>
      <c r="C9" s="9">
        <f>1225</f>
        <v>1225</v>
      </c>
      <c r="D9" s="9">
        <f>1470</f>
        <v>1470</v>
      </c>
      <c r="E9" s="9">
        <f>1715</f>
        <v>1715</v>
      </c>
      <c r="F9" s="9">
        <f>1960</f>
        <v>1960</v>
      </c>
      <c r="G9" s="9">
        <f>2205</f>
        <v>2205</v>
      </c>
      <c r="H9" s="9">
        <f>2205</f>
        <v>2205</v>
      </c>
      <c r="I9" s="9">
        <f>2205</f>
        <v>2205</v>
      </c>
      <c r="J9" s="9">
        <f>2205</f>
        <v>2205</v>
      </c>
      <c r="K9" s="9">
        <f>2205</f>
        <v>2205</v>
      </c>
      <c r="L9" s="9">
        <f>2205</f>
        <v>2205</v>
      </c>
    </row>
    <row r="10" spans="1:12" ht="14.25" customHeight="1" x14ac:dyDescent="0.3">
      <c r="A10" s="4" t="s">
        <v>18</v>
      </c>
      <c r="B10" s="7"/>
      <c r="C10" s="9">
        <f t="shared" ref="C10:L10" si="0">C9*C8</f>
        <v>918750</v>
      </c>
      <c r="D10" s="9">
        <f t="shared" si="0"/>
        <v>1323000</v>
      </c>
      <c r="E10" s="9">
        <f t="shared" si="0"/>
        <v>1543500</v>
      </c>
      <c r="F10" s="9">
        <f t="shared" si="0"/>
        <v>1764000</v>
      </c>
      <c r="G10" s="9">
        <f t="shared" si="0"/>
        <v>1984500</v>
      </c>
      <c r="H10" s="9">
        <f t="shared" si="0"/>
        <v>1984500</v>
      </c>
      <c r="I10" s="9">
        <f t="shared" si="0"/>
        <v>1984500</v>
      </c>
      <c r="J10" s="9">
        <f t="shared" si="0"/>
        <v>1984500</v>
      </c>
      <c r="K10" s="9">
        <f t="shared" si="0"/>
        <v>1984500</v>
      </c>
      <c r="L10" s="9">
        <f t="shared" si="0"/>
        <v>1984500</v>
      </c>
    </row>
    <row r="11" spans="1:12" ht="14.25" customHeight="1" x14ac:dyDescent="0.3">
      <c r="A11" s="4" t="s">
        <v>19</v>
      </c>
      <c r="B11" s="7"/>
      <c r="C11" s="10">
        <v>1</v>
      </c>
      <c r="D11" s="10">
        <f t="shared" ref="D11:L11" si="1">C11+(C11*$B$5)</f>
        <v>1.05</v>
      </c>
      <c r="E11" s="10">
        <f t="shared" si="1"/>
        <v>1.1025</v>
      </c>
      <c r="F11" s="10">
        <f t="shared" si="1"/>
        <v>1.1576250000000001</v>
      </c>
      <c r="G11" s="10">
        <f t="shared" si="1"/>
        <v>1.2155062500000002</v>
      </c>
      <c r="H11" s="10">
        <f t="shared" si="1"/>
        <v>1.2762815625000004</v>
      </c>
      <c r="I11" s="10">
        <f t="shared" si="1"/>
        <v>1.3400956406250004</v>
      </c>
      <c r="J11" s="10">
        <f t="shared" si="1"/>
        <v>1.4071004226562505</v>
      </c>
      <c r="K11" s="10">
        <f t="shared" si="1"/>
        <v>1.477455443789063</v>
      </c>
      <c r="L11" s="10">
        <f t="shared" si="1"/>
        <v>1.5513282159785162</v>
      </c>
    </row>
    <row r="12" spans="1:12" ht="14.25" customHeight="1" x14ac:dyDescent="0.3">
      <c r="A12" s="4" t="s">
        <v>20</v>
      </c>
      <c r="B12" s="7"/>
      <c r="C12" s="11">
        <v>3</v>
      </c>
      <c r="D12" s="11">
        <f t="shared" ref="D12:L12" si="2">C12+(C12*$B$6)</f>
        <v>3.21</v>
      </c>
      <c r="E12" s="11">
        <f t="shared" si="2"/>
        <v>3.4346999999999999</v>
      </c>
      <c r="F12" s="11">
        <f t="shared" si="2"/>
        <v>3.6751290000000001</v>
      </c>
      <c r="G12" s="11">
        <f t="shared" si="2"/>
        <v>3.9323880300000003</v>
      </c>
      <c r="H12" s="11">
        <f t="shared" si="2"/>
        <v>4.2076551921000007</v>
      </c>
      <c r="I12" s="11">
        <f t="shared" si="2"/>
        <v>4.5021910555470006</v>
      </c>
      <c r="J12" s="11">
        <f t="shared" si="2"/>
        <v>4.8173444294352903</v>
      </c>
      <c r="K12" s="11">
        <f t="shared" si="2"/>
        <v>5.1545585394957607</v>
      </c>
      <c r="L12" s="11">
        <f t="shared" si="2"/>
        <v>5.5153776372604639</v>
      </c>
    </row>
    <row r="13" spans="1:12" ht="14.25" customHeight="1" x14ac:dyDescent="0.3">
      <c r="A13" s="4" t="s">
        <v>21</v>
      </c>
      <c r="B13" s="12"/>
      <c r="C13" s="13">
        <v>450000</v>
      </c>
      <c r="D13" s="13">
        <v>250000</v>
      </c>
      <c r="E13" s="13">
        <v>250000</v>
      </c>
      <c r="F13" s="13">
        <v>250000</v>
      </c>
      <c r="G13" s="13">
        <v>250000</v>
      </c>
      <c r="H13" s="13">
        <v>250000</v>
      </c>
      <c r="I13" s="13">
        <v>0</v>
      </c>
      <c r="J13" s="13">
        <v>0</v>
      </c>
      <c r="K13" s="13">
        <v>0</v>
      </c>
      <c r="L13" s="13">
        <v>0</v>
      </c>
    </row>
    <row r="14" spans="1:12" ht="14.25" customHeight="1" x14ac:dyDescent="0.3">
      <c r="A14" s="4" t="s">
        <v>22</v>
      </c>
      <c r="B14" s="12"/>
      <c r="C14" s="11">
        <f>1.45</f>
        <v>1.45</v>
      </c>
      <c r="D14" s="11">
        <f t="shared" ref="D14:L14" si="3">C14+(C14*$B$6)</f>
        <v>1.5514999999999999</v>
      </c>
      <c r="E14" s="11">
        <f t="shared" si="3"/>
        <v>1.6601049999999999</v>
      </c>
      <c r="F14" s="11">
        <f t="shared" si="3"/>
        <v>1.77631235</v>
      </c>
      <c r="G14" s="11">
        <f t="shared" si="3"/>
        <v>1.9006542145</v>
      </c>
      <c r="H14" s="11">
        <f t="shared" si="3"/>
        <v>2.033700009515</v>
      </c>
      <c r="I14" s="11">
        <f t="shared" si="3"/>
        <v>2.1760590101810502</v>
      </c>
      <c r="J14" s="11">
        <f t="shared" si="3"/>
        <v>2.3283831408937239</v>
      </c>
      <c r="K14" s="11">
        <f t="shared" si="3"/>
        <v>2.4913699607562845</v>
      </c>
      <c r="L14" s="11">
        <f t="shared" si="3"/>
        <v>2.6657658580092245</v>
      </c>
    </row>
    <row r="15" spans="1:12" ht="14.25" customHeight="1" x14ac:dyDescent="0.3">
      <c r="A15" s="4" t="s">
        <v>23</v>
      </c>
      <c r="B15" s="14"/>
      <c r="C15" s="15">
        <f t="shared" ref="C15:L15" si="4">C14*C10</f>
        <v>1332187.5</v>
      </c>
      <c r="D15" s="15">
        <f t="shared" si="4"/>
        <v>2052634.4999999998</v>
      </c>
      <c r="E15" s="15">
        <f t="shared" si="4"/>
        <v>2562372.0674999999</v>
      </c>
      <c r="F15" s="15">
        <f t="shared" si="4"/>
        <v>3133414.9854000001</v>
      </c>
      <c r="G15" s="15">
        <f t="shared" si="4"/>
        <v>3771848.28867525</v>
      </c>
      <c r="H15" s="15">
        <f t="shared" si="4"/>
        <v>4035877.6688825176</v>
      </c>
      <c r="I15" s="15">
        <f t="shared" si="4"/>
        <v>4318389.1057042945</v>
      </c>
      <c r="J15" s="15">
        <f t="shared" si="4"/>
        <v>4620676.3431035951</v>
      </c>
      <c r="K15" s="15">
        <f t="shared" si="4"/>
        <v>4944123.6871208465</v>
      </c>
      <c r="L15" s="15">
        <f t="shared" si="4"/>
        <v>5290212.3452193057</v>
      </c>
    </row>
    <row r="16" spans="1:12" ht="14.25" customHeight="1" x14ac:dyDescent="0.3">
      <c r="A16" s="4" t="s">
        <v>24</v>
      </c>
      <c r="B16" s="14"/>
      <c r="C16" s="15">
        <v>50000</v>
      </c>
      <c r="D16" s="15">
        <f t="shared" ref="D16:L16" si="5">C16+(C16*$B$6)</f>
        <v>53500</v>
      </c>
      <c r="E16" s="15">
        <f t="shared" si="5"/>
        <v>57245</v>
      </c>
      <c r="F16" s="15">
        <f t="shared" si="5"/>
        <v>61252.15</v>
      </c>
      <c r="G16" s="15">
        <f t="shared" si="5"/>
        <v>65539.800499999998</v>
      </c>
      <c r="H16" s="15">
        <f t="shared" si="5"/>
        <v>70127.586534999995</v>
      </c>
      <c r="I16" s="15">
        <f t="shared" si="5"/>
        <v>75036.517592449993</v>
      </c>
      <c r="J16" s="15">
        <f t="shared" si="5"/>
        <v>80289.073823921499</v>
      </c>
      <c r="K16" s="15">
        <f t="shared" si="5"/>
        <v>85909.308991596001</v>
      </c>
      <c r="L16" s="15">
        <f t="shared" si="5"/>
        <v>91922.960621007718</v>
      </c>
    </row>
    <row r="17" spans="1:12" ht="14.25" customHeight="1" x14ac:dyDescent="0.3">
      <c r="A17" s="4" t="s">
        <v>25</v>
      </c>
      <c r="B17" s="14"/>
      <c r="C17" s="15">
        <v>200000</v>
      </c>
      <c r="D17" s="15">
        <f t="shared" ref="D17:L17" si="6">C17+(C17*$B$6)</f>
        <v>214000</v>
      </c>
      <c r="E17" s="15">
        <f t="shared" si="6"/>
        <v>228980</v>
      </c>
      <c r="F17" s="15">
        <f t="shared" si="6"/>
        <v>245008.6</v>
      </c>
      <c r="G17" s="15">
        <f t="shared" si="6"/>
        <v>262159.20199999999</v>
      </c>
      <c r="H17" s="15">
        <f t="shared" si="6"/>
        <v>280510.34613999998</v>
      </c>
      <c r="I17" s="15">
        <f t="shared" si="6"/>
        <v>300146.07036979997</v>
      </c>
      <c r="J17" s="15">
        <f t="shared" si="6"/>
        <v>321156.295295686</v>
      </c>
      <c r="K17" s="15">
        <f t="shared" si="6"/>
        <v>343637.235966384</v>
      </c>
      <c r="L17" s="15">
        <f t="shared" si="6"/>
        <v>367691.84248403087</v>
      </c>
    </row>
    <row r="18" spans="1:12" ht="14.25" customHeight="1" x14ac:dyDescent="0.3">
      <c r="K18" s="16"/>
    </row>
    <row r="19" spans="1:12" ht="14.25" customHeight="1" x14ac:dyDescent="0.3">
      <c r="A19" s="4" t="s">
        <v>26</v>
      </c>
      <c r="B19" s="17">
        <v>1250000</v>
      </c>
      <c r="K19" s="16"/>
    </row>
    <row r="20" spans="1:12" ht="14.25" customHeight="1" x14ac:dyDescent="0.3">
      <c r="A20" s="4" t="s">
        <v>27</v>
      </c>
      <c r="B20" s="17">
        <v>1000000</v>
      </c>
      <c r="K20" s="16"/>
    </row>
    <row r="21" spans="1:12" ht="14.25" customHeight="1" x14ac:dyDescent="0.3">
      <c r="A21" s="4" t="s">
        <v>28</v>
      </c>
      <c r="B21" s="18">
        <v>50000</v>
      </c>
      <c r="K21" s="16"/>
    </row>
    <row r="22" spans="1:12" ht="14.25" customHeight="1" x14ac:dyDescent="0.3">
      <c r="A22" s="4" t="s">
        <v>29</v>
      </c>
      <c r="B22" s="5">
        <v>0.1</v>
      </c>
    </row>
    <row r="23" spans="1:12" ht="14.25" customHeight="1" x14ac:dyDescent="0.3">
      <c r="A23" s="4" t="s">
        <v>30</v>
      </c>
      <c r="B23" s="19">
        <v>7</v>
      </c>
    </row>
    <row r="24" spans="1:12" ht="14.25" customHeight="1" x14ac:dyDescent="0.3">
      <c r="A24" s="4" t="s">
        <v>31</v>
      </c>
      <c r="B24" s="20">
        <f>5400000*0.5</f>
        <v>2700000</v>
      </c>
    </row>
    <row r="25" spans="1:12" ht="14.25" customHeight="1" x14ac:dyDescent="0.3">
      <c r="A25" s="4" t="s">
        <v>32</v>
      </c>
      <c r="B25" s="5">
        <v>0.19</v>
      </c>
    </row>
    <row r="26" spans="1:12" ht="14.25" customHeight="1" x14ac:dyDescent="0.3">
      <c r="A26" s="4" t="s">
        <v>33</v>
      </c>
      <c r="B26" s="5">
        <v>0.3</v>
      </c>
    </row>
    <row r="27" spans="1:12" ht="14.25" customHeight="1" x14ac:dyDescent="0.3">
      <c r="B27" s="21"/>
    </row>
    <row r="28" spans="1:12" ht="14.25" customHeight="1" x14ac:dyDescent="0.3">
      <c r="A28" s="22" t="s">
        <v>34</v>
      </c>
      <c r="B28" s="21"/>
    </row>
    <row r="29" spans="1:12" ht="15.75" customHeight="1" x14ac:dyDescent="0.3">
      <c r="A29" s="23" t="s">
        <v>35</v>
      </c>
      <c r="B29" s="24"/>
    </row>
    <row r="30" spans="1:12" ht="14.25" customHeight="1" x14ac:dyDescent="0.3">
      <c r="A30" s="25" t="s">
        <v>36</v>
      </c>
      <c r="B30" s="26" t="s">
        <v>5</v>
      </c>
      <c r="C30" s="26" t="s">
        <v>6</v>
      </c>
      <c r="D30" s="26" t="s">
        <v>7</v>
      </c>
      <c r="E30" s="26" t="s">
        <v>8</v>
      </c>
      <c r="F30" s="26" t="s">
        <v>9</v>
      </c>
      <c r="G30" s="26" t="s">
        <v>10</v>
      </c>
      <c r="H30" s="26" t="s">
        <v>11</v>
      </c>
      <c r="I30" s="26" t="s">
        <v>12</v>
      </c>
      <c r="J30" s="26" t="s">
        <v>13</v>
      </c>
      <c r="K30" s="26" t="s">
        <v>14</v>
      </c>
      <c r="L30" s="27" t="s">
        <v>15</v>
      </c>
    </row>
    <row r="31" spans="1:12" ht="14.25" customHeight="1" x14ac:dyDescent="0.3">
      <c r="A31" s="28" t="s">
        <v>37</v>
      </c>
      <c r="B31" s="29"/>
      <c r="C31" s="30">
        <f t="shared" ref="C31:L31" si="7">C10</f>
        <v>918750</v>
      </c>
      <c r="D31" s="30">
        <f t="shared" si="7"/>
        <v>1323000</v>
      </c>
      <c r="E31" s="30">
        <f t="shared" si="7"/>
        <v>1543500</v>
      </c>
      <c r="F31" s="30">
        <f t="shared" si="7"/>
        <v>1764000</v>
      </c>
      <c r="G31" s="30">
        <f t="shared" si="7"/>
        <v>1984500</v>
      </c>
      <c r="H31" s="30">
        <f t="shared" si="7"/>
        <v>1984500</v>
      </c>
      <c r="I31" s="30">
        <f t="shared" si="7"/>
        <v>1984500</v>
      </c>
      <c r="J31" s="30">
        <f t="shared" si="7"/>
        <v>1984500</v>
      </c>
      <c r="K31" s="30">
        <f t="shared" si="7"/>
        <v>1984500</v>
      </c>
      <c r="L31" s="31">
        <f t="shared" si="7"/>
        <v>1984500</v>
      </c>
    </row>
    <row r="32" spans="1:12" ht="14.25" customHeight="1" x14ac:dyDescent="0.3">
      <c r="A32" s="28" t="s">
        <v>38</v>
      </c>
      <c r="B32" s="29"/>
      <c r="C32" s="32">
        <f t="shared" ref="C32:L32" si="8">C12</f>
        <v>3</v>
      </c>
      <c r="D32" s="32">
        <f t="shared" si="8"/>
        <v>3.21</v>
      </c>
      <c r="E32" s="32">
        <f t="shared" si="8"/>
        <v>3.4346999999999999</v>
      </c>
      <c r="F32" s="32">
        <f t="shared" si="8"/>
        <v>3.6751290000000001</v>
      </c>
      <c r="G32" s="32">
        <f t="shared" si="8"/>
        <v>3.9323880300000003</v>
      </c>
      <c r="H32" s="32">
        <f t="shared" si="8"/>
        <v>4.2076551921000007</v>
      </c>
      <c r="I32" s="32">
        <f t="shared" si="8"/>
        <v>4.5021910555470006</v>
      </c>
      <c r="J32" s="32">
        <f t="shared" si="8"/>
        <v>4.8173444294352903</v>
      </c>
      <c r="K32" s="32">
        <f t="shared" si="8"/>
        <v>5.1545585394957607</v>
      </c>
      <c r="L32" s="33">
        <f t="shared" si="8"/>
        <v>5.5153776372604639</v>
      </c>
    </row>
    <row r="33" spans="1:12" ht="15.75" customHeight="1" x14ac:dyDescent="0.3">
      <c r="A33" s="34" t="s">
        <v>39</v>
      </c>
      <c r="B33" s="35"/>
      <c r="C33" s="36">
        <f t="shared" ref="C33:L33" si="9">C32*C31</f>
        <v>2756250</v>
      </c>
      <c r="D33" s="36">
        <f t="shared" si="9"/>
        <v>4246830</v>
      </c>
      <c r="E33" s="36">
        <f t="shared" si="9"/>
        <v>5301459.45</v>
      </c>
      <c r="F33" s="36">
        <f t="shared" si="9"/>
        <v>6482927.5559999999</v>
      </c>
      <c r="G33" s="36">
        <f t="shared" si="9"/>
        <v>7803824.045535001</v>
      </c>
      <c r="H33" s="36">
        <f t="shared" si="9"/>
        <v>8350091.7287224513</v>
      </c>
      <c r="I33" s="36">
        <f t="shared" si="9"/>
        <v>8934598.1497330219</v>
      </c>
      <c r="J33" s="36">
        <f t="shared" si="9"/>
        <v>9560020.0202143341</v>
      </c>
      <c r="K33" s="36">
        <f t="shared" si="9"/>
        <v>10229221.421629338</v>
      </c>
      <c r="L33" s="37">
        <f t="shared" si="9"/>
        <v>10945266.92114339</v>
      </c>
    </row>
    <row r="34" spans="1:12" ht="14.25" customHeight="1" x14ac:dyDescent="0.3">
      <c r="B34" s="21"/>
    </row>
    <row r="35" spans="1:12" ht="14.25" customHeight="1" x14ac:dyDescent="0.3">
      <c r="A35" s="22" t="s">
        <v>40</v>
      </c>
      <c r="B35" s="24"/>
    </row>
    <row r="36" spans="1:12" ht="15.75" customHeight="1" x14ac:dyDescent="0.3">
      <c r="A36" s="23" t="s">
        <v>41</v>
      </c>
      <c r="B36" s="24"/>
    </row>
    <row r="37" spans="1:12" ht="14.25" customHeight="1" x14ac:dyDescent="0.3">
      <c r="A37" s="25" t="s">
        <v>36</v>
      </c>
      <c r="B37" s="26" t="s">
        <v>5</v>
      </c>
      <c r="C37" s="26" t="s">
        <v>6</v>
      </c>
      <c r="D37" s="26" t="s">
        <v>7</v>
      </c>
      <c r="E37" s="26" t="s">
        <v>8</v>
      </c>
      <c r="F37" s="26" t="s">
        <v>9</v>
      </c>
      <c r="G37" s="26" t="s">
        <v>10</v>
      </c>
      <c r="H37" s="26" t="s">
        <v>11</v>
      </c>
      <c r="I37" s="26" t="s">
        <v>12</v>
      </c>
      <c r="J37" s="26" t="s">
        <v>13</v>
      </c>
      <c r="K37" s="26" t="s">
        <v>14</v>
      </c>
      <c r="L37" s="27" t="s">
        <v>15</v>
      </c>
    </row>
    <row r="38" spans="1:12" ht="14.25" customHeight="1" x14ac:dyDescent="0.3">
      <c r="A38" s="28" t="s">
        <v>42</v>
      </c>
      <c r="B38" s="29"/>
      <c r="C38" s="38">
        <f t="shared" ref="C38:L38" si="10">C15</f>
        <v>1332187.5</v>
      </c>
      <c r="D38" s="38">
        <f t="shared" si="10"/>
        <v>2052634.4999999998</v>
      </c>
      <c r="E38" s="38">
        <f t="shared" si="10"/>
        <v>2562372.0674999999</v>
      </c>
      <c r="F38" s="38">
        <f t="shared" si="10"/>
        <v>3133414.9854000001</v>
      </c>
      <c r="G38" s="38">
        <f t="shared" si="10"/>
        <v>3771848.28867525</v>
      </c>
      <c r="H38" s="38">
        <f t="shared" si="10"/>
        <v>4035877.6688825176</v>
      </c>
      <c r="I38" s="38">
        <f t="shared" si="10"/>
        <v>4318389.1057042945</v>
      </c>
      <c r="J38" s="38">
        <f t="shared" si="10"/>
        <v>4620676.3431035951</v>
      </c>
      <c r="K38" s="38">
        <f t="shared" si="10"/>
        <v>4944123.6871208465</v>
      </c>
      <c r="L38" s="39">
        <f t="shared" si="10"/>
        <v>5290212.3452193057</v>
      </c>
    </row>
    <row r="39" spans="1:12" ht="15.75" customHeight="1" x14ac:dyDescent="0.3">
      <c r="A39" s="40" t="s">
        <v>43</v>
      </c>
      <c r="B39" s="41"/>
      <c r="C39" s="36">
        <f t="shared" ref="C39:L39" si="11">C38</f>
        <v>1332187.5</v>
      </c>
      <c r="D39" s="36">
        <f t="shared" si="11"/>
        <v>2052634.4999999998</v>
      </c>
      <c r="E39" s="36">
        <f t="shared" si="11"/>
        <v>2562372.0674999999</v>
      </c>
      <c r="F39" s="36">
        <f t="shared" si="11"/>
        <v>3133414.9854000001</v>
      </c>
      <c r="G39" s="36">
        <f t="shared" si="11"/>
        <v>3771848.28867525</v>
      </c>
      <c r="H39" s="36">
        <f t="shared" si="11"/>
        <v>4035877.6688825176</v>
      </c>
      <c r="I39" s="36">
        <f t="shared" si="11"/>
        <v>4318389.1057042945</v>
      </c>
      <c r="J39" s="36">
        <f t="shared" si="11"/>
        <v>4620676.3431035951</v>
      </c>
      <c r="K39" s="36">
        <f t="shared" si="11"/>
        <v>4944123.6871208465</v>
      </c>
      <c r="L39" s="37">
        <f t="shared" si="11"/>
        <v>5290212.3452193057</v>
      </c>
    </row>
    <row r="40" spans="1:12" ht="14.25" customHeight="1" x14ac:dyDescent="0.3">
      <c r="B40" s="21"/>
    </row>
    <row r="41" spans="1:12" ht="14.25" customHeight="1" x14ac:dyDescent="0.3">
      <c r="A41" s="22" t="s">
        <v>44</v>
      </c>
      <c r="B41" s="24"/>
    </row>
    <row r="42" spans="1:12" ht="15.75" customHeight="1" x14ac:dyDescent="0.3">
      <c r="A42" s="23" t="s">
        <v>45</v>
      </c>
      <c r="B42" s="24"/>
    </row>
    <row r="43" spans="1:12" ht="14.25" customHeight="1" x14ac:dyDescent="0.3">
      <c r="A43" s="25" t="s">
        <v>36</v>
      </c>
      <c r="B43" s="26" t="s">
        <v>5</v>
      </c>
      <c r="C43" s="26" t="s">
        <v>6</v>
      </c>
      <c r="D43" s="26" t="s">
        <v>7</v>
      </c>
      <c r="E43" s="26" t="s">
        <v>8</v>
      </c>
      <c r="F43" s="26" t="s">
        <v>9</v>
      </c>
      <c r="G43" s="26" t="s">
        <v>10</v>
      </c>
      <c r="H43" s="26" t="s">
        <v>11</v>
      </c>
      <c r="I43" s="26" t="s">
        <v>12</v>
      </c>
      <c r="J43" s="26" t="s">
        <v>13</v>
      </c>
      <c r="K43" s="26" t="s">
        <v>14</v>
      </c>
      <c r="L43" s="27" t="s">
        <v>15</v>
      </c>
    </row>
    <row r="44" spans="1:12" ht="14.25" customHeight="1" x14ac:dyDescent="0.3">
      <c r="A44" s="28" t="s">
        <v>24</v>
      </c>
      <c r="B44" s="29"/>
      <c r="C44" s="38">
        <f t="shared" ref="C44:L44" si="12">C16</f>
        <v>50000</v>
      </c>
      <c r="D44" s="38">
        <f t="shared" si="12"/>
        <v>53500</v>
      </c>
      <c r="E44" s="38">
        <f t="shared" si="12"/>
        <v>57245</v>
      </c>
      <c r="F44" s="38">
        <f t="shared" si="12"/>
        <v>61252.15</v>
      </c>
      <c r="G44" s="38">
        <f t="shared" si="12"/>
        <v>65539.800499999998</v>
      </c>
      <c r="H44" s="38">
        <f t="shared" si="12"/>
        <v>70127.586534999995</v>
      </c>
      <c r="I44" s="38">
        <f t="shared" si="12"/>
        <v>75036.517592449993</v>
      </c>
      <c r="J44" s="38">
        <f t="shared" si="12"/>
        <v>80289.073823921499</v>
      </c>
      <c r="K44" s="38">
        <f t="shared" si="12"/>
        <v>85909.308991596001</v>
      </c>
      <c r="L44" s="39">
        <f t="shared" si="12"/>
        <v>91922.960621007718</v>
      </c>
    </row>
    <row r="45" spans="1:12" ht="14.25" customHeight="1" x14ac:dyDescent="0.3">
      <c r="A45" s="28" t="s">
        <v>25</v>
      </c>
      <c r="B45" s="29"/>
      <c r="C45" s="38">
        <f t="shared" ref="C45:L45" si="13">C17</f>
        <v>200000</v>
      </c>
      <c r="D45" s="38">
        <f t="shared" si="13"/>
        <v>214000</v>
      </c>
      <c r="E45" s="38">
        <f t="shared" si="13"/>
        <v>228980</v>
      </c>
      <c r="F45" s="38">
        <f t="shared" si="13"/>
        <v>245008.6</v>
      </c>
      <c r="G45" s="38">
        <f t="shared" si="13"/>
        <v>262159.20199999999</v>
      </c>
      <c r="H45" s="38">
        <f t="shared" si="13"/>
        <v>280510.34613999998</v>
      </c>
      <c r="I45" s="38">
        <f t="shared" si="13"/>
        <v>300146.07036979997</v>
      </c>
      <c r="J45" s="38">
        <f t="shared" si="13"/>
        <v>321156.295295686</v>
      </c>
      <c r="K45" s="38">
        <f t="shared" si="13"/>
        <v>343637.235966384</v>
      </c>
      <c r="L45" s="39">
        <f t="shared" si="13"/>
        <v>367691.84248403087</v>
      </c>
    </row>
    <row r="46" spans="1:12" ht="15.75" customHeight="1" x14ac:dyDescent="0.3">
      <c r="A46" s="40" t="s">
        <v>46</v>
      </c>
      <c r="B46" s="41"/>
      <c r="C46" s="36">
        <f t="shared" ref="C46:L46" si="14">SUM(C44:C45)</f>
        <v>250000</v>
      </c>
      <c r="D46" s="36">
        <f t="shared" si="14"/>
        <v>267500</v>
      </c>
      <c r="E46" s="36">
        <f t="shared" si="14"/>
        <v>286225</v>
      </c>
      <c r="F46" s="36">
        <f t="shared" si="14"/>
        <v>306260.75</v>
      </c>
      <c r="G46" s="36">
        <f t="shared" si="14"/>
        <v>327699.0025</v>
      </c>
      <c r="H46" s="36">
        <f t="shared" si="14"/>
        <v>350637.93267499999</v>
      </c>
      <c r="I46" s="36">
        <f t="shared" si="14"/>
        <v>375182.58796224999</v>
      </c>
      <c r="J46" s="36">
        <f t="shared" si="14"/>
        <v>401445.36911960749</v>
      </c>
      <c r="K46" s="36">
        <f t="shared" si="14"/>
        <v>429546.54495797999</v>
      </c>
      <c r="L46" s="37">
        <f t="shared" si="14"/>
        <v>459614.80310503859</v>
      </c>
    </row>
    <row r="47" spans="1:12" ht="14.25" customHeight="1" x14ac:dyDescent="0.3">
      <c r="B47" s="21"/>
    </row>
    <row r="48" spans="1:12" ht="14.25" customHeight="1" x14ac:dyDescent="0.3">
      <c r="A48" s="22" t="s">
        <v>47</v>
      </c>
      <c r="B48" s="42"/>
      <c r="C48" s="43"/>
      <c r="D48" s="43"/>
      <c r="E48" s="43"/>
      <c r="F48" s="43"/>
      <c r="G48" s="43"/>
      <c r="H48" s="43"/>
    </row>
    <row r="49" spans="1:12" ht="14.25" customHeight="1" x14ac:dyDescent="0.3">
      <c r="A49" s="44" t="s">
        <v>21</v>
      </c>
      <c r="B49" s="42"/>
      <c r="C49" s="43"/>
      <c r="D49" s="43"/>
      <c r="E49" s="43"/>
      <c r="F49" s="43"/>
      <c r="G49" s="43"/>
      <c r="H49" s="43"/>
    </row>
    <row r="50" spans="1:12" ht="15.75" customHeight="1" x14ac:dyDescent="0.3">
      <c r="A50" s="160" t="s">
        <v>48</v>
      </c>
      <c r="B50" s="160"/>
      <c r="C50" s="160"/>
      <c r="D50" s="160"/>
      <c r="E50" s="160"/>
      <c r="F50" s="160"/>
      <c r="G50" s="160"/>
      <c r="H50" s="160"/>
    </row>
    <row r="51" spans="1:12" ht="14.25" customHeight="1" x14ac:dyDescent="0.3">
      <c r="A51" s="25" t="s">
        <v>36</v>
      </c>
      <c r="B51" s="26" t="s">
        <v>5</v>
      </c>
      <c r="C51" s="26" t="s">
        <v>6</v>
      </c>
      <c r="D51" s="26" t="s">
        <v>7</v>
      </c>
      <c r="E51" s="26" t="s">
        <v>8</v>
      </c>
      <c r="F51" s="26" t="s">
        <v>9</v>
      </c>
      <c r="G51" s="26" t="s">
        <v>10</v>
      </c>
      <c r="H51" s="26" t="s">
        <v>11</v>
      </c>
      <c r="I51" s="26" t="s">
        <v>12</v>
      </c>
      <c r="J51" s="26" t="s">
        <v>13</v>
      </c>
      <c r="K51" s="26" t="s">
        <v>14</v>
      </c>
      <c r="L51" s="27" t="s">
        <v>15</v>
      </c>
    </row>
    <row r="52" spans="1:12" ht="14.25" customHeight="1" x14ac:dyDescent="0.3">
      <c r="A52" s="28" t="s">
        <v>21</v>
      </c>
      <c r="B52" s="45"/>
      <c r="C52" s="38">
        <f t="shared" ref="C52:L52" si="15">C13+B52</f>
        <v>450000</v>
      </c>
      <c r="D52" s="38">
        <f t="shared" si="15"/>
        <v>700000</v>
      </c>
      <c r="E52" s="38">
        <f t="shared" si="15"/>
        <v>950000</v>
      </c>
      <c r="F52" s="38">
        <f t="shared" si="15"/>
        <v>1200000</v>
      </c>
      <c r="G52" s="38">
        <f t="shared" si="15"/>
        <v>1450000</v>
      </c>
      <c r="H52" s="38">
        <f t="shared" si="15"/>
        <v>1700000</v>
      </c>
      <c r="I52" s="38">
        <f t="shared" si="15"/>
        <v>1700000</v>
      </c>
      <c r="J52" s="38">
        <f t="shared" si="15"/>
        <v>1700000</v>
      </c>
      <c r="K52" s="38">
        <f t="shared" si="15"/>
        <v>1700000</v>
      </c>
      <c r="L52" s="38">
        <f t="shared" si="15"/>
        <v>1700000</v>
      </c>
    </row>
    <row r="53" spans="1:12" ht="15.75" customHeight="1" x14ac:dyDescent="0.3">
      <c r="A53" s="34" t="s">
        <v>49</v>
      </c>
      <c r="B53" s="46"/>
      <c r="C53" s="36">
        <f t="shared" ref="C53:L53" si="16">SUM(C52:C52)</f>
        <v>450000</v>
      </c>
      <c r="D53" s="36">
        <f t="shared" si="16"/>
        <v>700000</v>
      </c>
      <c r="E53" s="36">
        <f t="shared" si="16"/>
        <v>950000</v>
      </c>
      <c r="F53" s="36">
        <f t="shared" si="16"/>
        <v>1200000</v>
      </c>
      <c r="G53" s="36">
        <f t="shared" si="16"/>
        <v>1450000</v>
      </c>
      <c r="H53" s="36">
        <f t="shared" si="16"/>
        <v>1700000</v>
      </c>
      <c r="I53" s="36">
        <f t="shared" si="16"/>
        <v>1700000</v>
      </c>
      <c r="J53" s="36">
        <f t="shared" si="16"/>
        <v>1700000</v>
      </c>
      <c r="K53" s="36">
        <f t="shared" si="16"/>
        <v>1700000</v>
      </c>
      <c r="L53" s="37">
        <f t="shared" si="16"/>
        <v>1700000</v>
      </c>
    </row>
    <row r="54" spans="1:12" ht="14.25" customHeight="1" x14ac:dyDescent="0.3">
      <c r="A54" s="43"/>
      <c r="B54" s="42"/>
      <c r="C54" s="43"/>
      <c r="D54" s="43"/>
      <c r="E54" s="43"/>
      <c r="F54" s="43"/>
      <c r="G54" s="43"/>
      <c r="H54" s="43"/>
    </row>
    <row r="55" spans="1:12" ht="15.75" customHeight="1" x14ac:dyDescent="0.3">
      <c r="A55" s="160" t="s">
        <v>50</v>
      </c>
      <c r="B55" s="160"/>
      <c r="C55" s="160"/>
      <c r="D55" s="160"/>
      <c r="E55" s="160"/>
      <c r="F55" s="160"/>
      <c r="G55" s="160"/>
      <c r="H55" s="160"/>
    </row>
    <row r="56" spans="1:12" ht="14.25" customHeight="1" x14ac:dyDescent="0.3">
      <c r="A56" s="25" t="s">
        <v>36</v>
      </c>
      <c r="B56" s="26" t="s">
        <v>51</v>
      </c>
      <c r="C56" s="26" t="s">
        <v>6</v>
      </c>
      <c r="D56" s="26" t="s">
        <v>7</v>
      </c>
      <c r="E56" s="26" t="s">
        <v>8</v>
      </c>
      <c r="F56" s="26" t="s">
        <v>9</v>
      </c>
      <c r="G56" s="26" t="s">
        <v>10</v>
      </c>
      <c r="H56" s="26" t="s">
        <v>11</v>
      </c>
      <c r="I56" s="26" t="s">
        <v>12</v>
      </c>
      <c r="J56" s="26" t="s">
        <v>13</v>
      </c>
      <c r="K56" s="26" t="s">
        <v>14</v>
      </c>
      <c r="L56" s="27" t="s">
        <v>15</v>
      </c>
    </row>
    <row r="57" spans="1:12" ht="14.25" customHeight="1" x14ac:dyDescent="0.3">
      <c r="A57" s="47" t="s">
        <v>52</v>
      </c>
      <c r="B57" s="48"/>
      <c r="C57" s="49">
        <f t="shared" ref="C57:L57" si="17">C58</f>
        <v>450000</v>
      </c>
      <c r="D57" s="49">
        <f t="shared" si="17"/>
        <v>700000</v>
      </c>
      <c r="E57" s="49">
        <f t="shared" si="17"/>
        <v>950000</v>
      </c>
      <c r="F57" s="49">
        <f t="shared" si="17"/>
        <v>1200000</v>
      </c>
      <c r="G57" s="49">
        <f t="shared" si="17"/>
        <v>1450000</v>
      </c>
      <c r="H57" s="49">
        <f t="shared" si="17"/>
        <v>1700000</v>
      </c>
      <c r="I57" s="49">
        <f t="shared" si="17"/>
        <v>1700000</v>
      </c>
      <c r="J57" s="49">
        <f t="shared" si="17"/>
        <v>1700000</v>
      </c>
      <c r="K57" s="49">
        <f t="shared" si="17"/>
        <v>1700000</v>
      </c>
      <c r="L57" s="50">
        <f t="shared" si="17"/>
        <v>1700000</v>
      </c>
    </row>
    <row r="58" spans="1:12" ht="14.25" customHeight="1" x14ac:dyDescent="0.3">
      <c r="A58" s="28" t="s">
        <v>53</v>
      </c>
      <c r="B58" s="45"/>
      <c r="C58" s="38">
        <f t="shared" ref="C58:L58" si="18">C53</f>
        <v>450000</v>
      </c>
      <c r="D58" s="38">
        <f t="shared" si="18"/>
        <v>700000</v>
      </c>
      <c r="E58" s="38">
        <f t="shared" si="18"/>
        <v>950000</v>
      </c>
      <c r="F58" s="38">
        <f t="shared" si="18"/>
        <v>1200000</v>
      </c>
      <c r="G58" s="38">
        <f t="shared" si="18"/>
        <v>1450000</v>
      </c>
      <c r="H58" s="38">
        <f t="shared" si="18"/>
        <v>1700000</v>
      </c>
      <c r="I58" s="38">
        <f t="shared" si="18"/>
        <v>1700000</v>
      </c>
      <c r="J58" s="38">
        <f t="shared" si="18"/>
        <v>1700000</v>
      </c>
      <c r="K58" s="38">
        <f t="shared" si="18"/>
        <v>1700000</v>
      </c>
      <c r="L58" s="39">
        <f t="shared" si="18"/>
        <v>1700000</v>
      </c>
    </row>
    <row r="59" spans="1:12" ht="14.25" customHeight="1" x14ac:dyDescent="0.3">
      <c r="A59" s="47" t="s">
        <v>54</v>
      </c>
      <c r="B59" s="48"/>
      <c r="C59" s="49">
        <f t="shared" ref="C59:L59" si="19">SUM(C60:C61)</f>
        <v>0</v>
      </c>
      <c r="D59" s="49">
        <f t="shared" si="19"/>
        <v>0</v>
      </c>
      <c r="E59" s="49">
        <f t="shared" si="19"/>
        <v>0</v>
      </c>
      <c r="F59" s="49">
        <f t="shared" si="19"/>
        <v>0</v>
      </c>
      <c r="G59" s="49">
        <f t="shared" si="19"/>
        <v>0</v>
      </c>
      <c r="H59" s="49">
        <f t="shared" si="19"/>
        <v>0</v>
      </c>
      <c r="I59" s="49">
        <f t="shared" si="19"/>
        <v>0</v>
      </c>
      <c r="J59" s="49">
        <f t="shared" si="19"/>
        <v>0</v>
      </c>
      <c r="K59" s="49">
        <f t="shared" si="19"/>
        <v>0</v>
      </c>
      <c r="L59" s="50">
        <f t="shared" si="19"/>
        <v>0</v>
      </c>
    </row>
    <row r="60" spans="1:12" ht="14.25" customHeight="1" x14ac:dyDescent="0.3">
      <c r="A60" s="28" t="s">
        <v>55</v>
      </c>
      <c r="B60" s="45"/>
      <c r="C60" s="38">
        <v>0</v>
      </c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9">
        <v>0</v>
      </c>
    </row>
    <row r="61" spans="1:12" ht="14.25" customHeight="1" x14ac:dyDescent="0.3">
      <c r="A61" s="28" t="s">
        <v>56</v>
      </c>
      <c r="B61" s="45"/>
      <c r="C61" s="38">
        <v>0</v>
      </c>
      <c r="D61" s="38">
        <v>0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9">
        <v>0</v>
      </c>
    </row>
    <row r="62" spans="1:12" ht="14.25" customHeight="1" x14ac:dyDescent="0.3">
      <c r="A62" s="51" t="s">
        <v>57</v>
      </c>
      <c r="B62" s="52"/>
      <c r="C62" s="53">
        <f t="shared" ref="C62:L62" si="20">C57-C59</f>
        <v>450000</v>
      </c>
      <c r="D62" s="53">
        <f t="shared" si="20"/>
        <v>700000</v>
      </c>
      <c r="E62" s="53">
        <f t="shared" si="20"/>
        <v>950000</v>
      </c>
      <c r="F62" s="53">
        <f t="shared" si="20"/>
        <v>1200000</v>
      </c>
      <c r="G62" s="53">
        <f t="shared" si="20"/>
        <v>1450000</v>
      </c>
      <c r="H62" s="53">
        <f t="shared" si="20"/>
        <v>1700000</v>
      </c>
      <c r="I62" s="53">
        <f t="shared" si="20"/>
        <v>1700000</v>
      </c>
      <c r="J62" s="53">
        <f t="shared" si="20"/>
        <v>1700000</v>
      </c>
      <c r="K62" s="53">
        <f t="shared" si="20"/>
        <v>1700000</v>
      </c>
      <c r="L62" s="54">
        <f t="shared" si="20"/>
        <v>1700000</v>
      </c>
    </row>
    <row r="63" spans="1:12" ht="15.75" customHeight="1" x14ac:dyDescent="0.3">
      <c r="A63" s="34" t="s">
        <v>58</v>
      </c>
      <c r="B63" s="36">
        <f t="shared" ref="B63:L63" si="21">C62-B62</f>
        <v>450000</v>
      </c>
      <c r="C63" s="36">
        <f t="shared" si="21"/>
        <v>250000</v>
      </c>
      <c r="D63" s="36">
        <f t="shared" si="21"/>
        <v>250000</v>
      </c>
      <c r="E63" s="36">
        <f t="shared" si="21"/>
        <v>250000</v>
      </c>
      <c r="F63" s="36">
        <f t="shared" si="21"/>
        <v>250000</v>
      </c>
      <c r="G63" s="36">
        <f t="shared" si="21"/>
        <v>250000</v>
      </c>
      <c r="H63" s="36">
        <f t="shared" si="21"/>
        <v>0</v>
      </c>
      <c r="I63" s="36">
        <f t="shared" si="21"/>
        <v>0</v>
      </c>
      <c r="J63" s="36">
        <f t="shared" si="21"/>
        <v>0</v>
      </c>
      <c r="K63" s="36">
        <f t="shared" si="21"/>
        <v>0</v>
      </c>
      <c r="L63" s="37">
        <f t="shared" si="21"/>
        <v>-1700000</v>
      </c>
    </row>
    <row r="64" spans="1:12" ht="14.25" customHeight="1" x14ac:dyDescent="0.3">
      <c r="B64" s="24"/>
    </row>
    <row r="65" spans="1:12" ht="14.25" customHeight="1" x14ac:dyDescent="0.3">
      <c r="A65" s="22" t="s">
        <v>59</v>
      </c>
      <c r="B65" s="24"/>
    </row>
    <row r="66" spans="1:12" ht="15.75" customHeight="1" x14ac:dyDescent="0.3">
      <c r="A66" s="23" t="s">
        <v>60</v>
      </c>
      <c r="B66" s="24"/>
    </row>
    <row r="67" spans="1:12" ht="14.25" customHeight="1" x14ac:dyDescent="0.3">
      <c r="A67" s="25" t="s">
        <v>36</v>
      </c>
      <c r="B67" s="26" t="s">
        <v>5</v>
      </c>
      <c r="C67" s="26" t="s">
        <v>6</v>
      </c>
      <c r="D67" s="26" t="s">
        <v>7</v>
      </c>
      <c r="E67" s="26" t="s">
        <v>8</v>
      </c>
      <c r="F67" s="26" t="s">
        <v>9</v>
      </c>
      <c r="G67" s="26" t="s">
        <v>10</v>
      </c>
      <c r="H67" s="26" t="s">
        <v>11</v>
      </c>
      <c r="I67" s="26" t="s">
        <v>12</v>
      </c>
      <c r="J67" s="26" t="s">
        <v>13</v>
      </c>
      <c r="K67" s="26" t="s">
        <v>14</v>
      </c>
      <c r="L67" s="27" t="s">
        <v>15</v>
      </c>
    </row>
    <row r="68" spans="1:12" ht="14.25" customHeight="1" x14ac:dyDescent="0.3">
      <c r="A68" s="47" t="s">
        <v>61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6"/>
    </row>
    <row r="69" spans="1:12" ht="14.25" customHeight="1" x14ac:dyDescent="0.3">
      <c r="A69" s="28" t="s">
        <v>62</v>
      </c>
      <c r="B69" s="57">
        <v>100000</v>
      </c>
      <c r="C69" s="55"/>
      <c r="D69" s="55"/>
      <c r="E69" s="55"/>
      <c r="F69" s="55"/>
      <c r="G69" s="55"/>
      <c r="H69" s="55"/>
      <c r="I69" s="55"/>
      <c r="J69" s="55"/>
      <c r="K69" s="55"/>
      <c r="L69" s="56"/>
    </row>
    <row r="70" spans="1:12" ht="14.25" customHeight="1" x14ac:dyDescent="0.3">
      <c r="A70" s="28" t="s">
        <v>63</v>
      </c>
      <c r="B70" s="57">
        <f>3000000+200000+450000+50000</f>
        <v>3700000</v>
      </c>
      <c r="C70" s="55"/>
      <c r="D70" s="55"/>
      <c r="E70" s="55"/>
      <c r="F70" s="55"/>
      <c r="G70" s="55"/>
      <c r="H70" s="55"/>
      <c r="I70" s="55"/>
      <c r="J70" s="55"/>
      <c r="K70" s="55"/>
      <c r="L70" s="56"/>
    </row>
    <row r="71" spans="1:12" ht="14.25" customHeight="1" x14ac:dyDescent="0.3">
      <c r="A71" s="28" t="s">
        <v>64</v>
      </c>
      <c r="B71" s="57">
        <f>300000+100000</f>
        <v>400000</v>
      </c>
      <c r="C71" s="55"/>
      <c r="D71" s="55"/>
      <c r="E71" s="55"/>
      <c r="F71" s="55"/>
      <c r="G71" s="55"/>
      <c r="H71" s="55"/>
      <c r="I71" s="55"/>
      <c r="J71" s="55"/>
      <c r="K71" s="55"/>
      <c r="L71" s="56"/>
    </row>
    <row r="72" spans="1:12" ht="14.25" customHeight="1" x14ac:dyDescent="0.3">
      <c r="A72" s="28" t="s">
        <v>65</v>
      </c>
      <c r="B72" s="57">
        <v>750000</v>
      </c>
      <c r="C72" s="55"/>
      <c r="D72" s="55"/>
      <c r="E72" s="55"/>
      <c r="F72" s="55"/>
      <c r="G72" s="55"/>
      <c r="H72" s="55"/>
      <c r="I72" s="55"/>
      <c r="J72" s="55"/>
      <c r="K72" s="55"/>
      <c r="L72" s="56"/>
    </row>
    <row r="73" spans="1:12" ht="14.25" customHeight="1" x14ac:dyDescent="0.3">
      <c r="A73" s="47" t="s">
        <v>66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6"/>
    </row>
    <row r="74" spans="1:12" ht="14.25" customHeight="1" x14ac:dyDescent="0.3">
      <c r="A74" s="28" t="s">
        <v>67</v>
      </c>
      <c r="B74" s="57">
        <v>0</v>
      </c>
      <c r="C74" s="55"/>
      <c r="D74" s="55"/>
      <c r="E74" s="55"/>
      <c r="F74" s="55"/>
      <c r="G74" s="55"/>
      <c r="H74" s="55"/>
      <c r="I74" s="55"/>
      <c r="J74" s="55"/>
      <c r="K74" s="55"/>
      <c r="L74" s="56"/>
    </row>
    <row r="75" spans="1:12" ht="14.25" customHeight="1" x14ac:dyDescent="0.3">
      <c r="A75" s="47" t="s">
        <v>21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6"/>
    </row>
    <row r="76" spans="1:12" ht="14.25" customHeight="1" x14ac:dyDescent="0.3">
      <c r="A76" s="28" t="s">
        <v>68</v>
      </c>
      <c r="B76" s="57">
        <f t="shared" ref="B76:L76" si="22">B63</f>
        <v>450000</v>
      </c>
      <c r="C76" s="57">
        <f t="shared" si="22"/>
        <v>250000</v>
      </c>
      <c r="D76" s="57">
        <f t="shared" si="22"/>
        <v>250000</v>
      </c>
      <c r="E76" s="57">
        <f t="shared" si="22"/>
        <v>250000</v>
      </c>
      <c r="F76" s="57">
        <f t="shared" si="22"/>
        <v>250000</v>
      </c>
      <c r="G76" s="57">
        <f t="shared" si="22"/>
        <v>250000</v>
      </c>
      <c r="H76" s="57">
        <f t="shared" si="22"/>
        <v>0</v>
      </c>
      <c r="I76" s="57">
        <f t="shared" si="22"/>
        <v>0</v>
      </c>
      <c r="J76" s="57">
        <f t="shared" si="22"/>
        <v>0</v>
      </c>
      <c r="K76" s="57">
        <f t="shared" si="22"/>
        <v>0</v>
      </c>
      <c r="L76" s="58">
        <f t="shared" si="22"/>
        <v>-1700000</v>
      </c>
    </row>
    <row r="77" spans="1:12" ht="15.75" customHeight="1" x14ac:dyDescent="0.3">
      <c r="A77" s="40" t="s">
        <v>69</v>
      </c>
      <c r="B77" s="59">
        <f t="shared" ref="B77:L77" si="23">SUM(B68:B76)</f>
        <v>5400000</v>
      </c>
      <c r="C77" s="59">
        <f t="shared" si="23"/>
        <v>250000</v>
      </c>
      <c r="D77" s="59">
        <f t="shared" si="23"/>
        <v>250000</v>
      </c>
      <c r="E77" s="59">
        <f t="shared" si="23"/>
        <v>250000</v>
      </c>
      <c r="F77" s="59">
        <f t="shared" si="23"/>
        <v>250000</v>
      </c>
      <c r="G77" s="59">
        <f t="shared" si="23"/>
        <v>250000</v>
      </c>
      <c r="H77" s="59">
        <f t="shared" si="23"/>
        <v>0</v>
      </c>
      <c r="I77" s="59">
        <f t="shared" si="23"/>
        <v>0</v>
      </c>
      <c r="J77" s="59">
        <f t="shared" si="23"/>
        <v>0</v>
      </c>
      <c r="K77" s="59">
        <f t="shared" si="23"/>
        <v>0</v>
      </c>
      <c r="L77" s="60">
        <f t="shared" si="23"/>
        <v>-1700000</v>
      </c>
    </row>
    <row r="78" spans="1:12" ht="14.25" customHeight="1" x14ac:dyDescent="0.3">
      <c r="B78" s="21"/>
    </row>
    <row r="79" spans="1:12" ht="14.25" customHeight="1" x14ac:dyDescent="0.3">
      <c r="A79" s="22" t="s">
        <v>70</v>
      </c>
      <c r="B79" s="24"/>
    </row>
    <row r="80" spans="1:12" ht="15.75" customHeight="1" x14ac:dyDescent="0.3">
      <c r="A80" s="23" t="s">
        <v>71</v>
      </c>
      <c r="B80" s="24"/>
    </row>
    <row r="81" spans="1:22" ht="14.25" customHeight="1" x14ac:dyDescent="0.3">
      <c r="A81" s="25" t="s">
        <v>36</v>
      </c>
      <c r="B81" s="26" t="s">
        <v>5</v>
      </c>
      <c r="C81" s="26" t="s">
        <v>6</v>
      </c>
      <c r="D81" s="26" t="s">
        <v>7</v>
      </c>
      <c r="E81" s="26" t="s">
        <v>8</v>
      </c>
      <c r="F81" s="26" t="s">
        <v>9</v>
      </c>
      <c r="G81" s="26" t="s">
        <v>10</v>
      </c>
      <c r="H81" s="26" t="s">
        <v>11</v>
      </c>
      <c r="I81" s="26" t="s">
        <v>12</v>
      </c>
      <c r="J81" s="26" t="s">
        <v>13</v>
      </c>
      <c r="K81" s="26" t="s">
        <v>14</v>
      </c>
      <c r="L81" s="27" t="s">
        <v>15</v>
      </c>
      <c r="R81" s="61" t="s">
        <v>72</v>
      </c>
      <c r="S81" s="62" t="s">
        <v>73</v>
      </c>
      <c r="T81" s="62" t="s">
        <v>74</v>
      </c>
      <c r="U81" s="62" t="s">
        <v>75</v>
      </c>
      <c r="V81" s="62" t="s">
        <v>76</v>
      </c>
    </row>
    <row r="82" spans="1:22" ht="14.25" customHeight="1" x14ac:dyDescent="0.3">
      <c r="A82" s="28" t="s">
        <v>77</v>
      </c>
      <c r="B82" s="55"/>
      <c r="C82" s="57">
        <f t="shared" ref="C82:L82" si="24">$V$82</f>
        <v>2500</v>
      </c>
      <c r="D82" s="57">
        <f t="shared" si="24"/>
        <v>2500</v>
      </c>
      <c r="E82" s="57">
        <f t="shared" si="24"/>
        <v>2500</v>
      </c>
      <c r="F82" s="57">
        <f t="shared" si="24"/>
        <v>2500</v>
      </c>
      <c r="G82" s="57">
        <f t="shared" si="24"/>
        <v>2500</v>
      </c>
      <c r="H82" s="57">
        <f t="shared" si="24"/>
        <v>2500</v>
      </c>
      <c r="I82" s="57">
        <f t="shared" si="24"/>
        <v>2500</v>
      </c>
      <c r="J82" s="57">
        <f t="shared" si="24"/>
        <v>2500</v>
      </c>
      <c r="K82" s="57">
        <f t="shared" si="24"/>
        <v>2500</v>
      </c>
      <c r="L82" s="57">
        <f t="shared" si="24"/>
        <v>2500</v>
      </c>
      <c r="R82" s="63" t="s">
        <v>78</v>
      </c>
      <c r="S82" s="15">
        <f>B69</f>
        <v>100000</v>
      </c>
      <c r="T82" s="64">
        <v>50000</v>
      </c>
      <c r="U82" s="65">
        <v>20</v>
      </c>
      <c r="V82" s="15">
        <f>(S82-T82)/U82</f>
        <v>2500</v>
      </c>
    </row>
    <row r="83" spans="1:22" ht="14.25" customHeight="1" x14ac:dyDescent="0.3">
      <c r="A83" s="28" t="s">
        <v>79</v>
      </c>
      <c r="B83" s="55"/>
      <c r="C83" s="57">
        <f t="shared" ref="C83:L83" si="25">$V$83+$V$84</f>
        <v>270000</v>
      </c>
      <c r="D83" s="57">
        <f t="shared" si="25"/>
        <v>270000</v>
      </c>
      <c r="E83" s="57">
        <f t="shared" si="25"/>
        <v>270000</v>
      </c>
      <c r="F83" s="57">
        <f t="shared" si="25"/>
        <v>270000</v>
      </c>
      <c r="G83" s="57">
        <f t="shared" si="25"/>
        <v>270000</v>
      </c>
      <c r="H83" s="57">
        <f t="shared" si="25"/>
        <v>270000</v>
      </c>
      <c r="I83" s="57">
        <f t="shared" si="25"/>
        <v>270000</v>
      </c>
      <c r="J83" s="57">
        <f t="shared" si="25"/>
        <v>270000</v>
      </c>
      <c r="K83" s="57">
        <f t="shared" si="25"/>
        <v>270000</v>
      </c>
      <c r="L83" s="57">
        <f t="shared" si="25"/>
        <v>270000</v>
      </c>
      <c r="R83" s="63" t="s">
        <v>80</v>
      </c>
      <c r="S83" s="15">
        <v>3000000</v>
      </c>
      <c r="T83" s="64">
        <v>1000000</v>
      </c>
      <c r="U83" s="66">
        <v>10</v>
      </c>
      <c r="V83" s="15">
        <f>(S83-T83)/U83</f>
        <v>200000</v>
      </c>
    </row>
    <row r="84" spans="1:22" ht="14.25" customHeight="1" x14ac:dyDescent="0.3">
      <c r="A84" s="28" t="s">
        <v>81</v>
      </c>
      <c r="B84" s="55"/>
      <c r="C84" s="57">
        <f>$V$85</f>
        <v>80000</v>
      </c>
      <c r="D84" s="57">
        <f>$V$85</f>
        <v>80000</v>
      </c>
      <c r="E84" s="57">
        <f>$V$85</f>
        <v>80000</v>
      </c>
      <c r="F84" s="57">
        <f>$V$85</f>
        <v>80000</v>
      </c>
      <c r="G84" s="57">
        <f>$V$85</f>
        <v>80000</v>
      </c>
      <c r="H84" s="57">
        <v>0</v>
      </c>
      <c r="I84" s="57">
        <v>0</v>
      </c>
      <c r="J84" s="57">
        <v>0</v>
      </c>
      <c r="K84" s="57">
        <v>0</v>
      </c>
      <c r="L84" s="57">
        <v>0</v>
      </c>
      <c r="R84" s="63" t="s">
        <v>82</v>
      </c>
      <c r="S84" s="67">
        <f>B70-S83</f>
        <v>700000</v>
      </c>
      <c r="T84" s="63">
        <v>0</v>
      </c>
      <c r="U84" s="65">
        <v>10</v>
      </c>
      <c r="V84" s="15">
        <f>(S84-T84)/U84</f>
        <v>70000</v>
      </c>
    </row>
    <row r="85" spans="1:22" ht="14.25" customHeight="1" x14ac:dyDescent="0.3">
      <c r="A85" s="68" t="s">
        <v>83</v>
      </c>
      <c r="B85" s="69"/>
      <c r="C85" s="70">
        <f t="shared" ref="C85:L85" si="26">SUM(C82:C84)</f>
        <v>352500</v>
      </c>
      <c r="D85" s="70">
        <f t="shared" si="26"/>
        <v>352500</v>
      </c>
      <c r="E85" s="70">
        <f t="shared" si="26"/>
        <v>352500</v>
      </c>
      <c r="F85" s="70">
        <f t="shared" si="26"/>
        <v>352500</v>
      </c>
      <c r="G85" s="70">
        <f t="shared" si="26"/>
        <v>352500</v>
      </c>
      <c r="H85" s="70">
        <f t="shared" si="26"/>
        <v>272500</v>
      </c>
      <c r="I85" s="70">
        <f t="shared" si="26"/>
        <v>272500</v>
      </c>
      <c r="J85" s="70">
        <f t="shared" si="26"/>
        <v>272500</v>
      </c>
      <c r="K85" s="70">
        <f t="shared" si="26"/>
        <v>272500</v>
      </c>
      <c r="L85" s="70">
        <f t="shared" si="26"/>
        <v>272500</v>
      </c>
      <c r="R85" s="63" t="s">
        <v>84</v>
      </c>
      <c r="S85" s="15">
        <f>B71</f>
        <v>400000</v>
      </c>
      <c r="T85" s="64">
        <v>0</v>
      </c>
      <c r="U85" s="66">
        <v>5</v>
      </c>
      <c r="V85" s="15">
        <f>(S85-T85)/U85</f>
        <v>80000</v>
      </c>
    </row>
    <row r="86" spans="1:22" ht="14.25" customHeight="1" x14ac:dyDescent="0.3">
      <c r="A86" s="71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6"/>
      <c r="S86" s="72">
        <f>SUM(S82:S85)</f>
        <v>4200000</v>
      </c>
    </row>
    <row r="87" spans="1:22" ht="14.25" customHeight="1" x14ac:dyDescent="0.3">
      <c r="A87" s="28" t="s">
        <v>85</v>
      </c>
      <c r="B87" s="55"/>
      <c r="C87" s="57">
        <f t="shared" ref="C87:L87" si="27">$B$74/10</f>
        <v>0</v>
      </c>
      <c r="D87" s="57">
        <f t="shared" si="27"/>
        <v>0</v>
      </c>
      <c r="E87" s="57">
        <f t="shared" si="27"/>
        <v>0</v>
      </c>
      <c r="F87" s="57">
        <f t="shared" si="27"/>
        <v>0</v>
      </c>
      <c r="G87" s="57">
        <f t="shared" si="27"/>
        <v>0</v>
      </c>
      <c r="H87" s="57">
        <f t="shared" si="27"/>
        <v>0</v>
      </c>
      <c r="I87" s="57">
        <f t="shared" si="27"/>
        <v>0</v>
      </c>
      <c r="J87" s="57">
        <f t="shared" si="27"/>
        <v>0</v>
      </c>
      <c r="K87" s="57">
        <f t="shared" si="27"/>
        <v>0</v>
      </c>
      <c r="L87" s="73">
        <f t="shared" si="27"/>
        <v>0</v>
      </c>
      <c r="O87" s="74"/>
    </row>
    <row r="88" spans="1:22" ht="15.75" customHeight="1" x14ac:dyDescent="0.3">
      <c r="A88" s="40" t="s">
        <v>86</v>
      </c>
      <c r="B88" s="75"/>
      <c r="C88" s="59">
        <f t="shared" ref="C88:L88" si="28">SUM(C87)</f>
        <v>0</v>
      </c>
      <c r="D88" s="59">
        <f t="shared" si="28"/>
        <v>0</v>
      </c>
      <c r="E88" s="59">
        <f t="shared" si="28"/>
        <v>0</v>
      </c>
      <c r="F88" s="59">
        <f t="shared" si="28"/>
        <v>0</v>
      </c>
      <c r="G88" s="59">
        <f t="shared" si="28"/>
        <v>0</v>
      </c>
      <c r="H88" s="59">
        <f t="shared" si="28"/>
        <v>0</v>
      </c>
      <c r="I88" s="59">
        <f t="shared" si="28"/>
        <v>0</v>
      </c>
      <c r="J88" s="59">
        <f t="shared" si="28"/>
        <v>0</v>
      </c>
      <c r="K88" s="59">
        <f t="shared" si="28"/>
        <v>0</v>
      </c>
      <c r="L88" s="60">
        <f t="shared" si="28"/>
        <v>0</v>
      </c>
      <c r="O88" s="74"/>
    </row>
    <row r="89" spans="1:22" ht="14.25" customHeight="1" x14ac:dyDescent="0.3">
      <c r="B89" s="21"/>
    </row>
    <row r="90" spans="1:22" ht="14.25" customHeight="1" x14ac:dyDescent="0.3">
      <c r="A90" s="22" t="s">
        <v>87</v>
      </c>
      <c r="B90" s="24"/>
    </row>
    <row r="91" spans="1:22" ht="15.75" customHeight="1" x14ac:dyDescent="0.3">
      <c r="A91" s="23" t="s">
        <v>88</v>
      </c>
      <c r="B91" s="24"/>
    </row>
    <row r="92" spans="1:22" ht="14.25" customHeight="1" x14ac:dyDescent="0.3">
      <c r="A92" s="161" t="s">
        <v>36</v>
      </c>
      <c r="B92" s="76" t="s">
        <v>89</v>
      </c>
      <c r="C92" s="162" t="s">
        <v>90</v>
      </c>
      <c r="D92" s="162"/>
      <c r="E92" s="162"/>
      <c r="F92" s="162"/>
      <c r="G92" s="162"/>
      <c r="H92" s="162"/>
      <c r="I92" s="162"/>
      <c r="J92" s="162"/>
      <c r="K92" s="162"/>
      <c r="L92" s="162"/>
      <c r="M92" s="77" t="s">
        <v>91</v>
      </c>
    </row>
    <row r="93" spans="1:22" ht="14.25" customHeight="1" x14ac:dyDescent="0.3">
      <c r="A93" s="161"/>
      <c r="B93" s="62" t="s">
        <v>92</v>
      </c>
      <c r="C93" s="78" t="s">
        <v>6</v>
      </c>
      <c r="D93" s="78" t="s">
        <v>7</v>
      </c>
      <c r="E93" s="78" t="s">
        <v>8</v>
      </c>
      <c r="F93" s="78" t="s">
        <v>9</v>
      </c>
      <c r="G93" s="78" t="s">
        <v>10</v>
      </c>
      <c r="H93" s="78" t="s">
        <v>11</v>
      </c>
      <c r="I93" s="78" t="s">
        <v>12</v>
      </c>
      <c r="J93" s="78" t="s">
        <v>13</v>
      </c>
      <c r="K93" s="78" t="s">
        <v>14</v>
      </c>
      <c r="L93" s="78" t="s">
        <v>15</v>
      </c>
      <c r="M93" s="79" t="s">
        <v>93</v>
      </c>
    </row>
    <row r="94" spans="1:22" ht="14.25" customHeight="1" x14ac:dyDescent="0.3">
      <c r="A94" s="28" t="s">
        <v>77</v>
      </c>
      <c r="B94" s="57">
        <f>B69</f>
        <v>100000</v>
      </c>
      <c r="C94" s="57">
        <f t="shared" ref="C94:L94" si="29">C82</f>
        <v>2500</v>
      </c>
      <c r="D94" s="57">
        <f t="shared" si="29"/>
        <v>2500</v>
      </c>
      <c r="E94" s="57">
        <f t="shared" si="29"/>
        <v>2500</v>
      </c>
      <c r="F94" s="57">
        <f t="shared" si="29"/>
        <v>2500</v>
      </c>
      <c r="G94" s="57">
        <f t="shared" si="29"/>
        <v>2500</v>
      </c>
      <c r="H94" s="57">
        <f t="shared" si="29"/>
        <v>2500</v>
      </c>
      <c r="I94" s="57">
        <f t="shared" si="29"/>
        <v>2500</v>
      </c>
      <c r="J94" s="57">
        <f t="shared" si="29"/>
        <v>2500</v>
      </c>
      <c r="K94" s="57">
        <f t="shared" si="29"/>
        <v>2500</v>
      </c>
      <c r="L94" s="57">
        <f t="shared" si="29"/>
        <v>2500</v>
      </c>
      <c r="M94" s="73">
        <f>B94-SUM(C94:L94)</f>
        <v>75000</v>
      </c>
    </row>
    <row r="95" spans="1:22" ht="14.25" customHeight="1" x14ac:dyDescent="0.3">
      <c r="A95" s="28" t="s">
        <v>79</v>
      </c>
      <c r="B95" s="57">
        <f>B70</f>
        <v>3700000</v>
      </c>
      <c r="C95" s="57">
        <f t="shared" ref="C95:L95" si="30">C83</f>
        <v>270000</v>
      </c>
      <c r="D95" s="57">
        <f t="shared" si="30"/>
        <v>270000</v>
      </c>
      <c r="E95" s="57">
        <f t="shared" si="30"/>
        <v>270000</v>
      </c>
      <c r="F95" s="57">
        <f t="shared" si="30"/>
        <v>270000</v>
      </c>
      <c r="G95" s="57">
        <f t="shared" si="30"/>
        <v>270000</v>
      </c>
      <c r="H95" s="57">
        <f t="shared" si="30"/>
        <v>270000</v>
      </c>
      <c r="I95" s="57">
        <f t="shared" si="30"/>
        <v>270000</v>
      </c>
      <c r="J95" s="57">
        <f t="shared" si="30"/>
        <v>270000</v>
      </c>
      <c r="K95" s="57">
        <f t="shared" si="30"/>
        <v>270000</v>
      </c>
      <c r="L95" s="57">
        <f t="shared" si="30"/>
        <v>270000</v>
      </c>
      <c r="M95" s="73">
        <f>B95-SUM(C95:L95)</f>
        <v>1000000</v>
      </c>
    </row>
    <row r="96" spans="1:22" ht="14.25" customHeight="1" x14ac:dyDescent="0.3">
      <c r="A96" s="28" t="s">
        <v>81</v>
      </c>
      <c r="B96" s="57">
        <f>B71</f>
        <v>400000</v>
      </c>
      <c r="C96" s="57">
        <f t="shared" ref="C96:L96" si="31">C84</f>
        <v>80000</v>
      </c>
      <c r="D96" s="57">
        <f t="shared" si="31"/>
        <v>80000</v>
      </c>
      <c r="E96" s="57">
        <f t="shared" si="31"/>
        <v>80000</v>
      </c>
      <c r="F96" s="57">
        <f t="shared" si="31"/>
        <v>80000</v>
      </c>
      <c r="G96" s="57">
        <f t="shared" si="31"/>
        <v>80000</v>
      </c>
      <c r="H96" s="57">
        <f t="shared" si="31"/>
        <v>0</v>
      </c>
      <c r="I96" s="57">
        <f t="shared" si="31"/>
        <v>0</v>
      </c>
      <c r="J96" s="57">
        <f t="shared" si="31"/>
        <v>0</v>
      </c>
      <c r="K96" s="57">
        <f t="shared" si="31"/>
        <v>0</v>
      </c>
      <c r="L96" s="57">
        <f t="shared" si="31"/>
        <v>0</v>
      </c>
      <c r="M96" s="73">
        <f>B96-SUM(C96:L96)</f>
        <v>0</v>
      </c>
    </row>
    <row r="97" spans="1:13" ht="15.75" customHeight="1" x14ac:dyDescent="0.3">
      <c r="A97" s="80" t="s">
        <v>85</v>
      </c>
      <c r="B97" s="81">
        <f>B74</f>
        <v>0</v>
      </c>
      <c r="C97" s="81">
        <f t="shared" ref="C97:L97" si="32">C87</f>
        <v>0</v>
      </c>
      <c r="D97" s="81">
        <f t="shared" si="32"/>
        <v>0</v>
      </c>
      <c r="E97" s="81">
        <f t="shared" si="32"/>
        <v>0</v>
      </c>
      <c r="F97" s="81">
        <f t="shared" si="32"/>
        <v>0</v>
      </c>
      <c r="G97" s="81">
        <f t="shared" si="32"/>
        <v>0</v>
      </c>
      <c r="H97" s="81">
        <f t="shared" si="32"/>
        <v>0</v>
      </c>
      <c r="I97" s="81">
        <f t="shared" si="32"/>
        <v>0</v>
      </c>
      <c r="J97" s="81">
        <f t="shared" si="32"/>
        <v>0</v>
      </c>
      <c r="K97" s="81">
        <f t="shared" si="32"/>
        <v>0</v>
      </c>
      <c r="L97" s="81">
        <f t="shared" si="32"/>
        <v>0</v>
      </c>
      <c r="M97" s="82">
        <f>B97-SUM(C97:L97)</f>
        <v>0</v>
      </c>
    </row>
    <row r="98" spans="1:13" ht="15.75" customHeight="1" x14ac:dyDescent="0.3">
      <c r="A98" s="163" t="s">
        <v>94</v>
      </c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83">
        <f>SUM(M94:M97)</f>
        <v>1075000</v>
      </c>
    </row>
    <row r="99" spans="1:13" ht="14.25" customHeight="1" x14ac:dyDescent="0.3">
      <c r="B99" s="21"/>
    </row>
    <row r="100" spans="1:13" ht="14.25" customHeight="1" x14ac:dyDescent="0.3">
      <c r="A100" s="22" t="s">
        <v>95</v>
      </c>
      <c r="B100" s="24"/>
    </row>
    <row r="101" spans="1:13" ht="15.75" customHeight="1" x14ac:dyDescent="0.3">
      <c r="A101" s="44" t="s">
        <v>96</v>
      </c>
      <c r="B101" s="42"/>
      <c r="C101" s="43"/>
      <c r="D101" s="43"/>
      <c r="E101" s="43"/>
    </row>
    <row r="102" spans="1:13" ht="14.25" customHeight="1" x14ac:dyDescent="0.3">
      <c r="A102" s="84" t="s">
        <v>97</v>
      </c>
      <c r="B102" s="85">
        <f>B77*E102</f>
        <v>0</v>
      </c>
      <c r="C102" s="86"/>
      <c r="D102" s="43"/>
      <c r="E102" s="87">
        <v>0</v>
      </c>
    </row>
    <row r="103" spans="1:13" ht="14.25" customHeight="1" x14ac:dyDescent="0.3">
      <c r="A103" s="28" t="s">
        <v>98</v>
      </c>
      <c r="B103" s="88">
        <f>B22</f>
        <v>0.1</v>
      </c>
      <c r="C103" s="89"/>
      <c r="D103" s="43"/>
      <c r="E103" s="43"/>
    </row>
    <row r="104" spans="1:13" ht="14.25" customHeight="1" x14ac:dyDescent="0.3">
      <c r="A104" s="28" t="s">
        <v>99</v>
      </c>
      <c r="B104" s="90">
        <v>7</v>
      </c>
      <c r="C104" s="91" t="s">
        <v>100</v>
      </c>
      <c r="D104" s="43"/>
      <c r="E104" s="43"/>
    </row>
    <row r="105" spans="1:13" ht="15.75" customHeight="1" x14ac:dyDescent="0.3">
      <c r="A105" s="92" t="s">
        <v>101</v>
      </c>
      <c r="B105" s="159" t="s">
        <v>102</v>
      </c>
      <c r="C105" s="159"/>
      <c r="D105" s="43"/>
      <c r="E105" s="43"/>
    </row>
    <row r="106" spans="1:13" ht="15.75" customHeight="1" x14ac:dyDescent="0.3">
      <c r="A106" s="43"/>
      <c r="B106" s="42"/>
      <c r="C106" s="43"/>
      <c r="D106" s="43"/>
      <c r="E106" s="43"/>
    </row>
    <row r="107" spans="1:13" ht="14.25" customHeight="1" x14ac:dyDescent="0.3">
      <c r="A107" s="25" t="s">
        <v>36</v>
      </c>
      <c r="B107" s="26" t="s">
        <v>5</v>
      </c>
      <c r="C107" s="26" t="s">
        <v>6</v>
      </c>
      <c r="D107" s="26" t="s">
        <v>7</v>
      </c>
      <c r="E107" s="26" t="s">
        <v>8</v>
      </c>
      <c r="F107" s="26" t="s">
        <v>9</v>
      </c>
      <c r="G107" s="26" t="s">
        <v>10</v>
      </c>
      <c r="H107" s="26" t="s">
        <v>11</v>
      </c>
      <c r="I107" s="26" t="s">
        <v>12</v>
      </c>
    </row>
    <row r="108" spans="1:13" ht="14.25" customHeight="1" x14ac:dyDescent="0.3">
      <c r="A108" s="28" t="s">
        <v>103</v>
      </c>
      <c r="B108" s="57">
        <f>B102</f>
        <v>0</v>
      </c>
      <c r="C108" s="57">
        <f t="shared" ref="C108:I108" si="33">B108-C111</f>
        <v>0</v>
      </c>
      <c r="D108" s="57">
        <f t="shared" si="33"/>
        <v>0</v>
      </c>
      <c r="E108" s="57">
        <f t="shared" si="33"/>
        <v>0</v>
      </c>
      <c r="F108" s="57">
        <f t="shared" si="33"/>
        <v>0</v>
      </c>
      <c r="G108" s="57">
        <f t="shared" si="33"/>
        <v>0</v>
      </c>
      <c r="H108" s="57">
        <f t="shared" si="33"/>
        <v>0</v>
      </c>
      <c r="I108" s="57">
        <f t="shared" si="33"/>
        <v>0</v>
      </c>
    </row>
    <row r="109" spans="1:13" ht="14.25" customHeight="1" x14ac:dyDescent="0.3">
      <c r="A109" s="28" t="s">
        <v>104</v>
      </c>
      <c r="B109" s="55"/>
      <c r="C109" s="57">
        <f>C110</f>
        <v>0</v>
      </c>
      <c r="D109" s="57">
        <f>D110</f>
        <v>0</v>
      </c>
      <c r="E109" s="57">
        <v>0</v>
      </c>
      <c r="F109" s="57">
        <v>0</v>
      </c>
      <c r="G109" s="57">
        <v>0</v>
      </c>
      <c r="H109" s="57">
        <v>0</v>
      </c>
      <c r="I109" s="57">
        <f>(H108*B103)+H108</f>
        <v>0</v>
      </c>
    </row>
    <row r="110" spans="1:13" ht="14.25" customHeight="1" x14ac:dyDescent="0.3">
      <c r="A110" s="28" t="s">
        <v>105</v>
      </c>
      <c r="B110" s="55"/>
      <c r="C110" s="57">
        <f t="shared" ref="C110:I110" si="34">B108*$B$103</f>
        <v>0</v>
      </c>
      <c r="D110" s="57">
        <f t="shared" si="34"/>
        <v>0</v>
      </c>
      <c r="E110" s="57">
        <f t="shared" si="34"/>
        <v>0</v>
      </c>
      <c r="F110" s="57">
        <f t="shared" si="34"/>
        <v>0</v>
      </c>
      <c r="G110" s="57">
        <f t="shared" si="34"/>
        <v>0</v>
      </c>
      <c r="H110" s="57">
        <f t="shared" si="34"/>
        <v>0</v>
      </c>
      <c r="I110" s="57">
        <f t="shared" si="34"/>
        <v>0</v>
      </c>
    </row>
    <row r="111" spans="1:13" ht="15.75" customHeight="1" x14ac:dyDescent="0.3">
      <c r="A111" s="92" t="s">
        <v>106</v>
      </c>
      <c r="B111" s="93"/>
      <c r="C111" s="81">
        <f t="shared" ref="C111:I111" si="35">C109-C110</f>
        <v>0</v>
      </c>
      <c r="D111" s="81">
        <f t="shared" si="35"/>
        <v>0</v>
      </c>
      <c r="E111" s="81">
        <f t="shared" si="35"/>
        <v>0</v>
      </c>
      <c r="F111" s="81">
        <f t="shared" si="35"/>
        <v>0</v>
      </c>
      <c r="G111" s="81">
        <f t="shared" si="35"/>
        <v>0</v>
      </c>
      <c r="H111" s="81">
        <f t="shared" si="35"/>
        <v>0</v>
      </c>
      <c r="I111" s="81">
        <f t="shared" si="35"/>
        <v>0</v>
      </c>
    </row>
    <row r="112" spans="1:13" ht="14.25" customHeight="1" x14ac:dyDescent="0.3">
      <c r="B112" s="21"/>
    </row>
    <row r="113" spans="1:12" ht="14.25" customHeight="1" x14ac:dyDescent="0.3">
      <c r="A113" s="22" t="s">
        <v>107</v>
      </c>
      <c r="B113" s="24"/>
    </row>
    <row r="114" spans="1:12" ht="15.75" customHeight="1" x14ac:dyDescent="0.3">
      <c r="A114" s="4" t="s">
        <v>108</v>
      </c>
      <c r="B114" s="24"/>
    </row>
    <row r="115" spans="1:12" ht="14.25" customHeight="1" x14ac:dyDescent="0.3">
      <c r="A115" s="25" t="s">
        <v>36</v>
      </c>
      <c r="B115" s="26" t="s">
        <v>5</v>
      </c>
      <c r="C115" s="26" t="s">
        <v>6</v>
      </c>
      <c r="D115" s="26" t="s">
        <v>7</v>
      </c>
      <c r="E115" s="26" t="s">
        <v>8</v>
      </c>
      <c r="F115" s="26" t="s">
        <v>9</v>
      </c>
      <c r="G115" s="26" t="s">
        <v>10</v>
      </c>
      <c r="H115" s="26" t="s">
        <v>11</v>
      </c>
      <c r="I115" s="26" t="s">
        <v>12</v>
      </c>
      <c r="J115" s="26" t="s">
        <v>13</v>
      </c>
      <c r="K115" s="26" t="s">
        <v>14</v>
      </c>
      <c r="L115" s="27" t="s">
        <v>15</v>
      </c>
    </row>
    <row r="116" spans="1:12" ht="14.25" customHeight="1" x14ac:dyDescent="0.3">
      <c r="A116" s="94" t="s">
        <v>109</v>
      </c>
      <c r="B116" s="95"/>
      <c r="C116" s="96">
        <f t="shared" ref="C116:L116" si="36">C33</f>
        <v>2756250</v>
      </c>
      <c r="D116" s="96">
        <f t="shared" si="36"/>
        <v>4246830</v>
      </c>
      <c r="E116" s="96">
        <f t="shared" si="36"/>
        <v>5301459.45</v>
      </c>
      <c r="F116" s="96">
        <f t="shared" si="36"/>
        <v>6482927.5559999999</v>
      </c>
      <c r="G116" s="96">
        <f t="shared" si="36"/>
        <v>7803824.045535001</v>
      </c>
      <c r="H116" s="96">
        <f t="shared" si="36"/>
        <v>8350091.7287224513</v>
      </c>
      <c r="I116" s="96">
        <f t="shared" si="36"/>
        <v>8934598.1497330219</v>
      </c>
      <c r="J116" s="96">
        <f t="shared" si="36"/>
        <v>9560020.0202143341</v>
      </c>
      <c r="K116" s="96">
        <f t="shared" si="36"/>
        <v>10229221.421629338</v>
      </c>
      <c r="L116" s="97">
        <f t="shared" si="36"/>
        <v>10945266.92114339</v>
      </c>
    </row>
    <row r="117" spans="1:12" ht="14.25" customHeight="1" x14ac:dyDescent="0.3">
      <c r="A117" s="98" t="s">
        <v>110</v>
      </c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7">
        <f>B19</f>
        <v>1250000</v>
      </c>
    </row>
    <row r="118" spans="1:12" ht="14.25" customHeight="1" x14ac:dyDescent="0.3">
      <c r="A118" s="94" t="s">
        <v>111</v>
      </c>
      <c r="B118" s="95"/>
      <c r="C118" s="96">
        <f t="shared" ref="C118:L118" si="37">SUM(C119:C121)</f>
        <v>1582187.5</v>
      </c>
      <c r="D118" s="96">
        <f t="shared" si="37"/>
        <v>2320134.5</v>
      </c>
      <c r="E118" s="96">
        <f t="shared" si="37"/>
        <v>2848597.0674999999</v>
      </c>
      <c r="F118" s="96">
        <f t="shared" si="37"/>
        <v>3439675.7354000001</v>
      </c>
      <c r="G118" s="96">
        <f t="shared" si="37"/>
        <v>4099547.29117525</v>
      </c>
      <c r="H118" s="96">
        <f t="shared" si="37"/>
        <v>4386515.6015575174</v>
      </c>
      <c r="I118" s="96">
        <f t="shared" si="37"/>
        <v>4693571.6936665447</v>
      </c>
      <c r="J118" s="96">
        <f t="shared" si="37"/>
        <v>5022121.7122232029</v>
      </c>
      <c r="K118" s="96">
        <f t="shared" si="37"/>
        <v>5373670.2320788261</v>
      </c>
      <c r="L118" s="97">
        <f t="shared" si="37"/>
        <v>5749827.1483243443</v>
      </c>
    </row>
    <row r="119" spans="1:12" ht="14.25" customHeight="1" x14ac:dyDescent="0.3">
      <c r="A119" s="99" t="s">
        <v>112</v>
      </c>
      <c r="B119" s="100"/>
      <c r="C119" s="15">
        <f t="shared" ref="C119:L119" si="38">C39</f>
        <v>1332187.5</v>
      </c>
      <c r="D119" s="15">
        <f t="shared" si="38"/>
        <v>2052634.4999999998</v>
      </c>
      <c r="E119" s="15">
        <f t="shared" si="38"/>
        <v>2562372.0674999999</v>
      </c>
      <c r="F119" s="15">
        <f t="shared" si="38"/>
        <v>3133414.9854000001</v>
      </c>
      <c r="G119" s="15">
        <f t="shared" si="38"/>
        <v>3771848.28867525</v>
      </c>
      <c r="H119" s="15">
        <f t="shared" si="38"/>
        <v>4035877.6688825176</v>
      </c>
      <c r="I119" s="15">
        <f t="shared" si="38"/>
        <v>4318389.1057042945</v>
      </c>
      <c r="J119" s="15">
        <f t="shared" si="38"/>
        <v>4620676.3431035951</v>
      </c>
      <c r="K119" s="15">
        <f t="shared" si="38"/>
        <v>4944123.6871208465</v>
      </c>
      <c r="L119" s="101">
        <f t="shared" si="38"/>
        <v>5290212.3452193057</v>
      </c>
    </row>
    <row r="120" spans="1:12" ht="14.25" customHeight="1" x14ac:dyDescent="0.3">
      <c r="A120" s="99" t="s">
        <v>113</v>
      </c>
      <c r="B120" s="100"/>
      <c r="C120" s="15">
        <f t="shared" ref="C120:L120" si="39">C46</f>
        <v>250000</v>
      </c>
      <c r="D120" s="15">
        <f t="shared" si="39"/>
        <v>267500</v>
      </c>
      <c r="E120" s="15">
        <f t="shared" si="39"/>
        <v>286225</v>
      </c>
      <c r="F120" s="15">
        <f t="shared" si="39"/>
        <v>306260.75</v>
      </c>
      <c r="G120" s="15">
        <f t="shared" si="39"/>
        <v>327699.0025</v>
      </c>
      <c r="H120" s="15">
        <f t="shared" si="39"/>
        <v>350637.93267499999</v>
      </c>
      <c r="I120" s="15">
        <f t="shared" si="39"/>
        <v>375182.58796224999</v>
      </c>
      <c r="J120" s="15">
        <f t="shared" si="39"/>
        <v>401445.36911960749</v>
      </c>
      <c r="K120" s="15">
        <f t="shared" si="39"/>
        <v>429546.54495797999</v>
      </c>
      <c r="L120" s="101">
        <f t="shared" si="39"/>
        <v>459614.80310503859</v>
      </c>
    </row>
    <row r="121" spans="1:12" ht="14.25" customHeight="1" x14ac:dyDescent="0.3">
      <c r="A121" s="99" t="s">
        <v>114</v>
      </c>
      <c r="B121" s="100"/>
      <c r="C121" s="15">
        <f t="shared" ref="C121:L121" si="40">C110</f>
        <v>0</v>
      </c>
      <c r="D121" s="15">
        <f t="shared" si="40"/>
        <v>0</v>
      </c>
      <c r="E121" s="15">
        <f t="shared" si="40"/>
        <v>0</v>
      </c>
      <c r="F121" s="15">
        <f t="shared" si="40"/>
        <v>0</v>
      </c>
      <c r="G121" s="15">
        <f t="shared" si="40"/>
        <v>0</v>
      </c>
      <c r="H121" s="15">
        <f t="shared" si="40"/>
        <v>0</v>
      </c>
      <c r="I121" s="15">
        <f t="shared" si="40"/>
        <v>0</v>
      </c>
      <c r="J121" s="15">
        <f t="shared" si="40"/>
        <v>0</v>
      </c>
      <c r="K121" s="15">
        <f t="shared" si="40"/>
        <v>0</v>
      </c>
      <c r="L121" s="101">
        <f t="shared" si="40"/>
        <v>0</v>
      </c>
    </row>
    <row r="122" spans="1:12" ht="14.25" customHeight="1" x14ac:dyDescent="0.3">
      <c r="A122" s="94" t="s">
        <v>115</v>
      </c>
      <c r="B122" s="95"/>
      <c r="C122" s="96">
        <f t="shared" ref="C122:L122" si="41">SUM(C123:C124)</f>
        <v>352500</v>
      </c>
      <c r="D122" s="96">
        <f t="shared" si="41"/>
        <v>352500</v>
      </c>
      <c r="E122" s="96">
        <f t="shared" si="41"/>
        <v>352500</v>
      </c>
      <c r="F122" s="96">
        <f t="shared" si="41"/>
        <v>352500</v>
      </c>
      <c r="G122" s="96">
        <f t="shared" si="41"/>
        <v>352500</v>
      </c>
      <c r="H122" s="96">
        <f t="shared" si="41"/>
        <v>272500</v>
      </c>
      <c r="I122" s="96">
        <f t="shared" si="41"/>
        <v>272500</v>
      </c>
      <c r="J122" s="96">
        <f t="shared" si="41"/>
        <v>272500</v>
      </c>
      <c r="K122" s="96">
        <f t="shared" si="41"/>
        <v>272500</v>
      </c>
      <c r="L122" s="97">
        <f t="shared" si="41"/>
        <v>272500</v>
      </c>
    </row>
    <row r="123" spans="1:12" ht="14.25" customHeight="1" x14ac:dyDescent="0.3">
      <c r="A123" s="99" t="s">
        <v>116</v>
      </c>
      <c r="B123" s="100"/>
      <c r="C123" s="15">
        <f t="shared" ref="C123:L123" si="42">C85</f>
        <v>352500</v>
      </c>
      <c r="D123" s="15">
        <f t="shared" si="42"/>
        <v>352500</v>
      </c>
      <c r="E123" s="15">
        <f t="shared" si="42"/>
        <v>352500</v>
      </c>
      <c r="F123" s="15">
        <f t="shared" si="42"/>
        <v>352500</v>
      </c>
      <c r="G123" s="15">
        <f t="shared" si="42"/>
        <v>352500</v>
      </c>
      <c r="H123" s="15">
        <f t="shared" si="42"/>
        <v>272500</v>
      </c>
      <c r="I123" s="15">
        <f t="shared" si="42"/>
        <v>272500</v>
      </c>
      <c r="J123" s="15">
        <f t="shared" si="42"/>
        <v>272500</v>
      </c>
      <c r="K123" s="15">
        <f t="shared" si="42"/>
        <v>272500</v>
      </c>
      <c r="L123" s="101">
        <f t="shared" si="42"/>
        <v>272500</v>
      </c>
    </row>
    <row r="124" spans="1:12" ht="14.25" customHeight="1" x14ac:dyDescent="0.3">
      <c r="A124" s="99" t="s">
        <v>117</v>
      </c>
      <c r="B124" s="100"/>
      <c r="C124" s="15">
        <f t="shared" ref="C124:L124" si="43">C87</f>
        <v>0</v>
      </c>
      <c r="D124" s="15">
        <f t="shared" si="43"/>
        <v>0</v>
      </c>
      <c r="E124" s="15">
        <f t="shared" si="43"/>
        <v>0</v>
      </c>
      <c r="F124" s="15">
        <f t="shared" si="43"/>
        <v>0</v>
      </c>
      <c r="G124" s="15">
        <f t="shared" si="43"/>
        <v>0</v>
      </c>
      <c r="H124" s="15">
        <f t="shared" si="43"/>
        <v>0</v>
      </c>
      <c r="I124" s="15">
        <f t="shared" si="43"/>
        <v>0</v>
      </c>
      <c r="J124" s="15">
        <f t="shared" si="43"/>
        <v>0</v>
      </c>
      <c r="K124" s="15">
        <f t="shared" si="43"/>
        <v>0</v>
      </c>
      <c r="L124" s="101">
        <f t="shared" si="43"/>
        <v>0</v>
      </c>
    </row>
    <row r="125" spans="1:12" ht="14.25" customHeight="1" x14ac:dyDescent="0.3">
      <c r="A125" s="94" t="s">
        <v>118</v>
      </c>
      <c r="B125" s="95"/>
      <c r="C125" s="96">
        <f t="shared" ref="C125:L125" si="44">C116+C117-C118-C122</f>
        <v>821562.5</v>
      </c>
      <c r="D125" s="96">
        <f t="shared" si="44"/>
        <v>1574195.5</v>
      </c>
      <c r="E125" s="96">
        <f t="shared" si="44"/>
        <v>2100362.3825000003</v>
      </c>
      <c r="F125" s="96">
        <f t="shared" si="44"/>
        <v>2690751.8205999997</v>
      </c>
      <c r="G125" s="96">
        <f t="shared" si="44"/>
        <v>3351776.754359751</v>
      </c>
      <c r="H125" s="96">
        <f t="shared" si="44"/>
        <v>3691076.1271649338</v>
      </c>
      <c r="I125" s="96">
        <f t="shared" si="44"/>
        <v>3968526.4560664771</v>
      </c>
      <c r="J125" s="96">
        <f t="shared" si="44"/>
        <v>4265398.3079911312</v>
      </c>
      <c r="K125" s="96">
        <f t="shared" si="44"/>
        <v>4583051.1895505115</v>
      </c>
      <c r="L125" s="96">
        <f t="shared" si="44"/>
        <v>6172939.7728190459</v>
      </c>
    </row>
    <row r="126" spans="1:12" ht="14.25" customHeight="1" x14ac:dyDescent="0.3">
      <c r="A126" s="99" t="s">
        <v>119</v>
      </c>
      <c r="B126" s="100"/>
      <c r="C126" s="10">
        <f t="shared" ref="C126:L126" si="45">C125*$B$26</f>
        <v>246468.75</v>
      </c>
      <c r="D126" s="15">
        <f t="shared" si="45"/>
        <v>472258.64999999997</v>
      </c>
      <c r="E126" s="15">
        <f t="shared" si="45"/>
        <v>630108.71475000004</v>
      </c>
      <c r="F126" s="15">
        <f t="shared" si="45"/>
        <v>807225.54617999995</v>
      </c>
      <c r="G126" s="15">
        <f t="shared" si="45"/>
        <v>1005533.0263079252</v>
      </c>
      <c r="H126" s="15">
        <f t="shared" si="45"/>
        <v>1107322.8381494801</v>
      </c>
      <c r="I126" s="15">
        <f t="shared" si="45"/>
        <v>1190557.9368199431</v>
      </c>
      <c r="J126" s="15">
        <f t="shared" si="45"/>
        <v>1279619.4923973393</v>
      </c>
      <c r="K126" s="15">
        <f t="shared" si="45"/>
        <v>1374915.3568651534</v>
      </c>
      <c r="L126" s="101">
        <f t="shared" si="45"/>
        <v>1851881.9318457136</v>
      </c>
    </row>
    <row r="127" spans="1:12" ht="14.25" customHeight="1" x14ac:dyDescent="0.3">
      <c r="A127" s="94" t="s">
        <v>120</v>
      </c>
      <c r="B127" s="95"/>
      <c r="C127" s="96">
        <f t="shared" ref="C127:L127" si="46">C125-C126</f>
        <v>575093.75</v>
      </c>
      <c r="D127" s="96">
        <f t="shared" si="46"/>
        <v>1101936.8500000001</v>
      </c>
      <c r="E127" s="96">
        <f t="shared" si="46"/>
        <v>1470253.6677500003</v>
      </c>
      <c r="F127" s="96">
        <f t="shared" si="46"/>
        <v>1883526.2744199997</v>
      </c>
      <c r="G127" s="96">
        <f t="shared" si="46"/>
        <v>2346243.7280518259</v>
      </c>
      <c r="H127" s="96">
        <f t="shared" si="46"/>
        <v>2583753.2890154538</v>
      </c>
      <c r="I127" s="96">
        <f t="shared" si="46"/>
        <v>2777968.519246534</v>
      </c>
      <c r="J127" s="96">
        <f t="shared" si="46"/>
        <v>2985778.8155937921</v>
      </c>
      <c r="K127" s="96">
        <f t="shared" si="46"/>
        <v>3208135.8326853579</v>
      </c>
      <c r="L127" s="97">
        <f t="shared" si="46"/>
        <v>4321057.8409733325</v>
      </c>
    </row>
    <row r="128" spans="1:12" ht="14.25" customHeight="1" x14ac:dyDescent="0.3">
      <c r="A128" s="98" t="s">
        <v>121</v>
      </c>
      <c r="B128" s="95"/>
      <c r="C128" s="96">
        <f t="shared" ref="C128:L128" si="47">SUM(C129:C130)</f>
        <v>352500</v>
      </c>
      <c r="D128" s="96">
        <f t="shared" si="47"/>
        <v>352500</v>
      </c>
      <c r="E128" s="96">
        <f t="shared" si="47"/>
        <v>352500</v>
      </c>
      <c r="F128" s="96">
        <f t="shared" si="47"/>
        <v>352500</v>
      </c>
      <c r="G128" s="96">
        <f t="shared" si="47"/>
        <v>352500</v>
      </c>
      <c r="H128" s="96">
        <f t="shared" si="47"/>
        <v>272500</v>
      </c>
      <c r="I128" s="96">
        <f t="shared" si="47"/>
        <v>272500</v>
      </c>
      <c r="J128" s="96">
        <f t="shared" si="47"/>
        <v>272500</v>
      </c>
      <c r="K128" s="96">
        <f t="shared" si="47"/>
        <v>272500</v>
      </c>
      <c r="L128" s="97">
        <f t="shared" si="47"/>
        <v>272500</v>
      </c>
    </row>
    <row r="129" spans="1:12" ht="14.25" customHeight="1" x14ac:dyDescent="0.3">
      <c r="A129" s="99" t="s">
        <v>116</v>
      </c>
      <c r="B129" s="100"/>
      <c r="C129" s="15">
        <f t="shared" ref="C129:L129" si="48">C123</f>
        <v>352500</v>
      </c>
      <c r="D129" s="15">
        <f t="shared" si="48"/>
        <v>352500</v>
      </c>
      <c r="E129" s="15">
        <f t="shared" si="48"/>
        <v>352500</v>
      </c>
      <c r="F129" s="15">
        <f t="shared" si="48"/>
        <v>352500</v>
      </c>
      <c r="G129" s="15">
        <f t="shared" si="48"/>
        <v>352500</v>
      </c>
      <c r="H129" s="15">
        <f t="shared" si="48"/>
        <v>272500</v>
      </c>
      <c r="I129" s="15">
        <f t="shared" si="48"/>
        <v>272500</v>
      </c>
      <c r="J129" s="15">
        <f t="shared" si="48"/>
        <v>272500</v>
      </c>
      <c r="K129" s="15">
        <f t="shared" si="48"/>
        <v>272500</v>
      </c>
      <c r="L129" s="101">
        <f t="shared" si="48"/>
        <v>272500</v>
      </c>
    </row>
    <row r="130" spans="1:12" ht="14.25" customHeight="1" x14ac:dyDescent="0.3">
      <c r="A130" s="99" t="s">
        <v>117</v>
      </c>
      <c r="B130" s="100"/>
      <c r="C130" s="15">
        <f t="shared" ref="C130:L130" si="49">C124</f>
        <v>0</v>
      </c>
      <c r="D130" s="15">
        <f t="shared" si="49"/>
        <v>0</v>
      </c>
      <c r="E130" s="15">
        <f t="shared" si="49"/>
        <v>0</v>
      </c>
      <c r="F130" s="15">
        <f t="shared" si="49"/>
        <v>0</v>
      </c>
      <c r="G130" s="15">
        <f t="shared" si="49"/>
        <v>0</v>
      </c>
      <c r="H130" s="15">
        <f t="shared" si="49"/>
        <v>0</v>
      </c>
      <c r="I130" s="15">
        <f t="shared" si="49"/>
        <v>0</v>
      </c>
      <c r="J130" s="15">
        <f t="shared" si="49"/>
        <v>0</v>
      </c>
      <c r="K130" s="15">
        <f t="shared" si="49"/>
        <v>0</v>
      </c>
      <c r="L130" s="101">
        <f t="shared" si="49"/>
        <v>0</v>
      </c>
    </row>
    <row r="131" spans="1:12" ht="14.25" customHeight="1" x14ac:dyDescent="0.3">
      <c r="A131" s="94" t="s">
        <v>122</v>
      </c>
      <c r="B131" s="96">
        <f t="shared" ref="B131:L131" si="50">SUM(B132:B134)</f>
        <v>0</v>
      </c>
      <c r="C131" s="96">
        <f t="shared" si="50"/>
        <v>0</v>
      </c>
      <c r="D131" s="96">
        <f t="shared" si="50"/>
        <v>0</v>
      </c>
      <c r="E131" s="96">
        <f t="shared" si="50"/>
        <v>0</v>
      </c>
      <c r="F131" s="96">
        <f t="shared" si="50"/>
        <v>0</v>
      </c>
      <c r="G131" s="96">
        <f t="shared" si="50"/>
        <v>0</v>
      </c>
      <c r="H131" s="96">
        <f t="shared" si="50"/>
        <v>0</v>
      </c>
      <c r="I131" s="96">
        <f t="shared" si="50"/>
        <v>0</v>
      </c>
      <c r="J131" s="96">
        <f t="shared" si="50"/>
        <v>0</v>
      </c>
      <c r="K131" s="96">
        <f t="shared" si="50"/>
        <v>0</v>
      </c>
      <c r="L131" s="97">
        <f t="shared" si="50"/>
        <v>2775000</v>
      </c>
    </row>
    <row r="132" spans="1:12" ht="14.25" customHeight="1" x14ac:dyDescent="0.3">
      <c r="A132" s="99" t="s">
        <v>123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1">
        <f>M98</f>
        <v>1075000</v>
      </c>
    </row>
    <row r="133" spans="1:12" ht="14.25" customHeight="1" x14ac:dyDescent="0.3">
      <c r="A133" s="99" t="s">
        <v>124</v>
      </c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1">
        <f>-L77</f>
        <v>1700000</v>
      </c>
    </row>
    <row r="134" spans="1:12" ht="14.25" customHeight="1" x14ac:dyDescent="0.3">
      <c r="A134" s="99" t="s">
        <v>125</v>
      </c>
      <c r="B134" s="15">
        <f>B102</f>
        <v>0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2"/>
    </row>
    <row r="135" spans="1:12" ht="14.25" customHeight="1" x14ac:dyDescent="0.3">
      <c r="A135" s="94" t="s">
        <v>126</v>
      </c>
      <c r="B135" s="96">
        <f t="shared" ref="B135:L135" si="51">SUM(B136:B139)</f>
        <v>5400000</v>
      </c>
      <c r="C135" s="96">
        <f t="shared" si="51"/>
        <v>250000</v>
      </c>
      <c r="D135" s="96">
        <f t="shared" si="51"/>
        <v>250000</v>
      </c>
      <c r="E135" s="96">
        <f t="shared" si="51"/>
        <v>250000</v>
      </c>
      <c r="F135" s="96">
        <f t="shared" si="51"/>
        <v>250000</v>
      </c>
      <c r="G135" s="96">
        <f t="shared" si="51"/>
        <v>250000</v>
      </c>
      <c r="H135" s="96">
        <f t="shared" si="51"/>
        <v>0</v>
      </c>
      <c r="I135" s="96">
        <f t="shared" si="51"/>
        <v>0</v>
      </c>
      <c r="J135" s="96">
        <f t="shared" si="51"/>
        <v>0</v>
      </c>
      <c r="K135" s="96">
        <f t="shared" si="51"/>
        <v>0</v>
      </c>
      <c r="L135" s="97">
        <f t="shared" si="51"/>
        <v>0</v>
      </c>
    </row>
    <row r="136" spans="1:12" ht="14.25" customHeight="1" x14ac:dyDescent="0.3">
      <c r="A136" s="99" t="s">
        <v>127</v>
      </c>
      <c r="B136" s="96">
        <f>SUM(B69:B72)</f>
        <v>4950000</v>
      </c>
      <c r="C136" s="95"/>
      <c r="D136" s="95"/>
      <c r="E136" s="95"/>
      <c r="F136" s="95"/>
      <c r="G136" s="96">
        <f>G69</f>
        <v>0</v>
      </c>
      <c r="H136" s="95"/>
      <c r="I136" s="95"/>
      <c r="J136" s="95"/>
      <c r="K136" s="95"/>
      <c r="L136" s="103"/>
    </row>
    <row r="137" spans="1:12" ht="14.25" customHeight="1" x14ac:dyDescent="0.3">
      <c r="A137" s="99" t="s">
        <v>128</v>
      </c>
      <c r="B137" s="15">
        <f>B74</f>
        <v>0</v>
      </c>
      <c r="C137" s="100"/>
      <c r="D137" s="100"/>
      <c r="E137" s="100"/>
      <c r="F137" s="100"/>
      <c r="G137" s="100"/>
      <c r="H137" s="100"/>
      <c r="I137" s="100"/>
      <c r="J137" s="100"/>
      <c r="K137" s="100"/>
      <c r="L137" s="102"/>
    </row>
    <row r="138" spans="1:12" ht="14.25" customHeight="1" x14ac:dyDescent="0.3">
      <c r="A138" s="99" t="s">
        <v>129</v>
      </c>
      <c r="B138" s="15">
        <f t="shared" ref="B138:K138" si="52">B76</f>
        <v>450000</v>
      </c>
      <c r="C138" s="15">
        <f t="shared" si="52"/>
        <v>250000</v>
      </c>
      <c r="D138" s="15">
        <f t="shared" si="52"/>
        <v>250000</v>
      </c>
      <c r="E138" s="15">
        <f t="shared" si="52"/>
        <v>250000</v>
      </c>
      <c r="F138" s="15">
        <f t="shared" si="52"/>
        <v>250000</v>
      </c>
      <c r="G138" s="15">
        <f t="shared" si="52"/>
        <v>250000</v>
      </c>
      <c r="H138" s="15">
        <f t="shared" si="52"/>
        <v>0</v>
      </c>
      <c r="I138" s="15">
        <f t="shared" si="52"/>
        <v>0</v>
      </c>
      <c r="J138" s="15">
        <f t="shared" si="52"/>
        <v>0</v>
      </c>
      <c r="K138" s="15">
        <f t="shared" si="52"/>
        <v>0</v>
      </c>
      <c r="L138" s="100"/>
    </row>
    <row r="139" spans="1:12" ht="14.25" customHeight="1" x14ac:dyDescent="0.3">
      <c r="A139" s="99" t="s">
        <v>130</v>
      </c>
      <c r="B139" s="100"/>
      <c r="C139" s="15">
        <f t="shared" ref="C139:L139" si="53">C111</f>
        <v>0</v>
      </c>
      <c r="D139" s="15">
        <f t="shared" si="53"/>
        <v>0</v>
      </c>
      <c r="E139" s="15">
        <f t="shared" si="53"/>
        <v>0</v>
      </c>
      <c r="F139" s="15">
        <f t="shared" si="53"/>
        <v>0</v>
      </c>
      <c r="G139" s="15">
        <f t="shared" si="53"/>
        <v>0</v>
      </c>
      <c r="H139" s="15">
        <f t="shared" si="53"/>
        <v>0</v>
      </c>
      <c r="I139" s="15">
        <f t="shared" si="53"/>
        <v>0</v>
      </c>
      <c r="J139" s="15">
        <f t="shared" si="53"/>
        <v>0</v>
      </c>
      <c r="K139" s="15">
        <f t="shared" si="53"/>
        <v>0</v>
      </c>
      <c r="L139" s="101">
        <f t="shared" si="53"/>
        <v>0</v>
      </c>
    </row>
    <row r="140" spans="1:12" ht="14.25" customHeight="1" x14ac:dyDescent="0.3">
      <c r="A140" s="104" t="s">
        <v>131</v>
      </c>
      <c r="B140" s="53">
        <f t="shared" ref="B140:L140" si="54">B127+B128+B131-B135</f>
        <v>-5400000</v>
      </c>
      <c r="C140" s="53">
        <f t="shared" si="54"/>
        <v>677593.75</v>
      </c>
      <c r="D140" s="53">
        <f t="shared" si="54"/>
        <v>1204436.8500000001</v>
      </c>
      <c r="E140" s="53">
        <f t="shared" si="54"/>
        <v>1572753.6677500003</v>
      </c>
      <c r="F140" s="53">
        <f t="shared" si="54"/>
        <v>1986026.2744199997</v>
      </c>
      <c r="G140" s="53">
        <f t="shared" si="54"/>
        <v>2448743.7280518259</v>
      </c>
      <c r="H140" s="53">
        <f t="shared" si="54"/>
        <v>2856253.2890154538</v>
      </c>
      <c r="I140" s="53">
        <f t="shared" si="54"/>
        <v>3050468.519246534</v>
      </c>
      <c r="J140" s="53">
        <f t="shared" si="54"/>
        <v>3258278.8155937921</v>
      </c>
      <c r="K140" s="53">
        <f t="shared" si="54"/>
        <v>3480635.8326853579</v>
      </c>
      <c r="L140" s="53">
        <f t="shared" si="54"/>
        <v>7368557.8409733325</v>
      </c>
    </row>
    <row r="141" spans="1:12" ht="14.25" customHeight="1" x14ac:dyDescent="0.3">
      <c r="A141" s="152" t="s">
        <v>132</v>
      </c>
    </row>
    <row r="142" spans="1:12" ht="14.25" customHeight="1" x14ac:dyDescent="0.3">
      <c r="A142" s="153" t="s">
        <v>133</v>
      </c>
      <c r="B142" s="53">
        <f>B140</f>
        <v>-5400000</v>
      </c>
      <c r="C142" s="53">
        <f t="shared" ref="C142:L142" si="55">B142+C140</f>
        <v>-4722406.25</v>
      </c>
      <c r="D142" s="53">
        <f t="shared" si="55"/>
        <v>-3517969.4</v>
      </c>
      <c r="E142" s="53">
        <f t="shared" si="55"/>
        <v>-1945215.7322499997</v>
      </c>
      <c r="F142" s="53">
        <f t="shared" si="55"/>
        <v>40810.54217000003</v>
      </c>
      <c r="G142" s="53">
        <f t="shared" si="55"/>
        <v>2489554.2702218257</v>
      </c>
      <c r="H142" s="53">
        <f t="shared" si="55"/>
        <v>5345807.559237279</v>
      </c>
      <c r="I142" s="53">
        <f t="shared" si="55"/>
        <v>8396276.0784838125</v>
      </c>
      <c r="J142" s="53">
        <f t="shared" si="55"/>
        <v>11654554.894077605</v>
      </c>
      <c r="K142" s="53">
        <f t="shared" si="55"/>
        <v>15135190.726762962</v>
      </c>
      <c r="L142" s="53">
        <f t="shared" si="55"/>
        <v>22503748.567736294</v>
      </c>
    </row>
    <row r="143" spans="1:12" ht="14.25" customHeight="1" x14ac:dyDescent="0.3">
      <c r="A143" s="152" t="s">
        <v>134</v>
      </c>
    </row>
    <row r="144" spans="1:12" ht="14.25" customHeight="1" x14ac:dyDescent="0.3">
      <c r="A144" s="153" t="s">
        <v>135</v>
      </c>
      <c r="B144" s="53">
        <f>B140</f>
        <v>-5400000</v>
      </c>
      <c r="C144" s="53">
        <f>B144+C140/(1+B25)^1</f>
        <v>-4830593.4873949578</v>
      </c>
      <c r="D144" s="53">
        <f>C144+D140/(1+B25)^2</f>
        <v>-3980062.5573758911</v>
      </c>
      <c r="E144" s="53">
        <f>D144+E140/(1+B25)^3</f>
        <v>-3046765.6591306808</v>
      </c>
      <c r="F144" s="53">
        <f>E144+F140/(1+B25)^4</f>
        <v>-2056396.4166023806</v>
      </c>
      <c r="G144" s="53">
        <f>F144+G140/(1+B25)^5</f>
        <v>-1030251.8977910152</v>
      </c>
      <c r="H144" s="53">
        <f>G144+H140/(1+B25)^6</f>
        <v>-24444.213772910647</v>
      </c>
      <c r="I144" s="53">
        <f>H144+I140/(1+B25)^7</f>
        <v>878244.09498713398</v>
      </c>
      <c r="J144" s="53">
        <f>I144+J140/(1+B25)^8</f>
        <v>1688481.9941956974</v>
      </c>
      <c r="K144" s="53">
        <f>J144+K140/(1+B25)^9</f>
        <v>2415819.4186340892</v>
      </c>
      <c r="L144" s="53">
        <f>K144+L140/(1+B25)^10</f>
        <v>3709755.677879923</v>
      </c>
    </row>
    <row r="145" spans="1:12" ht="14.25" customHeight="1" x14ac:dyDescent="0.3">
      <c r="A145" s="154"/>
      <c r="B145" s="21"/>
      <c r="F145" s="106"/>
    </row>
    <row r="146" spans="1:12" ht="14.25" customHeight="1" x14ac:dyDescent="0.3">
      <c r="A146" s="22" t="s">
        <v>136</v>
      </c>
    </row>
    <row r="147" spans="1:12" ht="14.25" customHeight="1" x14ac:dyDescent="0.3">
      <c r="B147" s="107" t="s">
        <v>137</v>
      </c>
      <c r="C147" s="107" t="s">
        <v>138</v>
      </c>
      <c r="D147" s="107" t="s">
        <v>139</v>
      </c>
      <c r="E147" s="107" t="s">
        <v>140</v>
      </c>
    </row>
    <row r="148" spans="1:12" ht="14.25" customHeight="1" x14ac:dyDescent="0.3">
      <c r="A148" s="4" t="s">
        <v>141</v>
      </c>
      <c r="B148" s="147">
        <f>B77</f>
        <v>5400000</v>
      </c>
      <c r="C148" s="149">
        <v>0</v>
      </c>
      <c r="D148" s="149">
        <v>0</v>
      </c>
      <c r="E148" s="149">
        <v>0</v>
      </c>
    </row>
    <row r="149" spans="1:12" ht="18" customHeight="1" x14ac:dyDescent="0.3">
      <c r="A149" s="4" t="s">
        <v>142</v>
      </c>
      <c r="B149" s="148">
        <f>B77</f>
        <v>5400000</v>
      </c>
      <c r="C149" s="150">
        <v>1</v>
      </c>
      <c r="D149" s="149">
        <f>B25</f>
        <v>0.19</v>
      </c>
      <c r="E149" s="150">
        <f>C149*D149</f>
        <v>0.19</v>
      </c>
    </row>
    <row r="150" spans="1:12" ht="14.25" customHeight="1" x14ac:dyDescent="0.3">
      <c r="B150" s="147">
        <f>B148+B149</f>
        <v>10800000</v>
      </c>
      <c r="C150" s="149">
        <f>C148+C149</f>
        <v>1</v>
      </c>
      <c r="D150" s="108"/>
      <c r="E150" s="149">
        <f>E148+E149</f>
        <v>0.19</v>
      </c>
    </row>
    <row r="152" spans="1:12" ht="14.25" customHeight="1" x14ac:dyDescent="0.3">
      <c r="A152" s="22" t="s">
        <v>143</v>
      </c>
    </row>
    <row r="153" spans="1:12" ht="14.25" customHeight="1" x14ac:dyDescent="0.3">
      <c r="A153" s="109" t="s">
        <v>144</v>
      </c>
      <c r="B153" s="110">
        <f>NPV(B25,C140:L140)+B140</f>
        <v>3709755.677879924</v>
      </c>
    </row>
    <row r="154" spans="1:12" ht="14.25" customHeight="1" x14ac:dyDescent="0.3">
      <c r="A154" s="109" t="s">
        <v>145</v>
      </c>
      <c r="B154" s="151">
        <f>IRR(B140:L140)</f>
        <v>0.31148854076840227</v>
      </c>
    </row>
    <row r="155" spans="1:12" ht="14.25" customHeight="1" x14ac:dyDescent="0.3">
      <c r="A155" s="109" t="s">
        <v>146</v>
      </c>
      <c r="B155" s="112">
        <f>IFERROR(MATCH(1,INDEX((C142:L142&gt;=0)*1,0),0),"&gt;10")</f>
        <v>4</v>
      </c>
    </row>
    <row r="156" spans="1:12" ht="14.25" customHeight="1" x14ac:dyDescent="0.3">
      <c r="A156" s="109" t="s">
        <v>147</v>
      </c>
      <c r="B156" s="112">
        <f>IFERROR(MATCH(1,INDEX((C144:L144&gt;=0)*1,0),0),"&gt;10")</f>
        <v>7</v>
      </c>
    </row>
    <row r="157" spans="1:12" ht="14.25" customHeight="1" x14ac:dyDescent="0.3">
      <c r="A157" s="109" t="s">
        <v>148</v>
      </c>
      <c r="B157" s="142">
        <f>(NPV(B25,C140:L140)+B140+ABS(B140))/ABS(B140)</f>
        <v>1.686991792199986</v>
      </c>
    </row>
    <row r="158" spans="1:12" ht="14.25" customHeight="1" x14ac:dyDescent="0.3">
      <c r="B158" s="21"/>
    </row>
    <row r="159" spans="1:12" ht="14.25" customHeight="1" x14ac:dyDescent="0.3">
      <c r="B159" s="21"/>
    </row>
    <row r="160" spans="1:12" ht="14.25" customHeight="1" x14ac:dyDescent="0.3">
      <c r="A160" s="105"/>
      <c r="B160" s="113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</row>
    <row r="161" spans="1:12" ht="14.25" customHeight="1" x14ac:dyDescent="0.3">
      <c r="A161" s="105"/>
      <c r="B161" s="113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</row>
    <row r="162" spans="1:12" ht="14.25" customHeight="1" x14ac:dyDescent="0.3">
      <c r="A162" s="105"/>
      <c r="B162" s="113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</row>
    <row r="163" spans="1:12" ht="14.25" customHeight="1" x14ac:dyDescent="0.3">
      <c r="A163" s="105"/>
      <c r="B163" s="113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</row>
    <row r="164" spans="1:12" ht="14.25" customHeight="1" x14ac:dyDescent="0.3">
      <c r="B164" s="21"/>
    </row>
    <row r="165" spans="1:12" ht="14.25" customHeight="1" x14ac:dyDescent="0.3">
      <c r="B165" s="21"/>
    </row>
    <row r="166" spans="1:12" ht="14.25" customHeight="1" x14ac:dyDescent="0.3">
      <c r="B166" s="21"/>
    </row>
  </sheetData>
  <mergeCells count="6">
    <mergeCell ref="B105:C105"/>
    <mergeCell ref="A50:H50"/>
    <mergeCell ref="A55:H55"/>
    <mergeCell ref="A92:A93"/>
    <mergeCell ref="C92:L92"/>
    <mergeCell ref="A98:L9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6"/>
  <sheetViews>
    <sheetView showGridLines="0" topLeftCell="A131" zoomScaleNormal="100" workbookViewId="0">
      <selection activeCell="E156" sqref="E156"/>
    </sheetView>
  </sheetViews>
  <sheetFormatPr baseColWidth="10" defaultColWidth="8.6640625" defaultRowHeight="14.4" x14ac:dyDescent="0.3"/>
  <cols>
    <col min="1" max="1" width="42.44140625" style="1" customWidth="1"/>
    <col min="2" max="2" width="15.5546875" style="1" customWidth="1"/>
    <col min="3" max="3" width="16.109375" style="1" customWidth="1"/>
    <col min="4" max="8" width="15.44140625" style="1" customWidth="1"/>
    <col min="9" max="11" width="15.5546875" style="1" customWidth="1"/>
    <col min="12" max="12" width="15.44140625" style="1" customWidth="1"/>
    <col min="13" max="13" width="13.5546875" style="1" customWidth="1"/>
    <col min="14" max="14" width="13.33203125" style="1" customWidth="1"/>
    <col min="16" max="16" width="10.6640625" style="1" customWidth="1"/>
    <col min="18" max="18" width="25.109375" style="1" customWidth="1"/>
    <col min="19" max="19" width="11.6640625" style="1" customWidth="1"/>
    <col min="20" max="20" width="13.44140625" style="1" customWidth="1"/>
    <col min="21" max="21" width="8.44140625" style="1" customWidth="1"/>
    <col min="22" max="22" width="10.6640625" style="1" customWidth="1"/>
  </cols>
  <sheetData>
    <row r="1" spans="1:12" ht="15" customHeight="1" x14ac:dyDescent="0.3">
      <c r="A1" s="2" t="s">
        <v>0</v>
      </c>
    </row>
    <row r="3" spans="1:12" ht="14.25" customHeight="1" x14ac:dyDescent="0.3">
      <c r="A3" s="3" t="s">
        <v>1</v>
      </c>
    </row>
    <row r="4" spans="1:12" ht="14.25" customHeight="1" x14ac:dyDescent="0.3">
      <c r="A4" s="4" t="s">
        <v>2</v>
      </c>
      <c r="B4" s="4">
        <v>10</v>
      </c>
    </row>
    <row r="5" spans="1:12" ht="14.25" customHeight="1" x14ac:dyDescent="0.3">
      <c r="A5" s="4" t="s">
        <v>3</v>
      </c>
      <c r="B5" s="5">
        <v>0.05</v>
      </c>
    </row>
    <row r="6" spans="1:12" ht="14.25" customHeight="1" x14ac:dyDescent="0.3">
      <c r="A6" s="4" t="s">
        <v>4</v>
      </c>
      <c r="B6" s="5">
        <v>7.0000000000000007E-2</v>
      </c>
    </row>
    <row r="7" spans="1:12" ht="14.25" customHeight="1" x14ac:dyDescent="0.3"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</row>
    <row r="8" spans="1:12" ht="14.25" customHeight="1" x14ac:dyDescent="0.3">
      <c r="A8" s="4" t="s">
        <v>16</v>
      </c>
      <c r="B8" s="7"/>
      <c r="C8" s="8">
        <v>750</v>
      </c>
      <c r="D8" s="8">
        <v>900</v>
      </c>
      <c r="E8" s="8">
        <v>900</v>
      </c>
      <c r="F8" s="8">
        <v>900</v>
      </c>
      <c r="G8" s="8">
        <v>900</v>
      </c>
      <c r="H8" s="8">
        <v>900</v>
      </c>
      <c r="I8" s="8">
        <v>900</v>
      </c>
      <c r="J8" s="8">
        <v>900</v>
      </c>
      <c r="K8" s="8">
        <v>900</v>
      </c>
      <c r="L8" s="8">
        <v>900</v>
      </c>
    </row>
    <row r="9" spans="1:12" ht="14.25" customHeight="1" x14ac:dyDescent="0.3">
      <c r="A9" s="4" t="s">
        <v>17</v>
      </c>
      <c r="B9" s="7"/>
      <c r="C9" s="9">
        <f>1225</f>
        <v>1225</v>
      </c>
      <c r="D9" s="9">
        <f>1470</f>
        <v>1470</v>
      </c>
      <c r="E9" s="9">
        <f>1715</f>
        <v>1715</v>
      </c>
      <c r="F9" s="9">
        <f>1960</f>
        <v>1960</v>
      </c>
      <c r="G9" s="9">
        <f>2205</f>
        <v>2205</v>
      </c>
      <c r="H9" s="9">
        <f>2205</f>
        <v>2205</v>
      </c>
      <c r="I9" s="9">
        <f>2205</f>
        <v>2205</v>
      </c>
      <c r="J9" s="9">
        <f>2205</f>
        <v>2205</v>
      </c>
      <c r="K9" s="9">
        <f>2205</f>
        <v>2205</v>
      </c>
      <c r="L9" s="9">
        <f>2205</f>
        <v>2205</v>
      </c>
    </row>
    <row r="10" spans="1:12" ht="14.25" customHeight="1" x14ac:dyDescent="0.3">
      <c r="A10" s="4" t="s">
        <v>18</v>
      </c>
      <c r="B10" s="7"/>
      <c r="C10" s="9">
        <f t="shared" ref="C10:L10" si="0">C9*C8</f>
        <v>918750</v>
      </c>
      <c r="D10" s="9">
        <f t="shared" si="0"/>
        <v>1323000</v>
      </c>
      <c r="E10" s="9">
        <f t="shared" si="0"/>
        <v>1543500</v>
      </c>
      <c r="F10" s="9">
        <f t="shared" si="0"/>
        <v>1764000</v>
      </c>
      <c r="G10" s="9">
        <f t="shared" si="0"/>
        <v>1984500</v>
      </c>
      <c r="H10" s="9">
        <f t="shared" si="0"/>
        <v>1984500</v>
      </c>
      <c r="I10" s="9">
        <f t="shared" si="0"/>
        <v>1984500</v>
      </c>
      <c r="J10" s="9">
        <f t="shared" si="0"/>
        <v>1984500</v>
      </c>
      <c r="K10" s="9">
        <f t="shared" si="0"/>
        <v>1984500</v>
      </c>
      <c r="L10" s="9">
        <f t="shared" si="0"/>
        <v>1984500</v>
      </c>
    </row>
    <row r="11" spans="1:12" ht="14.25" customHeight="1" x14ac:dyDescent="0.3">
      <c r="A11" s="4" t="s">
        <v>19</v>
      </c>
      <c r="B11" s="7"/>
      <c r="C11" s="10">
        <v>1</v>
      </c>
      <c r="D11" s="10">
        <f t="shared" ref="D11:L11" si="1">C11+(C11*$B$5)</f>
        <v>1.05</v>
      </c>
      <c r="E11" s="10">
        <f t="shared" si="1"/>
        <v>1.1025</v>
      </c>
      <c r="F11" s="10">
        <f t="shared" si="1"/>
        <v>1.1576250000000001</v>
      </c>
      <c r="G11" s="10">
        <f t="shared" si="1"/>
        <v>1.2155062500000002</v>
      </c>
      <c r="H11" s="10">
        <f t="shared" si="1"/>
        <v>1.2762815625000004</v>
      </c>
      <c r="I11" s="10">
        <f t="shared" si="1"/>
        <v>1.3400956406250004</v>
      </c>
      <c r="J11" s="10">
        <f t="shared" si="1"/>
        <v>1.4071004226562505</v>
      </c>
      <c r="K11" s="10">
        <f t="shared" si="1"/>
        <v>1.477455443789063</v>
      </c>
      <c r="L11" s="10">
        <f t="shared" si="1"/>
        <v>1.5513282159785162</v>
      </c>
    </row>
    <row r="12" spans="1:12" ht="14.25" customHeight="1" x14ac:dyDescent="0.3">
      <c r="A12" s="4" t="s">
        <v>20</v>
      </c>
      <c r="B12" s="7"/>
      <c r="C12" s="116">
        <v>2.4108299009556999</v>
      </c>
      <c r="D12" s="11">
        <f t="shared" ref="D12:L12" si="2">C12+(C12*$B$6)</f>
        <v>2.579587994022599</v>
      </c>
      <c r="E12" s="11">
        <f t="shared" si="2"/>
        <v>2.7601591536041807</v>
      </c>
      <c r="F12" s="11">
        <f t="shared" si="2"/>
        <v>2.9533702943564735</v>
      </c>
      <c r="G12" s="11">
        <f t="shared" si="2"/>
        <v>3.1601062149614267</v>
      </c>
      <c r="H12" s="11">
        <f t="shared" si="2"/>
        <v>3.3813136500087264</v>
      </c>
      <c r="I12" s="11">
        <f t="shared" si="2"/>
        <v>3.6180056055093375</v>
      </c>
      <c r="J12" s="11">
        <f t="shared" si="2"/>
        <v>3.8712659978949913</v>
      </c>
      <c r="K12" s="11">
        <f t="shared" si="2"/>
        <v>4.1422546177476409</v>
      </c>
      <c r="L12" s="11">
        <f t="shared" si="2"/>
        <v>4.4322124409899759</v>
      </c>
    </row>
    <row r="13" spans="1:12" ht="14.25" customHeight="1" x14ac:dyDescent="0.3">
      <c r="A13" s="4" t="s">
        <v>21</v>
      </c>
      <c r="B13" s="12"/>
      <c r="C13" s="13">
        <v>450000</v>
      </c>
      <c r="D13" s="13">
        <v>250000</v>
      </c>
      <c r="E13" s="13">
        <v>250000</v>
      </c>
      <c r="F13" s="13">
        <v>250000</v>
      </c>
      <c r="G13" s="13">
        <v>250000</v>
      </c>
      <c r="H13" s="13">
        <v>250000</v>
      </c>
      <c r="I13" s="13">
        <v>0</v>
      </c>
      <c r="J13" s="13">
        <v>0</v>
      </c>
      <c r="K13" s="13">
        <v>0</v>
      </c>
      <c r="L13" s="13">
        <v>0</v>
      </c>
    </row>
    <row r="14" spans="1:12" ht="14.25" customHeight="1" x14ac:dyDescent="0.3">
      <c r="A14" s="4" t="s">
        <v>22</v>
      </c>
      <c r="B14" s="12"/>
      <c r="C14" s="11">
        <f>1.45</f>
        <v>1.45</v>
      </c>
      <c r="D14" s="11">
        <f t="shared" ref="D14:L14" si="3">C14+(C14*$B$6)</f>
        <v>1.5514999999999999</v>
      </c>
      <c r="E14" s="11">
        <f t="shared" si="3"/>
        <v>1.6601049999999999</v>
      </c>
      <c r="F14" s="11">
        <f t="shared" si="3"/>
        <v>1.77631235</v>
      </c>
      <c r="G14" s="11">
        <f t="shared" si="3"/>
        <v>1.9006542145</v>
      </c>
      <c r="H14" s="11">
        <f t="shared" si="3"/>
        <v>2.033700009515</v>
      </c>
      <c r="I14" s="11">
        <f t="shared" si="3"/>
        <v>2.1760590101810502</v>
      </c>
      <c r="J14" s="11">
        <f t="shared" si="3"/>
        <v>2.3283831408937239</v>
      </c>
      <c r="K14" s="11">
        <f t="shared" si="3"/>
        <v>2.4913699607562845</v>
      </c>
      <c r="L14" s="11">
        <f t="shared" si="3"/>
        <v>2.6657658580092245</v>
      </c>
    </row>
    <row r="15" spans="1:12" ht="14.25" customHeight="1" x14ac:dyDescent="0.3">
      <c r="A15" s="4" t="s">
        <v>23</v>
      </c>
      <c r="B15" s="14"/>
      <c r="C15" s="15">
        <f t="shared" ref="C15:L15" si="4">C14*C10</f>
        <v>1332187.5</v>
      </c>
      <c r="D15" s="15">
        <f t="shared" si="4"/>
        <v>2052634.4999999998</v>
      </c>
      <c r="E15" s="15">
        <f t="shared" si="4"/>
        <v>2562372.0674999999</v>
      </c>
      <c r="F15" s="15">
        <f t="shared" si="4"/>
        <v>3133414.9854000001</v>
      </c>
      <c r="G15" s="15">
        <f t="shared" si="4"/>
        <v>3771848.28867525</v>
      </c>
      <c r="H15" s="15">
        <f t="shared" si="4"/>
        <v>4035877.6688825176</v>
      </c>
      <c r="I15" s="15">
        <f t="shared" si="4"/>
        <v>4318389.1057042945</v>
      </c>
      <c r="J15" s="15">
        <f t="shared" si="4"/>
        <v>4620676.3431035951</v>
      </c>
      <c r="K15" s="15">
        <f t="shared" si="4"/>
        <v>4944123.6871208465</v>
      </c>
      <c r="L15" s="15">
        <f t="shared" si="4"/>
        <v>5290212.3452193057</v>
      </c>
    </row>
    <row r="16" spans="1:12" ht="14.25" customHeight="1" x14ac:dyDescent="0.3">
      <c r="A16" s="4" t="s">
        <v>24</v>
      </c>
      <c r="B16" s="14"/>
      <c r="C16" s="15">
        <v>50000</v>
      </c>
      <c r="D16" s="15">
        <f t="shared" ref="D16:L16" si="5">C16+(C16*$B$6)</f>
        <v>53500</v>
      </c>
      <c r="E16" s="15">
        <f t="shared" si="5"/>
        <v>57245</v>
      </c>
      <c r="F16" s="15">
        <f t="shared" si="5"/>
        <v>61252.15</v>
      </c>
      <c r="G16" s="15">
        <f t="shared" si="5"/>
        <v>65539.800499999998</v>
      </c>
      <c r="H16" s="15">
        <f t="shared" si="5"/>
        <v>70127.586534999995</v>
      </c>
      <c r="I16" s="15">
        <f t="shared" si="5"/>
        <v>75036.517592449993</v>
      </c>
      <c r="J16" s="15">
        <f t="shared" si="5"/>
        <v>80289.073823921499</v>
      </c>
      <c r="K16" s="15">
        <f t="shared" si="5"/>
        <v>85909.308991596001</v>
      </c>
      <c r="L16" s="15">
        <f t="shared" si="5"/>
        <v>91922.960621007718</v>
      </c>
    </row>
    <row r="17" spans="1:12" ht="14.25" customHeight="1" x14ac:dyDescent="0.3">
      <c r="A17" s="4" t="s">
        <v>25</v>
      </c>
      <c r="B17" s="14"/>
      <c r="C17" s="15">
        <v>200000</v>
      </c>
      <c r="D17" s="15">
        <f t="shared" ref="D17:L17" si="6">C17+(C17*$B$6)</f>
        <v>214000</v>
      </c>
      <c r="E17" s="15">
        <f t="shared" si="6"/>
        <v>228980</v>
      </c>
      <c r="F17" s="15">
        <f t="shared" si="6"/>
        <v>245008.6</v>
      </c>
      <c r="G17" s="15">
        <f t="shared" si="6"/>
        <v>262159.20199999999</v>
      </c>
      <c r="H17" s="15">
        <f t="shared" si="6"/>
        <v>280510.34613999998</v>
      </c>
      <c r="I17" s="15">
        <f t="shared" si="6"/>
        <v>300146.07036979997</v>
      </c>
      <c r="J17" s="15">
        <f t="shared" si="6"/>
        <v>321156.295295686</v>
      </c>
      <c r="K17" s="15">
        <f t="shared" si="6"/>
        <v>343637.235966384</v>
      </c>
      <c r="L17" s="15">
        <f t="shared" si="6"/>
        <v>367691.84248403087</v>
      </c>
    </row>
    <row r="18" spans="1:12" ht="14.25" customHeight="1" x14ac:dyDescent="0.3">
      <c r="K18" s="16"/>
    </row>
    <row r="19" spans="1:12" ht="14.25" customHeight="1" x14ac:dyDescent="0.3">
      <c r="A19" s="4" t="s">
        <v>26</v>
      </c>
      <c r="B19" s="17">
        <v>1250000</v>
      </c>
      <c r="K19" s="16"/>
    </row>
    <row r="20" spans="1:12" ht="14.25" customHeight="1" x14ac:dyDescent="0.3">
      <c r="A20" s="4" t="s">
        <v>27</v>
      </c>
      <c r="B20" s="17">
        <v>1000000</v>
      </c>
      <c r="K20" s="16"/>
    </row>
    <row r="21" spans="1:12" ht="14.25" customHeight="1" x14ac:dyDescent="0.3">
      <c r="A21" s="4" t="s">
        <v>28</v>
      </c>
      <c r="B21" s="18">
        <v>50000</v>
      </c>
      <c r="K21" s="16"/>
    </row>
    <row r="22" spans="1:12" ht="14.25" customHeight="1" x14ac:dyDescent="0.3">
      <c r="A22" s="4" t="s">
        <v>29</v>
      </c>
      <c r="B22" s="5">
        <v>0.1</v>
      </c>
    </row>
    <row r="23" spans="1:12" ht="14.25" customHeight="1" x14ac:dyDescent="0.3">
      <c r="A23" s="4" t="s">
        <v>30</v>
      </c>
      <c r="B23" s="19">
        <v>7</v>
      </c>
    </row>
    <row r="24" spans="1:12" ht="14.25" customHeight="1" x14ac:dyDescent="0.3">
      <c r="A24" s="4" t="s">
        <v>31</v>
      </c>
      <c r="B24" s="20">
        <f>5400000*0.5</f>
        <v>2700000</v>
      </c>
    </row>
    <row r="25" spans="1:12" ht="14.25" customHeight="1" x14ac:dyDescent="0.3">
      <c r="A25" s="4" t="s">
        <v>32</v>
      </c>
      <c r="B25" s="5">
        <v>0.19</v>
      </c>
    </row>
    <row r="26" spans="1:12" ht="14.25" customHeight="1" x14ac:dyDescent="0.3">
      <c r="A26" s="4" t="s">
        <v>33</v>
      </c>
      <c r="B26" s="5">
        <v>0.3</v>
      </c>
    </row>
    <row r="27" spans="1:12" ht="14.25" customHeight="1" x14ac:dyDescent="0.3">
      <c r="B27" s="21"/>
    </row>
    <row r="28" spans="1:12" ht="14.25" customHeight="1" x14ac:dyDescent="0.3">
      <c r="A28" s="22" t="s">
        <v>34</v>
      </c>
      <c r="B28" s="21"/>
    </row>
    <row r="29" spans="1:12" ht="15.75" customHeight="1" x14ac:dyDescent="0.3">
      <c r="A29" s="23" t="s">
        <v>35</v>
      </c>
      <c r="B29" s="24"/>
    </row>
    <row r="30" spans="1:12" ht="14.25" customHeight="1" x14ac:dyDescent="0.3">
      <c r="A30" s="25" t="s">
        <v>36</v>
      </c>
      <c r="B30" s="26" t="s">
        <v>5</v>
      </c>
      <c r="C30" s="26" t="s">
        <v>6</v>
      </c>
      <c r="D30" s="26" t="s">
        <v>7</v>
      </c>
      <c r="E30" s="26" t="s">
        <v>8</v>
      </c>
      <c r="F30" s="26" t="s">
        <v>9</v>
      </c>
      <c r="G30" s="26" t="s">
        <v>10</v>
      </c>
      <c r="H30" s="26" t="s">
        <v>11</v>
      </c>
      <c r="I30" s="26" t="s">
        <v>12</v>
      </c>
      <c r="J30" s="26" t="s">
        <v>13</v>
      </c>
      <c r="K30" s="26" t="s">
        <v>14</v>
      </c>
      <c r="L30" s="27" t="s">
        <v>15</v>
      </c>
    </row>
    <row r="31" spans="1:12" ht="14.25" customHeight="1" x14ac:dyDescent="0.3">
      <c r="A31" s="28" t="s">
        <v>37</v>
      </c>
      <c r="B31" s="29"/>
      <c r="C31" s="30">
        <f t="shared" ref="C31:L31" si="7">C10</f>
        <v>918750</v>
      </c>
      <c r="D31" s="30">
        <f t="shared" si="7"/>
        <v>1323000</v>
      </c>
      <c r="E31" s="30">
        <f t="shared" si="7"/>
        <v>1543500</v>
      </c>
      <c r="F31" s="30">
        <f t="shared" si="7"/>
        <v>1764000</v>
      </c>
      <c r="G31" s="30">
        <f t="shared" si="7"/>
        <v>1984500</v>
      </c>
      <c r="H31" s="30">
        <f t="shared" si="7"/>
        <v>1984500</v>
      </c>
      <c r="I31" s="30">
        <f t="shared" si="7"/>
        <v>1984500</v>
      </c>
      <c r="J31" s="30">
        <f t="shared" si="7"/>
        <v>1984500</v>
      </c>
      <c r="K31" s="30">
        <f t="shared" si="7"/>
        <v>1984500</v>
      </c>
      <c r="L31" s="31">
        <f t="shared" si="7"/>
        <v>1984500</v>
      </c>
    </row>
    <row r="32" spans="1:12" ht="14.25" customHeight="1" x14ac:dyDescent="0.3">
      <c r="A32" s="28" t="s">
        <v>38</v>
      </c>
      <c r="B32" s="29"/>
      <c r="C32" s="32">
        <f t="shared" ref="C32:L32" si="8">C12</f>
        <v>2.4108299009556999</v>
      </c>
      <c r="D32" s="32">
        <f t="shared" si="8"/>
        <v>2.579587994022599</v>
      </c>
      <c r="E32" s="32">
        <f t="shared" si="8"/>
        <v>2.7601591536041807</v>
      </c>
      <c r="F32" s="32">
        <f t="shared" si="8"/>
        <v>2.9533702943564735</v>
      </c>
      <c r="G32" s="32">
        <f t="shared" si="8"/>
        <v>3.1601062149614267</v>
      </c>
      <c r="H32" s="32">
        <f t="shared" si="8"/>
        <v>3.3813136500087264</v>
      </c>
      <c r="I32" s="32">
        <f t="shared" si="8"/>
        <v>3.6180056055093375</v>
      </c>
      <c r="J32" s="32">
        <f t="shared" si="8"/>
        <v>3.8712659978949913</v>
      </c>
      <c r="K32" s="32">
        <f t="shared" si="8"/>
        <v>4.1422546177476409</v>
      </c>
      <c r="L32" s="33">
        <f t="shared" si="8"/>
        <v>4.4322124409899759</v>
      </c>
    </row>
    <row r="33" spans="1:12" ht="15.75" customHeight="1" x14ac:dyDescent="0.3">
      <c r="A33" s="34" t="s">
        <v>39</v>
      </c>
      <c r="B33" s="35"/>
      <c r="C33" s="36">
        <f t="shared" ref="C33:L33" si="9">C32*C31</f>
        <v>2214949.9715030491</v>
      </c>
      <c r="D33" s="36">
        <f t="shared" si="9"/>
        <v>3412794.9160918985</v>
      </c>
      <c r="E33" s="36">
        <f t="shared" si="9"/>
        <v>4260305.6535880528</v>
      </c>
      <c r="F33" s="36">
        <f t="shared" si="9"/>
        <v>5209745.1992448196</v>
      </c>
      <c r="G33" s="36">
        <f t="shared" si="9"/>
        <v>6271230.783590951</v>
      </c>
      <c r="H33" s="36">
        <f t="shared" si="9"/>
        <v>6710216.9384423178</v>
      </c>
      <c r="I33" s="36">
        <f t="shared" si="9"/>
        <v>7179932.1241332805</v>
      </c>
      <c r="J33" s="36">
        <f t="shared" si="9"/>
        <v>7682527.3728226097</v>
      </c>
      <c r="K33" s="36">
        <f t="shared" si="9"/>
        <v>8220304.288920193</v>
      </c>
      <c r="L33" s="37">
        <f t="shared" si="9"/>
        <v>8795725.589144608</v>
      </c>
    </row>
    <row r="34" spans="1:12" ht="14.25" customHeight="1" x14ac:dyDescent="0.3">
      <c r="B34" s="21"/>
    </row>
    <row r="35" spans="1:12" ht="14.25" customHeight="1" x14ac:dyDescent="0.3">
      <c r="A35" s="22" t="s">
        <v>40</v>
      </c>
      <c r="B35" s="24"/>
    </row>
    <row r="36" spans="1:12" ht="15.75" customHeight="1" x14ac:dyDescent="0.3">
      <c r="A36" s="23" t="s">
        <v>41</v>
      </c>
      <c r="B36" s="24"/>
    </row>
    <row r="37" spans="1:12" ht="14.25" customHeight="1" x14ac:dyDescent="0.3">
      <c r="A37" s="25" t="s">
        <v>36</v>
      </c>
      <c r="B37" s="26" t="s">
        <v>5</v>
      </c>
      <c r="C37" s="26" t="s">
        <v>6</v>
      </c>
      <c r="D37" s="26" t="s">
        <v>7</v>
      </c>
      <c r="E37" s="26" t="s">
        <v>8</v>
      </c>
      <c r="F37" s="26" t="s">
        <v>9</v>
      </c>
      <c r="G37" s="26" t="s">
        <v>10</v>
      </c>
      <c r="H37" s="26" t="s">
        <v>11</v>
      </c>
      <c r="I37" s="26" t="s">
        <v>12</v>
      </c>
      <c r="J37" s="26" t="s">
        <v>13</v>
      </c>
      <c r="K37" s="26" t="s">
        <v>14</v>
      </c>
      <c r="L37" s="27" t="s">
        <v>15</v>
      </c>
    </row>
    <row r="38" spans="1:12" ht="14.25" customHeight="1" x14ac:dyDescent="0.3">
      <c r="A38" s="28" t="s">
        <v>42</v>
      </c>
      <c r="B38" s="29"/>
      <c r="C38" s="38">
        <f t="shared" ref="C38:L38" si="10">C15</f>
        <v>1332187.5</v>
      </c>
      <c r="D38" s="38">
        <f t="shared" si="10"/>
        <v>2052634.4999999998</v>
      </c>
      <c r="E38" s="38">
        <f t="shared" si="10"/>
        <v>2562372.0674999999</v>
      </c>
      <c r="F38" s="38">
        <f t="shared" si="10"/>
        <v>3133414.9854000001</v>
      </c>
      <c r="G38" s="38">
        <f t="shared" si="10"/>
        <v>3771848.28867525</v>
      </c>
      <c r="H38" s="38">
        <f t="shared" si="10"/>
        <v>4035877.6688825176</v>
      </c>
      <c r="I38" s="38">
        <f t="shared" si="10"/>
        <v>4318389.1057042945</v>
      </c>
      <c r="J38" s="38">
        <f t="shared" si="10"/>
        <v>4620676.3431035951</v>
      </c>
      <c r="K38" s="38">
        <f t="shared" si="10"/>
        <v>4944123.6871208465</v>
      </c>
      <c r="L38" s="39">
        <f t="shared" si="10"/>
        <v>5290212.3452193057</v>
      </c>
    </row>
    <row r="39" spans="1:12" ht="15.75" customHeight="1" x14ac:dyDescent="0.3">
      <c r="A39" s="40" t="s">
        <v>43</v>
      </c>
      <c r="B39" s="41"/>
      <c r="C39" s="36">
        <f t="shared" ref="C39:L39" si="11">C38</f>
        <v>1332187.5</v>
      </c>
      <c r="D39" s="36">
        <f t="shared" si="11"/>
        <v>2052634.4999999998</v>
      </c>
      <c r="E39" s="36">
        <f t="shared" si="11"/>
        <v>2562372.0674999999</v>
      </c>
      <c r="F39" s="36">
        <f t="shared" si="11"/>
        <v>3133414.9854000001</v>
      </c>
      <c r="G39" s="36">
        <f t="shared" si="11"/>
        <v>3771848.28867525</v>
      </c>
      <c r="H39" s="36">
        <f t="shared" si="11"/>
        <v>4035877.6688825176</v>
      </c>
      <c r="I39" s="36">
        <f t="shared" si="11"/>
        <v>4318389.1057042945</v>
      </c>
      <c r="J39" s="36">
        <f t="shared" si="11"/>
        <v>4620676.3431035951</v>
      </c>
      <c r="K39" s="36">
        <f t="shared" si="11"/>
        <v>4944123.6871208465</v>
      </c>
      <c r="L39" s="37">
        <f t="shared" si="11"/>
        <v>5290212.3452193057</v>
      </c>
    </row>
    <row r="40" spans="1:12" ht="14.25" customHeight="1" x14ac:dyDescent="0.3">
      <c r="B40" s="21"/>
    </row>
    <row r="41" spans="1:12" ht="14.25" customHeight="1" x14ac:dyDescent="0.3">
      <c r="A41" s="22" t="s">
        <v>44</v>
      </c>
      <c r="B41" s="24"/>
    </row>
    <row r="42" spans="1:12" ht="15.75" customHeight="1" x14ac:dyDescent="0.3">
      <c r="A42" s="23" t="s">
        <v>45</v>
      </c>
      <c r="B42" s="24"/>
    </row>
    <row r="43" spans="1:12" ht="14.25" customHeight="1" x14ac:dyDescent="0.3">
      <c r="A43" s="25" t="s">
        <v>36</v>
      </c>
      <c r="B43" s="26" t="s">
        <v>5</v>
      </c>
      <c r="C43" s="26" t="s">
        <v>6</v>
      </c>
      <c r="D43" s="26" t="s">
        <v>7</v>
      </c>
      <c r="E43" s="26" t="s">
        <v>8</v>
      </c>
      <c r="F43" s="26" t="s">
        <v>9</v>
      </c>
      <c r="G43" s="26" t="s">
        <v>10</v>
      </c>
      <c r="H43" s="26" t="s">
        <v>11</v>
      </c>
      <c r="I43" s="26" t="s">
        <v>12</v>
      </c>
      <c r="J43" s="26" t="s">
        <v>13</v>
      </c>
      <c r="K43" s="26" t="s">
        <v>14</v>
      </c>
      <c r="L43" s="27" t="s">
        <v>15</v>
      </c>
    </row>
    <row r="44" spans="1:12" ht="14.25" customHeight="1" x14ac:dyDescent="0.3">
      <c r="A44" s="28" t="s">
        <v>24</v>
      </c>
      <c r="B44" s="29"/>
      <c r="C44" s="38">
        <f t="shared" ref="C44:L44" si="12">C16</f>
        <v>50000</v>
      </c>
      <c r="D44" s="38">
        <f t="shared" si="12"/>
        <v>53500</v>
      </c>
      <c r="E44" s="38">
        <f t="shared" si="12"/>
        <v>57245</v>
      </c>
      <c r="F44" s="38">
        <f t="shared" si="12"/>
        <v>61252.15</v>
      </c>
      <c r="G44" s="38">
        <f t="shared" si="12"/>
        <v>65539.800499999998</v>
      </c>
      <c r="H44" s="38">
        <f t="shared" si="12"/>
        <v>70127.586534999995</v>
      </c>
      <c r="I44" s="38">
        <f t="shared" si="12"/>
        <v>75036.517592449993</v>
      </c>
      <c r="J44" s="38">
        <f t="shared" si="12"/>
        <v>80289.073823921499</v>
      </c>
      <c r="K44" s="38">
        <f t="shared" si="12"/>
        <v>85909.308991596001</v>
      </c>
      <c r="L44" s="39">
        <f t="shared" si="12"/>
        <v>91922.960621007718</v>
      </c>
    </row>
    <row r="45" spans="1:12" ht="14.25" customHeight="1" x14ac:dyDescent="0.3">
      <c r="A45" s="28" t="s">
        <v>25</v>
      </c>
      <c r="B45" s="29"/>
      <c r="C45" s="38">
        <f t="shared" ref="C45:L45" si="13">C17</f>
        <v>200000</v>
      </c>
      <c r="D45" s="38">
        <f t="shared" si="13"/>
        <v>214000</v>
      </c>
      <c r="E45" s="38">
        <f t="shared" si="13"/>
        <v>228980</v>
      </c>
      <c r="F45" s="38">
        <f t="shared" si="13"/>
        <v>245008.6</v>
      </c>
      <c r="G45" s="38">
        <f t="shared" si="13"/>
        <v>262159.20199999999</v>
      </c>
      <c r="H45" s="38">
        <f t="shared" si="13"/>
        <v>280510.34613999998</v>
      </c>
      <c r="I45" s="38">
        <f t="shared" si="13"/>
        <v>300146.07036979997</v>
      </c>
      <c r="J45" s="38">
        <f t="shared" si="13"/>
        <v>321156.295295686</v>
      </c>
      <c r="K45" s="38">
        <f t="shared" si="13"/>
        <v>343637.235966384</v>
      </c>
      <c r="L45" s="39">
        <f t="shared" si="13"/>
        <v>367691.84248403087</v>
      </c>
    </row>
    <row r="46" spans="1:12" ht="15.75" customHeight="1" x14ac:dyDescent="0.3">
      <c r="A46" s="40" t="s">
        <v>46</v>
      </c>
      <c r="B46" s="41"/>
      <c r="C46" s="36">
        <f t="shared" ref="C46:L46" si="14">SUM(C44:C45)</f>
        <v>250000</v>
      </c>
      <c r="D46" s="36">
        <f t="shared" si="14"/>
        <v>267500</v>
      </c>
      <c r="E46" s="36">
        <f t="shared" si="14"/>
        <v>286225</v>
      </c>
      <c r="F46" s="36">
        <f t="shared" si="14"/>
        <v>306260.75</v>
      </c>
      <c r="G46" s="36">
        <f t="shared" si="14"/>
        <v>327699.0025</v>
      </c>
      <c r="H46" s="36">
        <f t="shared" si="14"/>
        <v>350637.93267499999</v>
      </c>
      <c r="I46" s="36">
        <f t="shared" si="14"/>
        <v>375182.58796224999</v>
      </c>
      <c r="J46" s="36">
        <f t="shared" si="14"/>
        <v>401445.36911960749</v>
      </c>
      <c r="K46" s="36">
        <f t="shared" si="14"/>
        <v>429546.54495797999</v>
      </c>
      <c r="L46" s="37">
        <f t="shared" si="14"/>
        <v>459614.80310503859</v>
      </c>
    </row>
    <row r="47" spans="1:12" ht="14.25" customHeight="1" x14ac:dyDescent="0.3">
      <c r="B47" s="21"/>
    </row>
    <row r="48" spans="1:12" ht="14.25" customHeight="1" x14ac:dyDescent="0.3">
      <c r="A48" s="22" t="s">
        <v>47</v>
      </c>
      <c r="B48" s="42"/>
      <c r="C48" s="43"/>
      <c r="D48" s="43"/>
      <c r="E48" s="43"/>
      <c r="F48" s="43"/>
      <c r="G48" s="43"/>
      <c r="H48" s="43"/>
    </row>
    <row r="49" spans="1:12" ht="14.25" customHeight="1" x14ac:dyDescent="0.3">
      <c r="A49" s="44" t="s">
        <v>21</v>
      </c>
      <c r="B49" s="42"/>
      <c r="C49" s="43"/>
      <c r="D49" s="43"/>
      <c r="E49" s="43"/>
      <c r="F49" s="43"/>
      <c r="G49" s="43"/>
      <c r="H49" s="43"/>
    </row>
    <row r="50" spans="1:12" ht="15.75" customHeight="1" x14ac:dyDescent="0.3">
      <c r="A50" s="160" t="s">
        <v>48</v>
      </c>
      <c r="B50" s="160"/>
      <c r="C50" s="160"/>
      <c r="D50" s="160"/>
      <c r="E50" s="160"/>
      <c r="F50" s="160"/>
      <c r="G50" s="160"/>
      <c r="H50" s="160"/>
    </row>
    <row r="51" spans="1:12" ht="14.25" customHeight="1" x14ac:dyDescent="0.3">
      <c r="A51" s="25" t="s">
        <v>36</v>
      </c>
      <c r="B51" s="26" t="s">
        <v>5</v>
      </c>
      <c r="C51" s="26" t="s">
        <v>6</v>
      </c>
      <c r="D51" s="26" t="s">
        <v>7</v>
      </c>
      <c r="E51" s="26" t="s">
        <v>8</v>
      </c>
      <c r="F51" s="26" t="s">
        <v>9</v>
      </c>
      <c r="G51" s="26" t="s">
        <v>10</v>
      </c>
      <c r="H51" s="26" t="s">
        <v>11</v>
      </c>
      <c r="I51" s="26" t="s">
        <v>12</v>
      </c>
      <c r="J51" s="26" t="s">
        <v>13</v>
      </c>
      <c r="K51" s="26" t="s">
        <v>14</v>
      </c>
      <c r="L51" s="27" t="s">
        <v>15</v>
      </c>
    </row>
    <row r="52" spans="1:12" ht="14.25" customHeight="1" x14ac:dyDescent="0.3">
      <c r="A52" s="28" t="s">
        <v>21</v>
      </c>
      <c r="B52" s="45"/>
      <c r="C52" s="38">
        <f t="shared" ref="C52:L52" si="15">C13+B52</f>
        <v>450000</v>
      </c>
      <c r="D52" s="38">
        <f t="shared" si="15"/>
        <v>700000</v>
      </c>
      <c r="E52" s="38">
        <f t="shared" si="15"/>
        <v>950000</v>
      </c>
      <c r="F52" s="38">
        <f t="shared" si="15"/>
        <v>1200000</v>
      </c>
      <c r="G52" s="38">
        <f t="shared" si="15"/>
        <v>1450000</v>
      </c>
      <c r="H52" s="38">
        <f t="shared" si="15"/>
        <v>1700000</v>
      </c>
      <c r="I52" s="38">
        <f t="shared" si="15"/>
        <v>1700000</v>
      </c>
      <c r="J52" s="38">
        <f t="shared" si="15"/>
        <v>1700000</v>
      </c>
      <c r="K52" s="38">
        <f t="shared" si="15"/>
        <v>1700000</v>
      </c>
      <c r="L52" s="38">
        <f t="shared" si="15"/>
        <v>1700000</v>
      </c>
    </row>
    <row r="53" spans="1:12" ht="15.75" customHeight="1" x14ac:dyDescent="0.3">
      <c r="A53" s="34" t="s">
        <v>49</v>
      </c>
      <c r="B53" s="46"/>
      <c r="C53" s="36">
        <f t="shared" ref="C53:L53" si="16">SUM(C52:C52)</f>
        <v>450000</v>
      </c>
      <c r="D53" s="36">
        <f t="shared" si="16"/>
        <v>700000</v>
      </c>
      <c r="E53" s="36">
        <f t="shared" si="16"/>
        <v>950000</v>
      </c>
      <c r="F53" s="36">
        <f t="shared" si="16"/>
        <v>1200000</v>
      </c>
      <c r="G53" s="36">
        <f t="shared" si="16"/>
        <v>1450000</v>
      </c>
      <c r="H53" s="36">
        <f t="shared" si="16"/>
        <v>1700000</v>
      </c>
      <c r="I53" s="36">
        <f t="shared" si="16"/>
        <v>1700000</v>
      </c>
      <c r="J53" s="36">
        <f t="shared" si="16"/>
        <v>1700000</v>
      </c>
      <c r="K53" s="36">
        <f t="shared" si="16"/>
        <v>1700000</v>
      </c>
      <c r="L53" s="37">
        <f t="shared" si="16"/>
        <v>1700000</v>
      </c>
    </row>
    <row r="54" spans="1:12" ht="14.25" customHeight="1" x14ac:dyDescent="0.3">
      <c r="A54" s="43"/>
      <c r="B54" s="42"/>
      <c r="C54" s="43"/>
      <c r="D54" s="43"/>
      <c r="E54" s="43"/>
      <c r="F54" s="43"/>
      <c r="G54" s="43"/>
      <c r="H54" s="43"/>
    </row>
    <row r="55" spans="1:12" ht="15.75" customHeight="1" x14ac:dyDescent="0.3">
      <c r="A55" s="160" t="s">
        <v>50</v>
      </c>
      <c r="B55" s="160"/>
      <c r="C55" s="160"/>
      <c r="D55" s="160"/>
      <c r="E55" s="160"/>
      <c r="F55" s="160"/>
      <c r="G55" s="160"/>
      <c r="H55" s="160"/>
    </row>
    <row r="56" spans="1:12" ht="14.25" customHeight="1" x14ac:dyDescent="0.3">
      <c r="A56" s="25" t="s">
        <v>36</v>
      </c>
      <c r="B56" s="26" t="s">
        <v>51</v>
      </c>
      <c r="C56" s="26" t="s">
        <v>6</v>
      </c>
      <c r="D56" s="26" t="s">
        <v>7</v>
      </c>
      <c r="E56" s="26" t="s">
        <v>8</v>
      </c>
      <c r="F56" s="26" t="s">
        <v>9</v>
      </c>
      <c r="G56" s="26" t="s">
        <v>10</v>
      </c>
      <c r="H56" s="26" t="s">
        <v>11</v>
      </c>
      <c r="I56" s="26" t="s">
        <v>12</v>
      </c>
      <c r="J56" s="26" t="s">
        <v>13</v>
      </c>
      <c r="K56" s="26" t="s">
        <v>14</v>
      </c>
      <c r="L56" s="27" t="s">
        <v>15</v>
      </c>
    </row>
    <row r="57" spans="1:12" ht="14.25" customHeight="1" x14ac:dyDescent="0.3">
      <c r="A57" s="47" t="s">
        <v>52</v>
      </c>
      <c r="B57" s="48"/>
      <c r="C57" s="49">
        <f t="shared" ref="C57:L57" si="17">C58</f>
        <v>450000</v>
      </c>
      <c r="D57" s="49">
        <f t="shared" si="17"/>
        <v>700000</v>
      </c>
      <c r="E57" s="49">
        <f t="shared" si="17"/>
        <v>950000</v>
      </c>
      <c r="F57" s="49">
        <f t="shared" si="17"/>
        <v>1200000</v>
      </c>
      <c r="G57" s="49">
        <f t="shared" si="17"/>
        <v>1450000</v>
      </c>
      <c r="H57" s="49">
        <f t="shared" si="17"/>
        <v>1700000</v>
      </c>
      <c r="I57" s="49">
        <f t="shared" si="17"/>
        <v>1700000</v>
      </c>
      <c r="J57" s="49">
        <f t="shared" si="17"/>
        <v>1700000</v>
      </c>
      <c r="K57" s="49">
        <f t="shared" si="17"/>
        <v>1700000</v>
      </c>
      <c r="L57" s="50">
        <f t="shared" si="17"/>
        <v>1700000</v>
      </c>
    </row>
    <row r="58" spans="1:12" ht="14.25" customHeight="1" x14ac:dyDescent="0.3">
      <c r="A58" s="28" t="s">
        <v>53</v>
      </c>
      <c r="B58" s="45"/>
      <c r="C58" s="38">
        <f t="shared" ref="C58:L58" si="18">C53</f>
        <v>450000</v>
      </c>
      <c r="D58" s="38">
        <f t="shared" si="18"/>
        <v>700000</v>
      </c>
      <c r="E58" s="38">
        <f t="shared" si="18"/>
        <v>950000</v>
      </c>
      <c r="F58" s="38">
        <f t="shared" si="18"/>
        <v>1200000</v>
      </c>
      <c r="G58" s="38">
        <f t="shared" si="18"/>
        <v>1450000</v>
      </c>
      <c r="H58" s="38">
        <f t="shared" si="18"/>
        <v>1700000</v>
      </c>
      <c r="I58" s="38">
        <f t="shared" si="18"/>
        <v>1700000</v>
      </c>
      <c r="J58" s="38">
        <f t="shared" si="18"/>
        <v>1700000</v>
      </c>
      <c r="K58" s="38">
        <f t="shared" si="18"/>
        <v>1700000</v>
      </c>
      <c r="L58" s="39">
        <f t="shared" si="18"/>
        <v>1700000</v>
      </c>
    </row>
    <row r="59" spans="1:12" ht="14.25" customHeight="1" x14ac:dyDescent="0.3">
      <c r="A59" s="47" t="s">
        <v>54</v>
      </c>
      <c r="B59" s="48"/>
      <c r="C59" s="49">
        <f t="shared" ref="C59:L59" si="19">SUM(C60:C61)</f>
        <v>0</v>
      </c>
      <c r="D59" s="49">
        <f t="shared" si="19"/>
        <v>0</v>
      </c>
      <c r="E59" s="49">
        <f t="shared" si="19"/>
        <v>0</v>
      </c>
      <c r="F59" s="49">
        <f t="shared" si="19"/>
        <v>0</v>
      </c>
      <c r="G59" s="49">
        <f t="shared" si="19"/>
        <v>0</v>
      </c>
      <c r="H59" s="49">
        <f t="shared" si="19"/>
        <v>0</v>
      </c>
      <c r="I59" s="49">
        <f t="shared" si="19"/>
        <v>0</v>
      </c>
      <c r="J59" s="49">
        <f t="shared" si="19"/>
        <v>0</v>
      </c>
      <c r="K59" s="49">
        <f t="shared" si="19"/>
        <v>0</v>
      </c>
      <c r="L59" s="50">
        <f t="shared" si="19"/>
        <v>0</v>
      </c>
    </row>
    <row r="60" spans="1:12" ht="14.25" customHeight="1" x14ac:dyDescent="0.3">
      <c r="A60" s="28" t="s">
        <v>55</v>
      </c>
      <c r="B60" s="45"/>
      <c r="C60" s="38">
        <v>0</v>
      </c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9">
        <v>0</v>
      </c>
    </row>
    <row r="61" spans="1:12" ht="14.25" customHeight="1" x14ac:dyDescent="0.3">
      <c r="A61" s="28" t="s">
        <v>56</v>
      </c>
      <c r="B61" s="45"/>
      <c r="C61" s="38">
        <v>0</v>
      </c>
      <c r="D61" s="38">
        <v>0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9">
        <v>0</v>
      </c>
    </row>
    <row r="62" spans="1:12" ht="14.25" customHeight="1" x14ac:dyDescent="0.3">
      <c r="A62" s="51" t="s">
        <v>57</v>
      </c>
      <c r="B62" s="52"/>
      <c r="C62" s="53">
        <f t="shared" ref="C62:L62" si="20">C57-C59</f>
        <v>450000</v>
      </c>
      <c r="D62" s="53">
        <f t="shared" si="20"/>
        <v>700000</v>
      </c>
      <c r="E62" s="53">
        <f t="shared" si="20"/>
        <v>950000</v>
      </c>
      <c r="F62" s="53">
        <f t="shared" si="20"/>
        <v>1200000</v>
      </c>
      <c r="G62" s="53">
        <f t="shared" si="20"/>
        <v>1450000</v>
      </c>
      <c r="H62" s="53">
        <f t="shared" si="20"/>
        <v>1700000</v>
      </c>
      <c r="I62" s="53">
        <f t="shared" si="20"/>
        <v>1700000</v>
      </c>
      <c r="J62" s="53">
        <f t="shared" si="20"/>
        <v>1700000</v>
      </c>
      <c r="K62" s="53">
        <f t="shared" si="20"/>
        <v>1700000</v>
      </c>
      <c r="L62" s="54">
        <f t="shared" si="20"/>
        <v>1700000</v>
      </c>
    </row>
    <row r="63" spans="1:12" ht="15.75" customHeight="1" x14ac:dyDescent="0.3">
      <c r="A63" s="34" t="s">
        <v>58</v>
      </c>
      <c r="B63" s="36">
        <f t="shared" ref="B63:L63" si="21">C62-B62</f>
        <v>450000</v>
      </c>
      <c r="C63" s="36">
        <f t="shared" si="21"/>
        <v>250000</v>
      </c>
      <c r="D63" s="36">
        <f t="shared" si="21"/>
        <v>250000</v>
      </c>
      <c r="E63" s="36">
        <f t="shared" si="21"/>
        <v>250000</v>
      </c>
      <c r="F63" s="36">
        <f t="shared" si="21"/>
        <v>250000</v>
      </c>
      <c r="G63" s="36">
        <f t="shared" si="21"/>
        <v>250000</v>
      </c>
      <c r="H63" s="36">
        <f t="shared" si="21"/>
        <v>0</v>
      </c>
      <c r="I63" s="36">
        <f t="shared" si="21"/>
        <v>0</v>
      </c>
      <c r="J63" s="36">
        <f t="shared" si="21"/>
        <v>0</v>
      </c>
      <c r="K63" s="36">
        <f t="shared" si="21"/>
        <v>0</v>
      </c>
      <c r="L63" s="37">
        <f t="shared" si="21"/>
        <v>-1700000</v>
      </c>
    </row>
    <row r="64" spans="1:12" ht="14.25" customHeight="1" x14ac:dyDescent="0.3">
      <c r="B64" s="24"/>
    </row>
    <row r="65" spans="1:12" ht="14.25" customHeight="1" x14ac:dyDescent="0.3">
      <c r="A65" s="22" t="s">
        <v>59</v>
      </c>
      <c r="B65" s="24"/>
    </row>
    <row r="66" spans="1:12" ht="15.75" customHeight="1" x14ac:dyDescent="0.3">
      <c r="A66" s="23" t="s">
        <v>60</v>
      </c>
      <c r="B66" s="24"/>
    </row>
    <row r="67" spans="1:12" ht="14.25" customHeight="1" x14ac:dyDescent="0.3">
      <c r="A67" s="25" t="s">
        <v>36</v>
      </c>
      <c r="B67" s="26" t="s">
        <v>5</v>
      </c>
      <c r="C67" s="26" t="s">
        <v>6</v>
      </c>
      <c r="D67" s="26" t="s">
        <v>7</v>
      </c>
      <c r="E67" s="26" t="s">
        <v>8</v>
      </c>
      <c r="F67" s="26" t="s">
        <v>9</v>
      </c>
      <c r="G67" s="26" t="s">
        <v>10</v>
      </c>
      <c r="H67" s="26" t="s">
        <v>11</v>
      </c>
      <c r="I67" s="26" t="s">
        <v>12</v>
      </c>
      <c r="J67" s="26" t="s">
        <v>13</v>
      </c>
      <c r="K67" s="26" t="s">
        <v>14</v>
      </c>
      <c r="L67" s="27" t="s">
        <v>15</v>
      </c>
    </row>
    <row r="68" spans="1:12" ht="14.25" customHeight="1" x14ac:dyDescent="0.3">
      <c r="A68" s="47" t="s">
        <v>61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6"/>
    </row>
    <row r="69" spans="1:12" ht="14.25" customHeight="1" x14ac:dyDescent="0.3">
      <c r="A69" s="28" t="s">
        <v>62</v>
      </c>
      <c r="B69" s="57">
        <v>100000</v>
      </c>
      <c r="C69" s="55"/>
      <c r="D69" s="55"/>
      <c r="E69" s="55"/>
      <c r="F69" s="55"/>
      <c r="G69" s="55"/>
      <c r="H69" s="55"/>
      <c r="I69" s="55"/>
      <c r="J69" s="55"/>
      <c r="K69" s="55"/>
      <c r="L69" s="56"/>
    </row>
    <row r="70" spans="1:12" ht="14.25" customHeight="1" x14ac:dyDescent="0.3">
      <c r="A70" s="28" t="s">
        <v>63</v>
      </c>
      <c r="B70" s="57">
        <f>3000000+200000+450000+50000</f>
        <v>3700000</v>
      </c>
      <c r="C70" s="55"/>
      <c r="D70" s="55"/>
      <c r="E70" s="55"/>
      <c r="F70" s="55"/>
      <c r="G70" s="55"/>
      <c r="H70" s="55"/>
      <c r="I70" s="55"/>
      <c r="J70" s="55"/>
      <c r="K70" s="55"/>
      <c r="L70" s="56"/>
    </row>
    <row r="71" spans="1:12" ht="14.25" customHeight="1" x14ac:dyDescent="0.3">
      <c r="A71" s="28" t="s">
        <v>64</v>
      </c>
      <c r="B71" s="57">
        <f>300000+100000</f>
        <v>400000</v>
      </c>
      <c r="C71" s="55"/>
      <c r="D71" s="55"/>
      <c r="E71" s="55"/>
      <c r="F71" s="55"/>
      <c r="G71" s="55"/>
      <c r="H71" s="55"/>
      <c r="I71" s="55"/>
      <c r="J71" s="55"/>
      <c r="K71" s="55"/>
      <c r="L71" s="56"/>
    </row>
    <row r="72" spans="1:12" ht="14.25" customHeight="1" x14ac:dyDescent="0.3">
      <c r="A72" s="28" t="s">
        <v>65</v>
      </c>
      <c r="B72" s="57">
        <v>750000</v>
      </c>
      <c r="C72" s="55"/>
      <c r="D72" s="55"/>
      <c r="E72" s="55"/>
      <c r="F72" s="55"/>
      <c r="G72" s="55"/>
      <c r="H72" s="55"/>
      <c r="I72" s="55"/>
      <c r="J72" s="55"/>
      <c r="K72" s="55"/>
      <c r="L72" s="56"/>
    </row>
    <row r="73" spans="1:12" ht="14.25" customHeight="1" x14ac:dyDescent="0.3">
      <c r="A73" s="47" t="s">
        <v>66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6"/>
    </row>
    <row r="74" spans="1:12" ht="14.25" customHeight="1" x14ac:dyDescent="0.3">
      <c r="A74" s="28" t="s">
        <v>67</v>
      </c>
      <c r="B74" s="57">
        <v>0</v>
      </c>
      <c r="C74" s="55"/>
      <c r="D74" s="55"/>
      <c r="E74" s="55"/>
      <c r="F74" s="55"/>
      <c r="G74" s="55"/>
      <c r="H74" s="55"/>
      <c r="I74" s="55"/>
      <c r="J74" s="55"/>
      <c r="K74" s="55"/>
      <c r="L74" s="56"/>
    </row>
    <row r="75" spans="1:12" ht="14.25" customHeight="1" x14ac:dyDescent="0.3">
      <c r="A75" s="47" t="s">
        <v>21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6"/>
    </row>
    <row r="76" spans="1:12" ht="14.25" customHeight="1" x14ac:dyDescent="0.3">
      <c r="A76" s="28" t="s">
        <v>68</v>
      </c>
      <c r="B76" s="57">
        <f t="shared" ref="B76:L76" si="22">B63</f>
        <v>450000</v>
      </c>
      <c r="C76" s="57">
        <f t="shared" si="22"/>
        <v>250000</v>
      </c>
      <c r="D76" s="57">
        <f t="shared" si="22"/>
        <v>250000</v>
      </c>
      <c r="E76" s="57">
        <f t="shared" si="22"/>
        <v>250000</v>
      </c>
      <c r="F76" s="57">
        <f t="shared" si="22"/>
        <v>250000</v>
      </c>
      <c r="G76" s="57">
        <f t="shared" si="22"/>
        <v>250000</v>
      </c>
      <c r="H76" s="57">
        <f t="shared" si="22"/>
        <v>0</v>
      </c>
      <c r="I76" s="57">
        <f t="shared" si="22"/>
        <v>0</v>
      </c>
      <c r="J76" s="57">
        <f t="shared" si="22"/>
        <v>0</v>
      </c>
      <c r="K76" s="57">
        <f t="shared" si="22"/>
        <v>0</v>
      </c>
      <c r="L76" s="58">
        <f t="shared" si="22"/>
        <v>-1700000</v>
      </c>
    </row>
    <row r="77" spans="1:12" ht="15.75" customHeight="1" x14ac:dyDescent="0.3">
      <c r="A77" s="40" t="s">
        <v>69</v>
      </c>
      <c r="B77" s="59">
        <f t="shared" ref="B77:L77" si="23">SUM(B68:B76)</f>
        <v>5400000</v>
      </c>
      <c r="C77" s="59">
        <f t="shared" si="23"/>
        <v>250000</v>
      </c>
      <c r="D77" s="59">
        <f t="shared" si="23"/>
        <v>250000</v>
      </c>
      <c r="E77" s="59">
        <f t="shared" si="23"/>
        <v>250000</v>
      </c>
      <c r="F77" s="59">
        <f t="shared" si="23"/>
        <v>250000</v>
      </c>
      <c r="G77" s="59">
        <f t="shared" si="23"/>
        <v>250000</v>
      </c>
      <c r="H77" s="59">
        <f t="shared" si="23"/>
        <v>0</v>
      </c>
      <c r="I77" s="59">
        <f t="shared" si="23"/>
        <v>0</v>
      </c>
      <c r="J77" s="59">
        <f t="shared" si="23"/>
        <v>0</v>
      </c>
      <c r="K77" s="59">
        <f t="shared" si="23"/>
        <v>0</v>
      </c>
      <c r="L77" s="60">
        <f t="shared" si="23"/>
        <v>-1700000</v>
      </c>
    </row>
    <row r="78" spans="1:12" ht="14.25" customHeight="1" x14ac:dyDescent="0.3">
      <c r="B78" s="21"/>
    </row>
    <row r="79" spans="1:12" ht="14.25" customHeight="1" x14ac:dyDescent="0.3">
      <c r="A79" s="22" t="s">
        <v>70</v>
      </c>
      <c r="B79" s="24"/>
    </row>
    <row r="80" spans="1:12" ht="15.75" customHeight="1" x14ac:dyDescent="0.3">
      <c r="A80" s="23" t="s">
        <v>71</v>
      </c>
      <c r="B80" s="24"/>
    </row>
    <row r="81" spans="1:22" ht="14.25" customHeight="1" x14ac:dyDescent="0.3">
      <c r="A81" s="25" t="s">
        <v>36</v>
      </c>
      <c r="B81" s="26" t="s">
        <v>5</v>
      </c>
      <c r="C81" s="26" t="s">
        <v>6</v>
      </c>
      <c r="D81" s="26" t="s">
        <v>7</v>
      </c>
      <c r="E81" s="26" t="s">
        <v>8</v>
      </c>
      <c r="F81" s="26" t="s">
        <v>9</v>
      </c>
      <c r="G81" s="26" t="s">
        <v>10</v>
      </c>
      <c r="H81" s="26" t="s">
        <v>11</v>
      </c>
      <c r="I81" s="26" t="s">
        <v>12</v>
      </c>
      <c r="J81" s="26" t="s">
        <v>13</v>
      </c>
      <c r="K81" s="26" t="s">
        <v>14</v>
      </c>
      <c r="L81" s="27" t="s">
        <v>15</v>
      </c>
      <c r="R81" s="61" t="s">
        <v>72</v>
      </c>
      <c r="S81" s="62" t="s">
        <v>73</v>
      </c>
      <c r="T81" s="62" t="s">
        <v>74</v>
      </c>
      <c r="U81" s="62" t="s">
        <v>75</v>
      </c>
      <c r="V81" s="62" t="s">
        <v>76</v>
      </c>
    </row>
    <row r="82" spans="1:22" ht="14.25" customHeight="1" x14ac:dyDescent="0.3">
      <c r="A82" s="28" t="s">
        <v>77</v>
      </c>
      <c r="B82" s="55"/>
      <c r="C82" s="57">
        <f t="shared" ref="C82:L82" si="24">$V$82</f>
        <v>2500</v>
      </c>
      <c r="D82" s="57">
        <f t="shared" si="24"/>
        <v>2500</v>
      </c>
      <c r="E82" s="57">
        <f t="shared" si="24"/>
        <v>2500</v>
      </c>
      <c r="F82" s="57">
        <f t="shared" si="24"/>
        <v>2500</v>
      </c>
      <c r="G82" s="57">
        <f t="shared" si="24"/>
        <v>2500</v>
      </c>
      <c r="H82" s="57">
        <f t="shared" si="24"/>
        <v>2500</v>
      </c>
      <c r="I82" s="57">
        <f t="shared" si="24"/>
        <v>2500</v>
      </c>
      <c r="J82" s="57">
        <f t="shared" si="24"/>
        <v>2500</v>
      </c>
      <c r="K82" s="57">
        <f t="shared" si="24"/>
        <v>2500</v>
      </c>
      <c r="L82" s="57">
        <f t="shared" si="24"/>
        <v>2500</v>
      </c>
      <c r="R82" s="63" t="s">
        <v>78</v>
      </c>
      <c r="S82" s="15">
        <f>B69</f>
        <v>100000</v>
      </c>
      <c r="T82" s="64">
        <v>50000</v>
      </c>
      <c r="U82" s="65">
        <v>20</v>
      </c>
      <c r="V82" s="15">
        <f>(S82-T82)/U82</f>
        <v>2500</v>
      </c>
    </row>
    <row r="83" spans="1:22" ht="14.25" customHeight="1" x14ac:dyDescent="0.3">
      <c r="A83" s="28" t="s">
        <v>79</v>
      </c>
      <c r="B83" s="55"/>
      <c r="C83" s="57">
        <f t="shared" ref="C83:L83" si="25">$V$83+$V$84</f>
        <v>270000</v>
      </c>
      <c r="D83" s="57">
        <f t="shared" si="25"/>
        <v>270000</v>
      </c>
      <c r="E83" s="57">
        <f t="shared" si="25"/>
        <v>270000</v>
      </c>
      <c r="F83" s="57">
        <f t="shared" si="25"/>
        <v>270000</v>
      </c>
      <c r="G83" s="57">
        <f t="shared" si="25"/>
        <v>270000</v>
      </c>
      <c r="H83" s="57">
        <f t="shared" si="25"/>
        <v>270000</v>
      </c>
      <c r="I83" s="57">
        <f t="shared" si="25"/>
        <v>270000</v>
      </c>
      <c r="J83" s="57">
        <f t="shared" si="25"/>
        <v>270000</v>
      </c>
      <c r="K83" s="57">
        <f t="shared" si="25"/>
        <v>270000</v>
      </c>
      <c r="L83" s="57">
        <f t="shared" si="25"/>
        <v>270000</v>
      </c>
      <c r="R83" s="63" t="s">
        <v>80</v>
      </c>
      <c r="S83" s="15">
        <v>3000000</v>
      </c>
      <c r="T83" s="64">
        <v>1000000</v>
      </c>
      <c r="U83" s="66">
        <v>10</v>
      </c>
      <c r="V83" s="15">
        <f>(S83-T83)/U83</f>
        <v>200000</v>
      </c>
    </row>
    <row r="84" spans="1:22" ht="14.25" customHeight="1" x14ac:dyDescent="0.3">
      <c r="A84" s="28" t="s">
        <v>81</v>
      </c>
      <c r="B84" s="55"/>
      <c r="C84" s="57">
        <f>$V$85</f>
        <v>80000</v>
      </c>
      <c r="D84" s="57">
        <f>$V$85</f>
        <v>80000</v>
      </c>
      <c r="E84" s="57">
        <f>$V$85</f>
        <v>80000</v>
      </c>
      <c r="F84" s="57">
        <f>$V$85</f>
        <v>80000</v>
      </c>
      <c r="G84" s="57">
        <f>$V$85</f>
        <v>80000</v>
      </c>
      <c r="H84" s="57">
        <v>0</v>
      </c>
      <c r="I84" s="57">
        <v>0</v>
      </c>
      <c r="J84" s="57">
        <v>0</v>
      </c>
      <c r="K84" s="57">
        <v>0</v>
      </c>
      <c r="L84" s="57">
        <v>0</v>
      </c>
      <c r="R84" s="63" t="s">
        <v>82</v>
      </c>
      <c r="S84" s="67">
        <f>B70-S83</f>
        <v>700000</v>
      </c>
      <c r="T84" s="63">
        <v>0</v>
      </c>
      <c r="U84" s="65">
        <v>10</v>
      </c>
      <c r="V84" s="15">
        <f>(S84-T84)/U84</f>
        <v>70000</v>
      </c>
    </row>
    <row r="85" spans="1:22" ht="14.25" customHeight="1" x14ac:dyDescent="0.3">
      <c r="A85" s="68" t="s">
        <v>83</v>
      </c>
      <c r="B85" s="69"/>
      <c r="C85" s="70">
        <f t="shared" ref="C85:L85" si="26">SUM(C82:C84)</f>
        <v>352500</v>
      </c>
      <c r="D85" s="70">
        <f t="shared" si="26"/>
        <v>352500</v>
      </c>
      <c r="E85" s="70">
        <f t="shared" si="26"/>
        <v>352500</v>
      </c>
      <c r="F85" s="70">
        <f t="shared" si="26"/>
        <v>352500</v>
      </c>
      <c r="G85" s="70">
        <f t="shared" si="26"/>
        <v>352500</v>
      </c>
      <c r="H85" s="70">
        <f t="shared" si="26"/>
        <v>272500</v>
      </c>
      <c r="I85" s="70">
        <f t="shared" si="26"/>
        <v>272500</v>
      </c>
      <c r="J85" s="70">
        <f t="shared" si="26"/>
        <v>272500</v>
      </c>
      <c r="K85" s="70">
        <f t="shared" si="26"/>
        <v>272500</v>
      </c>
      <c r="L85" s="70">
        <f t="shared" si="26"/>
        <v>272500</v>
      </c>
      <c r="R85" s="63" t="s">
        <v>84</v>
      </c>
      <c r="S85" s="15">
        <f>B71</f>
        <v>400000</v>
      </c>
      <c r="T85" s="64">
        <v>0</v>
      </c>
      <c r="U85" s="66">
        <v>5</v>
      </c>
      <c r="V85" s="15">
        <f>(S85-T85)/U85</f>
        <v>80000</v>
      </c>
    </row>
    <row r="86" spans="1:22" ht="14.25" customHeight="1" x14ac:dyDescent="0.3">
      <c r="A86" s="71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6"/>
      <c r="S86" s="72">
        <f>SUM(S82:S85)</f>
        <v>4200000</v>
      </c>
    </row>
    <row r="87" spans="1:22" ht="14.25" customHeight="1" x14ac:dyDescent="0.3">
      <c r="A87" s="28" t="s">
        <v>85</v>
      </c>
      <c r="B87" s="55"/>
      <c r="C87" s="57">
        <f t="shared" ref="C87:L87" si="27">$B$74/10</f>
        <v>0</v>
      </c>
      <c r="D87" s="57">
        <f t="shared" si="27"/>
        <v>0</v>
      </c>
      <c r="E87" s="57">
        <f t="shared" si="27"/>
        <v>0</v>
      </c>
      <c r="F87" s="57">
        <f t="shared" si="27"/>
        <v>0</v>
      </c>
      <c r="G87" s="57">
        <f t="shared" si="27"/>
        <v>0</v>
      </c>
      <c r="H87" s="57">
        <f t="shared" si="27"/>
        <v>0</v>
      </c>
      <c r="I87" s="57">
        <f t="shared" si="27"/>
        <v>0</v>
      </c>
      <c r="J87" s="57">
        <f t="shared" si="27"/>
        <v>0</v>
      </c>
      <c r="K87" s="57">
        <f t="shared" si="27"/>
        <v>0</v>
      </c>
      <c r="L87" s="73">
        <f t="shared" si="27"/>
        <v>0</v>
      </c>
      <c r="O87" s="74"/>
    </row>
    <row r="88" spans="1:22" ht="15.75" customHeight="1" x14ac:dyDescent="0.3">
      <c r="A88" s="40" t="s">
        <v>86</v>
      </c>
      <c r="B88" s="75"/>
      <c r="C88" s="59">
        <f t="shared" ref="C88:L88" si="28">SUM(C87)</f>
        <v>0</v>
      </c>
      <c r="D88" s="59">
        <f t="shared" si="28"/>
        <v>0</v>
      </c>
      <c r="E88" s="59">
        <f t="shared" si="28"/>
        <v>0</v>
      </c>
      <c r="F88" s="59">
        <f t="shared" si="28"/>
        <v>0</v>
      </c>
      <c r="G88" s="59">
        <f t="shared" si="28"/>
        <v>0</v>
      </c>
      <c r="H88" s="59">
        <f t="shared" si="28"/>
        <v>0</v>
      </c>
      <c r="I88" s="59">
        <f t="shared" si="28"/>
        <v>0</v>
      </c>
      <c r="J88" s="59">
        <f t="shared" si="28"/>
        <v>0</v>
      </c>
      <c r="K88" s="59">
        <f t="shared" si="28"/>
        <v>0</v>
      </c>
      <c r="L88" s="60">
        <f t="shared" si="28"/>
        <v>0</v>
      </c>
      <c r="O88" s="74"/>
    </row>
    <row r="89" spans="1:22" ht="14.25" customHeight="1" x14ac:dyDescent="0.3">
      <c r="B89" s="21"/>
    </row>
    <row r="90" spans="1:22" ht="14.25" customHeight="1" x14ac:dyDescent="0.3">
      <c r="A90" s="22" t="s">
        <v>87</v>
      </c>
      <c r="B90" s="24"/>
    </row>
    <row r="91" spans="1:22" ht="15.75" customHeight="1" x14ac:dyDescent="0.3">
      <c r="A91" s="23" t="s">
        <v>88</v>
      </c>
      <c r="B91" s="24"/>
    </row>
    <row r="92" spans="1:22" ht="14.25" customHeight="1" x14ac:dyDescent="0.3">
      <c r="A92" s="161" t="s">
        <v>36</v>
      </c>
      <c r="B92" s="76" t="s">
        <v>89</v>
      </c>
      <c r="C92" s="162" t="s">
        <v>90</v>
      </c>
      <c r="D92" s="162"/>
      <c r="E92" s="162"/>
      <c r="F92" s="162"/>
      <c r="G92" s="162"/>
      <c r="H92" s="162"/>
      <c r="I92" s="162"/>
      <c r="J92" s="162"/>
      <c r="K92" s="162"/>
      <c r="L92" s="162"/>
      <c r="M92" s="77" t="s">
        <v>91</v>
      </c>
    </row>
    <row r="93" spans="1:22" ht="14.25" customHeight="1" x14ac:dyDescent="0.3">
      <c r="A93" s="161"/>
      <c r="B93" s="62" t="s">
        <v>92</v>
      </c>
      <c r="C93" s="78" t="s">
        <v>6</v>
      </c>
      <c r="D93" s="78" t="s">
        <v>7</v>
      </c>
      <c r="E93" s="78" t="s">
        <v>8</v>
      </c>
      <c r="F93" s="78" t="s">
        <v>9</v>
      </c>
      <c r="G93" s="78" t="s">
        <v>10</v>
      </c>
      <c r="H93" s="78" t="s">
        <v>11</v>
      </c>
      <c r="I93" s="78" t="s">
        <v>12</v>
      </c>
      <c r="J93" s="78" t="s">
        <v>13</v>
      </c>
      <c r="K93" s="78" t="s">
        <v>14</v>
      </c>
      <c r="L93" s="78" t="s">
        <v>15</v>
      </c>
      <c r="M93" s="79" t="s">
        <v>93</v>
      </c>
    </row>
    <row r="94" spans="1:22" ht="14.25" customHeight="1" x14ac:dyDescent="0.3">
      <c r="A94" s="28" t="s">
        <v>77</v>
      </c>
      <c r="B94" s="57">
        <f>B69</f>
        <v>100000</v>
      </c>
      <c r="C94" s="57">
        <f t="shared" ref="C94:L94" si="29">C82</f>
        <v>2500</v>
      </c>
      <c r="D94" s="57">
        <f t="shared" si="29"/>
        <v>2500</v>
      </c>
      <c r="E94" s="57">
        <f t="shared" si="29"/>
        <v>2500</v>
      </c>
      <c r="F94" s="57">
        <f t="shared" si="29"/>
        <v>2500</v>
      </c>
      <c r="G94" s="57">
        <f t="shared" si="29"/>
        <v>2500</v>
      </c>
      <c r="H94" s="57">
        <f t="shared" si="29"/>
        <v>2500</v>
      </c>
      <c r="I94" s="57">
        <f t="shared" si="29"/>
        <v>2500</v>
      </c>
      <c r="J94" s="57">
        <f t="shared" si="29"/>
        <v>2500</v>
      </c>
      <c r="K94" s="57">
        <f t="shared" si="29"/>
        <v>2500</v>
      </c>
      <c r="L94" s="57">
        <f t="shared" si="29"/>
        <v>2500</v>
      </c>
      <c r="M94" s="73">
        <f>B94-SUM(C94:L94)</f>
        <v>75000</v>
      </c>
    </row>
    <row r="95" spans="1:22" ht="14.25" customHeight="1" x14ac:dyDescent="0.3">
      <c r="A95" s="28" t="s">
        <v>79</v>
      </c>
      <c r="B95" s="57">
        <f>B70</f>
        <v>3700000</v>
      </c>
      <c r="C95" s="57">
        <f t="shared" ref="C95:L95" si="30">C83</f>
        <v>270000</v>
      </c>
      <c r="D95" s="57">
        <f t="shared" si="30"/>
        <v>270000</v>
      </c>
      <c r="E95" s="57">
        <f t="shared" si="30"/>
        <v>270000</v>
      </c>
      <c r="F95" s="57">
        <f t="shared" si="30"/>
        <v>270000</v>
      </c>
      <c r="G95" s="57">
        <f t="shared" si="30"/>
        <v>270000</v>
      </c>
      <c r="H95" s="57">
        <f t="shared" si="30"/>
        <v>270000</v>
      </c>
      <c r="I95" s="57">
        <f t="shared" si="30"/>
        <v>270000</v>
      </c>
      <c r="J95" s="57">
        <f t="shared" si="30"/>
        <v>270000</v>
      </c>
      <c r="K95" s="57">
        <f t="shared" si="30"/>
        <v>270000</v>
      </c>
      <c r="L95" s="57">
        <f t="shared" si="30"/>
        <v>270000</v>
      </c>
      <c r="M95" s="73">
        <f>B95-SUM(C95:L95)</f>
        <v>1000000</v>
      </c>
    </row>
    <row r="96" spans="1:22" ht="14.25" customHeight="1" x14ac:dyDescent="0.3">
      <c r="A96" s="28" t="s">
        <v>81</v>
      </c>
      <c r="B96" s="57">
        <f>B71</f>
        <v>400000</v>
      </c>
      <c r="C96" s="57">
        <f t="shared" ref="C96:L96" si="31">C84</f>
        <v>80000</v>
      </c>
      <c r="D96" s="57">
        <f t="shared" si="31"/>
        <v>80000</v>
      </c>
      <c r="E96" s="57">
        <f t="shared" si="31"/>
        <v>80000</v>
      </c>
      <c r="F96" s="57">
        <f t="shared" si="31"/>
        <v>80000</v>
      </c>
      <c r="G96" s="57">
        <f t="shared" si="31"/>
        <v>80000</v>
      </c>
      <c r="H96" s="57">
        <f t="shared" si="31"/>
        <v>0</v>
      </c>
      <c r="I96" s="57">
        <f t="shared" si="31"/>
        <v>0</v>
      </c>
      <c r="J96" s="57">
        <f t="shared" si="31"/>
        <v>0</v>
      </c>
      <c r="K96" s="57">
        <f t="shared" si="31"/>
        <v>0</v>
      </c>
      <c r="L96" s="57">
        <f t="shared" si="31"/>
        <v>0</v>
      </c>
      <c r="M96" s="73">
        <f>B96-SUM(C96:L96)</f>
        <v>0</v>
      </c>
    </row>
    <row r="97" spans="1:13" ht="15.75" customHeight="1" x14ac:dyDescent="0.3">
      <c r="A97" s="80" t="s">
        <v>85</v>
      </c>
      <c r="B97" s="81">
        <f>B74</f>
        <v>0</v>
      </c>
      <c r="C97" s="81">
        <f t="shared" ref="C97:L97" si="32">C87</f>
        <v>0</v>
      </c>
      <c r="D97" s="81">
        <f t="shared" si="32"/>
        <v>0</v>
      </c>
      <c r="E97" s="81">
        <f t="shared" si="32"/>
        <v>0</v>
      </c>
      <c r="F97" s="81">
        <f t="shared" si="32"/>
        <v>0</v>
      </c>
      <c r="G97" s="81">
        <f t="shared" si="32"/>
        <v>0</v>
      </c>
      <c r="H97" s="81">
        <f t="shared" si="32"/>
        <v>0</v>
      </c>
      <c r="I97" s="81">
        <f t="shared" si="32"/>
        <v>0</v>
      </c>
      <c r="J97" s="81">
        <f t="shared" si="32"/>
        <v>0</v>
      </c>
      <c r="K97" s="81">
        <f t="shared" si="32"/>
        <v>0</v>
      </c>
      <c r="L97" s="81">
        <f t="shared" si="32"/>
        <v>0</v>
      </c>
      <c r="M97" s="82">
        <f>B97-SUM(C97:L97)</f>
        <v>0</v>
      </c>
    </row>
    <row r="98" spans="1:13" ht="15.75" customHeight="1" x14ac:dyDescent="0.3">
      <c r="A98" s="163" t="s">
        <v>94</v>
      </c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83">
        <f>SUM(M94:M97)</f>
        <v>1075000</v>
      </c>
    </row>
    <row r="99" spans="1:13" ht="14.25" customHeight="1" x14ac:dyDescent="0.3">
      <c r="B99" s="21"/>
    </row>
    <row r="100" spans="1:13" ht="14.25" customHeight="1" x14ac:dyDescent="0.3">
      <c r="A100" s="22" t="s">
        <v>95</v>
      </c>
      <c r="B100" s="24"/>
    </row>
    <row r="101" spans="1:13" ht="15.75" customHeight="1" x14ac:dyDescent="0.3">
      <c r="A101" s="44" t="s">
        <v>96</v>
      </c>
      <c r="B101" s="42"/>
      <c r="C101" s="43"/>
      <c r="D101" s="43"/>
      <c r="E101" s="43"/>
    </row>
    <row r="102" spans="1:13" ht="14.25" customHeight="1" x14ac:dyDescent="0.3">
      <c r="A102" s="84" t="s">
        <v>97</v>
      </c>
      <c r="B102" s="85">
        <f>B77*E102</f>
        <v>0</v>
      </c>
      <c r="C102" s="86"/>
      <c r="D102" s="43"/>
      <c r="E102" s="87">
        <v>0</v>
      </c>
    </row>
    <row r="103" spans="1:13" ht="14.25" customHeight="1" x14ac:dyDescent="0.3">
      <c r="A103" s="28" t="s">
        <v>98</v>
      </c>
      <c r="B103" s="88">
        <f>B22</f>
        <v>0.1</v>
      </c>
      <c r="C103" s="89"/>
      <c r="D103" s="43"/>
      <c r="E103" s="43"/>
    </row>
    <row r="104" spans="1:13" ht="14.25" customHeight="1" x14ac:dyDescent="0.3">
      <c r="A104" s="28" t="s">
        <v>99</v>
      </c>
      <c r="B104" s="90">
        <v>7</v>
      </c>
      <c r="C104" s="91" t="s">
        <v>100</v>
      </c>
      <c r="D104" s="43"/>
      <c r="E104" s="43"/>
    </row>
    <row r="105" spans="1:13" ht="15.75" customHeight="1" x14ac:dyDescent="0.3">
      <c r="A105" s="92" t="s">
        <v>101</v>
      </c>
      <c r="B105" s="159" t="s">
        <v>102</v>
      </c>
      <c r="C105" s="159"/>
      <c r="D105" s="43"/>
      <c r="E105" s="43"/>
    </row>
    <row r="106" spans="1:13" ht="15.75" customHeight="1" x14ac:dyDescent="0.3">
      <c r="A106" s="43"/>
      <c r="B106" s="42"/>
      <c r="C106" s="43"/>
      <c r="D106" s="43"/>
      <c r="E106" s="43"/>
    </row>
    <row r="107" spans="1:13" ht="14.25" customHeight="1" x14ac:dyDescent="0.3">
      <c r="A107" s="25" t="s">
        <v>36</v>
      </c>
      <c r="B107" s="26" t="s">
        <v>5</v>
      </c>
      <c r="C107" s="26" t="s">
        <v>6</v>
      </c>
      <c r="D107" s="26" t="s">
        <v>7</v>
      </c>
      <c r="E107" s="26" t="s">
        <v>8</v>
      </c>
      <c r="F107" s="26" t="s">
        <v>9</v>
      </c>
      <c r="G107" s="26" t="s">
        <v>10</v>
      </c>
      <c r="H107" s="26" t="s">
        <v>11</v>
      </c>
      <c r="I107" s="26" t="s">
        <v>12</v>
      </c>
    </row>
    <row r="108" spans="1:13" ht="14.25" customHeight="1" x14ac:dyDescent="0.3">
      <c r="A108" s="28" t="s">
        <v>103</v>
      </c>
      <c r="B108" s="57">
        <f>B102</f>
        <v>0</v>
      </c>
      <c r="C108" s="57">
        <f t="shared" ref="C108:I108" si="33">B108-C111</f>
        <v>0</v>
      </c>
      <c r="D108" s="57">
        <f t="shared" si="33"/>
        <v>0</v>
      </c>
      <c r="E108" s="57">
        <f t="shared" si="33"/>
        <v>0</v>
      </c>
      <c r="F108" s="57">
        <f t="shared" si="33"/>
        <v>0</v>
      </c>
      <c r="G108" s="57">
        <f t="shared" si="33"/>
        <v>0</v>
      </c>
      <c r="H108" s="57">
        <f t="shared" si="33"/>
        <v>0</v>
      </c>
      <c r="I108" s="57">
        <f t="shared" si="33"/>
        <v>0</v>
      </c>
    </row>
    <row r="109" spans="1:13" ht="14.25" customHeight="1" x14ac:dyDescent="0.3">
      <c r="A109" s="28" t="s">
        <v>104</v>
      </c>
      <c r="B109" s="55"/>
      <c r="C109" s="57">
        <f>C110</f>
        <v>0</v>
      </c>
      <c r="D109" s="57">
        <f>D110</f>
        <v>0</v>
      </c>
      <c r="E109" s="57">
        <v>0</v>
      </c>
      <c r="F109" s="57">
        <v>0</v>
      </c>
      <c r="G109" s="57">
        <v>0</v>
      </c>
      <c r="H109" s="57">
        <v>0</v>
      </c>
      <c r="I109" s="57">
        <f>(H108*B103)+H108</f>
        <v>0</v>
      </c>
    </row>
    <row r="110" spans="1:13" ht="14.25" customHeight="1" x14ac:dyDescent="0.3">
      <c r="A110" s="28" t="s">
        <v>105</v>
      </c>
      <c r="B110" s="55"/>
      <c r="C110" s="57">
        <f t="shared" ref="C110:I110" si="34">B108*$B$103</f>
        <v>0</v>
      </c>
      <c r="D110" s="57">
        <f t="shared" si="34"/>
        <v>0</v>
      </c>
      <c r="E110" s="57">
        <f t="shared" si="34"/>
        <v>0</v>
      </c>
      <c r="F110" s="57">
        <f t="shared" si="34"/>
        <v>0</v>
      </c>
      <c r="G110" s="57">
        <f t="shared" si="34"/>
        <v>0</v>
      </c>
      <c r="H110" s="57">
        <f t="shared" si="34"/>
        <v>0</v>
      </c>
      <c r="I110" s="57">
        <f t="shared" si="34"/>
        <v>0</v>
      </c>
    </row>
    <row r="111" spans="1:13" ht="15.75" customHeight="1" x14ac:dyDescent="0.3">
      <c r="A111" s="92" t="s">
        <v>106</v>
      </c>
      <c r="B111" s="93"/>
      <c r="C111" s="81">
        <f t="shared" ref="C111:I111" si="35">C109-C110</f>
        <v>0</v>
      </c>
      <c r="D111" s="81">
        <f t="shared" si="35"/>
        <v>0</v>
      </c>
      <c r="E111" s="81">
        <f t="shared" si="35"/>
        <v>0</v>
      </c>
      <c r="F111" s="81">
        <f t="shared" si="35"/>
        <v>0</v>
      </c>
      <c r="G111" s="81">
        <f t="shared" si="35"/>
        <v>0</v>
      </c>
      <c r="H111" s="81">
        <f t="shared" si="35"/>
        <v>0</v>
      </c>
      <c r="I111" s="81">
        <f t="shared" si="35"/>
        <v>0</v>
      </c>
    </row>
    <row r="112" spans="1:13" ht="14.25" customHeight="1" x14ac:dyDescent="0.3">
      <c r="B112" s="21"/>
    </row>
    <row r="113" spans="1:12" ht="14.25" customHeight="1" x14ac:dyDescent="0.3">
      <c r="A113" s="22" t="s">
        <v>107</v>
      </c>
      <c r="B113" s="24"/>
    </row>
    <row r="114" spans="1:12" ht="15.75" customHeight="1" x14ac:dyDescent="0.3">
      <c r="A114" s="4" t="s">
        <v>108</v>
      </c>
      <c r="B114" s="24"/>
    </row>
    <row r="115" spans="1:12" ht="14.25" customHeight="1" x14ac:dyDescent="0.3">
      <c r="A115" s="25" t="s">
        <v>36</v>
      </c>
      <c r="B115" s="26" t="s">
        <v>5</v>
      </c>
      <c r="C115" s="26" t="s">
        <v>6</v>
      </c>
      <c r="D115" s="26" t="s">
        <v>7</v>
      </c>
      <c r="E115" s="26" t="s">
        <v>8</v>
      </c>
      <c r="F115" s="26" t="s">
        <v>9</v>
      </c>
      <c r="G115" s="26" t="s">
        <v>10</v>
      </c>
      <c r="H115" s="26" t="s">
        <v>11</v>
      </c>
      <c r="I115" s="26" t="s">
        <v>12</v>
      </c>
      <c r="J115" s="26" t="s">
        <v>13</v>
      </c>
      <c r="K115" s="26" t="s">
        <v>14</v>
      </c>
      <c r="L115" s="27" t="s">
        <v>15</v>
      </c>
    </row>
    <row r="116" spans="1:12" ht="14.25" customHeight="1" x14ac:dyDescent="0.3">
      <c r="A116" s="94" t="s">
        <v>109</v>
      </c>
      <c r="B116" s="95"/>
      <c r="C116" s="96">
        <f t="shared" ref="C116:L116" si="36">C33</f>
        <v>2214949.9715030491</v>
      </c>
      <c r="D116" s="96">
        <f t="shared" si="36"/>
        <v>3412794.9160918985</v>
      </c>
      <c r="E116" s="96">
        <f t="shared" si="36"/>
        <v>4260305.6535880528</v>
      </c>
      <c r="F116" s="96">
        <f t="shared" si="36"/>
        <v>5209745.1992448196</v>
      </c>
      <c r="G116" s="96">
        <f t="shared" si="36"/>
        <v>6271230.783590951</v>
      </c>
      <c r="H116" s="96">
        <f t="shared" si="36"/>
        <v>6710216.9384423178</v>
      </c>
      <c r="I116" s="96">
        <f t="shared" si="36"/>
        <v>7179932.1241332805</v>
      </c>
      <c r="J116" s="96">
        <f t="shared" si="36"/>
        <v>7682527.3728226097</v>
      </c>
      <c r="K116" s="96">
        <f t="shared" si="36"/>
        <v>8220304.288920193</v>
      </c>
      <c r="L116" s="97">
        <f t="shared" si="36"/>
        <v>8795725.589144608</v>
      </c>
    </row>
    <row r="117" spans="1:12" ht="14.25" customHeight="1" x14ac:dyDescent="0.3">
      <c r="A117" s="98" t="s">
        <v>110</v>
      </c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7">
        <f>B19</f>
        <v>1250000</v>
      </c>
    </row>
    <row r="118" spans="1:12" ht="14.25" customHeight="1" x14ac:dyDescent="0.3">
      <c r="A118" s="94" t="s">
        <v>111</v>
      </c>
      <c r="B118" s="95"/>
      <c r="C118" s="96">
        <f t="shared" ref="C118:L118" si="37">SUM(C119:C121)</f>
        <v>1582187.5</v>
      </c>
      <c r="D118" s="96">
        <f t="shared" si="37"/>
        <v>2320134.5</v>
      </c>
      <c r="E118" s="96">
        <f t="shared" si="37"/>
        <v>2848597.0674999999</v>
      </c>
      <c r="F118" s="96">
        <f t="shared" si="37"/>
        <v>3439675.7354000001</v>
      </c>
      <c r="G118" s="96">
        <f t="shared" si="37"/>
        <v>4099547.29117525</v>
      </c>
      <c r="H118" s="96">
        <f t="shared" si="37"/>
        <v>4386515.6015575174</v>
      </c>
      <c r="I118" s="96">
        <f t="shared" si="37"/>
        <v>4693571.6936665447</v>
      </c>
      <c r="J118" s="96">
        <f t="shared" si="37"/>
        <v>5022121.7122232029</v>
      </c>
      <c r="K118" s="96">
        <f t="shared" si="37"/>
        <v>5373670.2320788261</v>
      </c>
      <c r="L118" s="97">
        <f t="shared" si="37"/>
        <v>5749827.1483243443</v>
      </c>
    </row>
    <row r="119" spans="1:12" ht="14.25" customHeight="1" x14ac:dyDescent="0.3">
      <c r="A119" s="99" t="s">
        <v>112</v>
      </c>
      <c r="B119" s="100"/>
      <c r="C119" s="15">
        <f t="shared" ref="C119:L119" si="38">C39</f>
        <v>1332187.5</v>
      </c>
      <c r="D119" s="15">
        <f t="shared" si="38"/>
        <v>2052634.4999999998</v>
      </c>
      <c r="E119" s="15">
        <f t="shared" si="38"/>
        <v>2562372.0674999999</v>
      </c>
      <c r="F119" s="15">
        <f t="shared" si="38"/>
        <v>3133414.9854000001</v>
      </c>
      <c r="G119" s="15">
        <f t="shared" si="38"/>
        <v>3771848.28867525</v>
      </c>
      <c r="H119" s="15">
        <f t="shared" si="38"/>
        <v>4035877.6688825176</v>
      </c>
      <c r="I119" s="15">
        <f t="shared" si="38"/>
        <v>4318389.1057042945</v>
      </c>
      <c r="J119" s="15">
        <f t="shared" si="38"/>
        <v>4620676.3431035951</v>
      </c>
      <c r="K119" s="15">
        <f t="shared" si="38"/>
        <v>4944123.6871208465</v>
      </c>
      <c r="L119" s="101">
        <f t="shared" si="38"/>
        <v>5290212.3452193057</v>
      </c>
    </row>
    <row r="120" spans="1:12" ht="14.25" customHeight="1" x14ac:dyDescent="0.3">
      <c r="A120" s="99" t="s">
        <v>113</v>
      </c>
      <c r="B120" s="100"/>
      <c r="C120" s="15">
        <f t="shared" ref="C120:L120" si="39">C46</f>
        <v>250000</v>
      </c>
      <c r="D120" s="15">
        <f t="shared" si="39"/>
        <v>267500</v>
      </c>
      <c r="E120" s="15">
        <f t="shared" si="39"/>
        <v>286225</v>
      </c>
      <c r="F120" s="15">
        <f t="shared" si="39"/>
        <v>306260.75</v>
      </c>
      <c r="G120" s="15">
        <f t="shared" si="39"/>
        <v>327699.0025</v>
      </c>
      <c r="H120" s="15">
        <f t="shared" si="39"/>
        <v>350637.93267499999</v>
      </c>
      <c r="I120" s="15">
        <f t="shared" si="39"/>
        <v>375182.58796224999</v>
      </c>
      <c r="J120" s="15">
        <f t="shared" si="39"/>
        <v>401445.36911960749</v>
      </c>
      <c r="K120" s="15">
        <f t="shared" si="39"/>
        <v>429546.54495797999</v>
      </c>
      <c r="L120" s="101">
        <f t="shared" si="39"/>
        <v>459614.80310503859</v>
      </c>
    </row>
    <row r="121" spans="1:12" ht="14.25" customHeight="1" x14ac:dyDescent="0.3">
      <c r="A121" s="99" t="s">
        <v>114</v>
      </c>
      <c r="B121" s="100"/>
      <c r="C121" s="15">
        <f t="shared" ref="C121:L121" si="40">C110</f>
        <v>0</v>
      </c>
      <c r="D121" s="15">
        <f t="shared" si="40"/>
        <v>0</v>
      </c>
      <c r="E121" s="15">
        <f t="shared" si="40"/>
        <v>0</v>
      </c>
      <c r="F121" s="15">
        <f t="shared" si="40"/>
        <v>0</v>
      </c>
      <c r="G121" s="15">
        <f t="shared" si="40"/>
        <v>0</v>
      </c>
      <c r="H121" s="15">
        <f t="shared" si="40"/>
        <v>0</v>
      </c>
      <c r="I121" s="15">
        <f t="shared" si="40"/>
        <v>0</v>
      </c>
      <c r="J121" s="15">
        <f t="shared" si="40"/>
        <v>0</v>
      </c>
      <c r="K121" s="15">
        <f t="shared" si="40"/>
        <v>0</v>
      </c>
      <c r="L121" s="101">
        <f t="shared" si="40"/>
        <v>0</v>
      </c>
    </row>
    <row r="122" spans="1:12" ht="14.25" customHeight="1" x14ac:dyDescent="0.3">
      <c r="A122" s="94" t="s">
        <v>115</v>
      </c>
      <c r="B122" s="95"/>
      <c r="C122" s="96">
        <f t="shared" ref="C122:L122" si="41">SUM(C123:C124)</f>
        <v>352500</v>
      </c>
      <c r="D122" s="96">
        <f t="shared" si="41"/>
        <v>352500</v>
      </c>
      <c r="E122" s="96">
        <f t="shared" si="41"/>
        <v>352500</v>
      </c>
      <c r="F122" s="96">
        <f t="shared" si="41"/>
        <v>352500</v>
      </c>
      <c r="G122" s="96">
        <f t="shared" si="41"/>
        <v>352500</v>
      </c>
      <c r="H122" s="96">
        <f t="shared" si="41"/>
        <v>272500</v>
      </c>
      <c r="I122" s="96">
        <f t="shared" si="41"/>
        <v>272500</v>
      </c>
      <c r="J122" s="96">
        <f t="shared" si="41"/>
        <v>272500</v>
      </c>
      <c r="K122" s="96">
        <f t="shared" si="41"/>
        <v>272500</v>
      </c>
      <c r="L122" s="97">
        <f t="shared" si="41"/>
        <v>272500</v>
      </c>
    </row>
    <row r="123" spans="1:12" ht="14.25" customHeight="1" x14ac:dyDescent="0.3">
      <c r="A123" s="99" t="s">
        <v>116</v>
      </c>
      <c r="B123" s="100"/>
      <c r="C123" s="15">
        <f t="shared" ref="C123:L123" si="42">C85</f>
        <v>352500</v>
      </c>
      <c r="D123" s="15">
        <f t="shared" si="42"/>
        <v>352500</v>
      </c>
      <c r="E123" s="15">
        <f t="shared" si="42"/>
        <v>352500</v>
      </c>
      <c r="F123" s="15">
        <f t="shared" si="42"/>
        <v>352500</v>
      </c>
      <c r="G123" s="15">
        <f t="shared" si="42"/>
        <v>352500</v>
      </c>
      <c r="H123" s="15">
        <f t="shared" si="42"/>
        <v>272500</v>
      </c>
      <c r="I123" s="15">
        <f t="shared" si="42"/>
        <v>272500</v>
      </c>
      <c r="J123" s="15">
        <f t="shared" si="42"/>
        <v>272500</v>
      </c>
      <c r="K123" s="15">
        <f t="shared" si="42"/>
        <v>272500</v>
      </c>
      <c r="L123" s="101">
        <f t="shared" si="42"/>
        <v>272500</v>
      </c>
    </row>
    <row r="124" spans="1:12" ht="14.25" customHeight="1" x14ac:dyDescent="0.3">
      <c r="A124" s="99" t="s">
        <v>117</v>
      </c>
      <c r="B124" s="100"/>
      <c r="C124" s="15">
        <f t="shared" ref="C124:L124" si="43">C87</f>
        <v>0</v>
      </c>
      <c r="D124" s="15">
        <f t="shared" si="43"/>
        <v>0</v>
      </c>
      <c r="E124" s="15">
        <f t="shared" si="43"/>
        <v>0</v>
      </c>
      <c r="F124" s="15">
        <f t="shared" si="43"/>
        <v>0</v>
      </c>
      <c r="G124" s="15">
        <f t="shared" si="43"/>
        <v>0</v>
      </c>
      <c r="H124" s="15">
        <f t="shared" si="43"/>
        <v>0</v>
      </c>
      <c r="I124" s="15">
        <f t="shared" si="43"/>
        <v>0</v>
      </c>
      <c r="J124" s="15">
        <f t="shared" si="43"/>
        <v>0</v>
      </c>
      <c r="K124" s="15">
        <f t="shared" si="43"/>
        <v>0</v>
      </c>
      <c r="L124" s="101">
        <f t="shared" si="43"/>
        <v>0</v>
      </c>
    </row>
    <row r="125" spans="1:12" ht="14.25" customHeight="1" x14ac:dyDescent="0.3">
      <c r="A125" s="94" t="s">
        <v>118</v>
      </c>
      <c r="B125" s="95"/>
      <c r="C125" s="96">
        <f t="shared" ref="C125:L125" si="44">C116+C117-C118-C122</f>
        <v>280262.47150304914</v>
      </c>
      <c r="D125" s="96">
        <f t="shared" si="44"/>
        <v>740160.41609189846</v>
      </c>
      <c r="E125" s="96">
        <f t="shared" si="44"/>
        <v>1059208.586088053</v>
      </c>
      <c r="F125" s="96">
        <f t="shared" si="44"/>
        <v>1417569.4638448195</v>
      </c>
      <c r="G125" s="96">
        <f t="shared" si="44"/>
        <v>1819183.492415701</v>
      </c>
      <c r="H125" s="96">
        <f t="shared" si="44"/>
        <v>2051201.3368848003</v>
      </c>
      <c r="I125" s="96">
        <f t="shared" si="44"/>
        <v>2213860.4304667357</v>
      </c>
      <c r="J125" s="96">
        <f t="shared" si="44"/>
        <v>2387905.6605994068</v>
      </c>
      <c r="K125" s="96">
        <f t="shared" si="44"/>
        <v>2574134.0568413669</v>
      </c>
      <c r="L125" s="96">
        <f t="shared" si="44"/>
        <v>4023398.4408202637</v>
      </c>
    </row>
    <row r="126" spans="1:12" ht="14.25" customHeight="1" x14ac:dyDescent="0.3">
      <c r="A126" s="99" t="s">
        <v>119</v>
      </c>
      <c r="B126" s="100"/>
      <c r="C126" s="10">
        <f t="shared" ref="C126:L126" si="45">C125*$B$26</f>
        <v>84078.741450914735</v>
      </c>
      <c r="D126" s="15">
        <f t="shared" si="45"/>
        <v>222048.12482756953</v>
      </c>
      <c r="E126" s="15">
        <f t="shared" si="45"/>
        <v>317762.57582641585</v>
      </c>
      <c r="F126" s="15">
        <f t="shared" si="45"/>
        <v>425270.83915344585</v>
      </c>
      <c r="G126" s="15">
        <f t="shared" si="45"/>
        <v>545755.04772471031</v>
      </c>
      <c r="H126" s="15">
        <f t="shared" si="45"/>
        <v>615360.40106544003</v>
      </c>
      <c r="I126" s="15">
        <f t="shared" si="45"/>
        <v>664158.1291400207</v>
      </c>
      <c r="J126" s="15">
        <f t="shared" si="45"/>
        <v>716371.69817982207</v>
      </c>
      <c r="K126" s="15">
        <f t="shared" si="45"/>
        <v>772240.21705241001</v>
      </c>
      <c r="L126" s="101">
        <f t="shared" si="45"/>
        <v>1207019.5322460791</v>
      </c>
    </row>
    <row r="127" spans="1:12" ht="14.25" customHeight="1" x14ac:dyDescent="0.3">
      <c r="A127" s="94" t="s">
        <v>120</v>
      </c>
      <c r="B127" s="95"/>
      <c r="C127" s="96">
        <f t="shared" ref="C127:L127" si="46">C125-C126</f>
        <v>196183.7300521344</v>
      </c>
      <c r="D127" s="96">
        <f t="shared" si="46"/>
        <v>518112.29126432893</v>
      </c>
      <c r="E127" s="96">
        <f t="shared" si="46"/>
        <v>741446.01026163716</v>
      </c>
      <c r="F127" s="96">
        <f t="shared" si="46"/>
        <v>992298.62469137367</v>
      </c>
      <c r="G127" s="96">
        <f t="shared" si="46"/>
        <v>1273428.4446909907</v>
      </c>
      <c r="H127" s="96">
        <f t="shared" si="46"/>
        <v>1435840.9358193604</v>
      </c>
      <c r="I127" s="96">
        <f t="shared" si="46"/>
        <v>1549702.3013267149</v>
      </c>
      <c r="J127" s="96">
        <f t="shared" si="46"/>
        <v>1671533.9624195849</v>
      </c>
      <c r="K127" s="96">
        <f t="shared" si="46"/>
        <v>1801893.839788957</v>
      </c>
      <c r="L127" s="97">
        <f t="shared" si="46"/>
        <v>2816378.9085741844</v>
      </c>
    </row>
    <row r="128" spans="1:12" ht="14.25" customHeight="1" x14ac:dyDescent="0.3">
      <c r="A128" s="98" t="s">
        <v>121</v>
      </c>
      <c r="B128" s="95"/>
      <c r="C128" s="96">
        <f t="shared" ref="C128:L128" si="47">SUM(C129:C130)</f>
        <v>352500</v>
      </c>
      <c r="D128" s="96">
        <f t="shared" si="47"/>
        <v>352500</v>
      </c>
      <c r="E128" s="96">
        <f t="shared" si="47"/>
        <v>352500</v>
      </c>
      <c r="F128" s="96">
        <f t="shared" si="47"/>
        <v>352500</v>
      </c>
      <c r="G128" s="96">
        <f t="shared" si="47"/>
        <v>352500</v>
      </c>
      <c r="H128" s="96">
        <f t="shared" si="47"/>
        <v>272500</v>
      </c>
      <c r="I128" s="96">
        <f t="shared" si="47"/>
        <v>272500</v>
      </c>
      <c r="J128" s="96">
        <f t="shared" si="47"/>
        <v>272500</v>
      </c>
      <c r="K128" s="96">
        <f t="shared" si="47"/>
        <v>272500</v>
      </c>
      <c r="L128" s="97">
        <f t="shared" si="47"/>
        <v>272500</v>
      </c>
    </row>
    <row r="129" spans="1:12" ht="14.25" customHeight="1" x14ac:dyDescent="0.3">
      <c r="A129" s="99" t="s">
        <v>116</v>
      </c>
      <c r="B129" s="100"/>
      <c r="C129" s="15">
        <f t="shared" ref="C129:L129" si="48">C123</f>
        <v>352500</v>
      </c>
      <c r="D129" s="15">
        <f t="shared" si="48"/>
        <v>352500</v>
      </c>
      <c r="E129" s="15">
        <f t="shared" si="48"/>
        <v>352500</v>
      </c>
      <c r="F129" s="15">
        <f t="shared" si="48"/>
        <v>352500</v>
      </c>
      <c r="G129" s="15">
        <f t="shared" si="48"/>
        <v>352500</v>
      </c>
      <c r="H129" s="15">
        <f t="shared" si="48"/>
        <v>272500</v>
      </c>
      <c r="I129" s="15">
        <f t="shared" si="48"/>
        <v>272500</v>
      </c>
      <c r="J129" s="15">
        <f t="shared" si="48"/>
        <v>272500</v>
      </c>
      <c r="K129" s="15">
        <f t="shared" si="48"/>
        <v>272500</v>
      </c>
      <c r="L129" s="101">
        <f t="shared" si="48"/>
        <v>272500</v>
      </c>
    </row>
    <row r="130" spans="1:12" ht="14.25" customHeight="1" x14ac:dyDescent="0.3">
      <c r="A130" s="99" t="s">
        <v>117</v>
      </c>
      <c r="B130" s="100"/>
      <c r="C130" s="15">
        <f t="shared" ref="C130:L130" si="49">C124</f>
        <v>0</v>
      </c>
      <c r="D130" s="15">
        <f t="shared" si="49"/>
        <v>0</v>
      </c>
      <c r="E130" s="15">
        <f t="shared" si="49"/>
        <v>0</v>
      </c>
      <c r="F130" s="15">
        <f t="shared" si="49"/>
        <v>0</v>
      </c>
      <c r="G130" s="15">
        <f t="shared" si="49"/>
        <v>0</v>
      </c>
      <c r="H130" s="15">
        <f t="shared" si="49"/>
        <v>0</v>
      </c>
      <c r="I130" s="15">
        <f t="shared" si="49"/>
        <v>0</v>
      </c>
      <c r="J130" s="15">
        <f t="shared" si="49"/>
        <v>0</v>
      </c>
      <c r="K130" s="15">
        <f t="shared" si="49"/>
        <v>0</v>
      </c>
      <c r="L130" s="101">
        <f t="shared" si="49"/>
        <v>0</v>
      </c>
    </row>
    <row r="131" spans="1:12" ht="14.25" customHeight="1" x14ac:dyDescent="0.3">
      <c r="A131" s="94" t="s">
        <v>122</v>
      </c>
      <c r="B131" s="96">
        <f t="shared" ref="B131:L131" si="50">SUM(B132:B134)</f>
        <v>0</v>
      </c>
      <c r="C131" s="96">
        <f t="shared" si="50"/>
        <v>0</v>
      </c>
      <c r="D131" s="96">
        <f t="shared" si="50"/>
        <v>0</v>
      </c>
      <c r="E131" s="96">
        <f t="shared" si="50"/>
        <v>0</v>
      </c>
      <c r="F131" s="96">
        <f t="shared" si="50"/>
        <v>0</v>
      </c>
      <c r="G131" s="96">
        <f t="shared" si="50"/>
        <v>0</v>
      </c>
      <c r="H131" s="96">
        <f t="shared" si="50"/>
        <v>0</v>
      </c>
      <c r="I131" s="96">
        <f t="shared" si="50"/>
        <v>0</v>
      </c>
      <c r="J131" s="96">
        <f t="shared" si="50"/>
        <v>0</v>
      </c>
      <c r="K131" s="96">
        <f t="shared" si="50"/>
        <v>0</v>
      </c>
      <c r="L131" s="97">
        <f t="shared" si="50"/>
        <v>2775000</v>
      </c>
    </row>
    <row r="132" spans="1:12" ht="14.25" customHeight="1" x14ac:dyDescent="0.3">
      <c r="A132" s="99" t="s">
        <v>123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1">
        <f>M98</f>
        <v>1075000</v>
      </c>
    </row>
    <row r="133" spans="1:12" ht="14.25" customHeight="1" x14ac:dyDescent="0.3">
      <c r="A133" s="99" t="s">
        <v>124</v>
      </c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1">
        <f>-L77</f>
        <v>1700000</v>
      </c>
    </row>
    <row r="134" spans="1:12" ht="14.25" customHeight="1" x14ac:dyDescent="0.3">
      <c r="A134" s="99" t="s">
        <v>125</v>
      </c>
      <c r="B134" s="15">
        <f>B102</f>
        <v>0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2"/>
    </row>
    <row r="135" spans="1:12" ht="14.25" customHeight="1" x14ac:dyDescent="0.3">
      <c r="A135" s="94" t="s">
        <v>126</v>
      </c>
      <c r="B135" s="96">
        <f t="shared" ref="B135:L135" si="51">SUM(B136:B139)</f>
        <v>5400000</v>
      </c>
      <c r="C135" s="96">
        <f t="shared" si="51"/>
        <v>250000</v>
      </c>
      <c r="D135" s="96">
        <f t="shared" si="51"/>
        <v>250000</v>
      </c>
      <c r="E135" s="96">
        <f t="shared" si="51"/>
        <v>250000</v>
      </c>
      <c r="F135" s="96">
        <f t="shared" si="51"/>
        <v>250000</v>
      </c>
      <c r="G135" s="96">
        <f t="shared" si="51"/>
        <v>250000</v>
      </c>
      <c r="H135" s="96">
        <f t="shared" si="51"/>
        <v>0</v>
      </c>
      <c r="I135" s="96">
        <f t="shared" si="51"/>
        <v>0</v>
      </c>
      <c r="J135" s="96">
        <f t="shared" si="51"/>
        <v>0</v>
      </c>
      <c r="K135" s="96">
        <f t="shared" si="51"/>
        <v>0</v>
      </c>
      <c r="L135" s="97">
        <f t="shared" si="51"/>
        <v>0</v>
      </c>
    </row>
    <row r="136" spans="1:12" ht="14.25" customHeight="1" x14ac:dyDescent="0.3">
      <c r="A136" s="99" t="s">
        <v>127</v>
      </c>
      <c r="B136" s="96">
        <f>SUM(B69:B72)</f>
        <v>4950000</v>
      </c>
      <c r="C136" s="95"/>
      <c r="D136" s="95"/>
      <c r="E136" s="95"/>
      <c r="F136" s="95"/>
      <c r="G136" s="96">
        <f>G69</f>
        <v>0</v>
      </c>
      <c r="H136" s="95"/>
      <c r="I136" s="95"/>
      <c r="J136" s="95"/>
      <c r="K136" s="95"/>
      <c r="L136" s="103"/>
    </row>
    <row r="137" spans="1:12" ht="14.25" customHeight="1" x14ac:dyDescent="0.3">
      <c r="A137" s="99" t="s">
        <v>128</v>
      </c>
      <c r="B137" s="15">
        <f>B74</f>
        <v>0</v>
      </c>
      <c r="C137" s="100"/>
      <c r="D137" s="100"/>
      <c r="E137" s="100"/>
      <c r="F137" s="100"/>
      <c r="G137" s="100"/>
      <c r="H137" s="100"/>
      <c r="I137" s="100"/>
      <c r="J137" s="100"/>
      <c r="K137" s="100"/>
      <c r="L137" s="102"/>
    </row>
    <row r="138" spans="1:12" ht="14.25" customHeight="1" x14ac:dyDescent="0.3">
      <c r="A138" s="99" t="s">
        <v>129</v>
      </c>
      <c r="B138" s="15">
        <f t="shared" ref="B138:K138" si="52">B76</f>
        <v>450000</v>
      </c>
      <c r="C138" s="15">
        <f t="shared" si="52"/>
        <v>250000</v>
      </c>
      <c r="D138" s="15">
        <f t="shared" si="52"/>
        <v>250000</v>
      </c>
      <c r="E138" s="15">
        <f t="shared" si="52"/>
        <v>250000</v>
      </c>
      <c r="F138" s="15">
        <f t="shared" si="52"/>
        <v>250000</v>
      </c>
      <c r="G138" s="15">
        <f t="shared" si="52"/>
        <v>250000</v>
      </c>
      <c r="H138" s="15">
        <f t="shared" si="52"/>
        <v>0</v>
      </c>
      <c r="I138" s="15">
        <f t="shared" si="52"/>
        <v>0</v>
      </c>
      <c r="J138" s="15">
        <f t="shared" si="52"/>
        <v>0</v>
      </c>
      <c r="K138" s="15">
        <f t="shared" si="52"/>
        <v>0</v>
      </c>
      <c r="L138" s="100"/>
    </row>
    <row r="139" spans="1:12" ht="14.25" customHeight="1" x14ac:dyDescent="0.3">
      <c r="A139" s="99" t="s">
        <v>130</v>
      </c>
      <c r="B139" s="100"/>
      <c r="C139" s="15">
        <f t="shared" ref="C139:L139" si="53">C111</f>
        <v>0</v>
      </c>
      <c r="D139" s="15">
        <f t="shared" si="53"/>
        <v>0</v>
      </c>
      <c r="E139" s="15">
        <f t="shared" si="53"/>
        <v>0</v>
      </c>
      <c r="F139" s="15">
        <f t="shared" si="53"/>
        <v>0</v>
      </c>
      <c r="G139" s="15">
        <f t="shared" si="53"/>
        <v>0</v>
      </c>
      <c r="H139" s="15">
        <f t="shared" si="53"/>
        <v>0</v>
      </c>
      <c r="I139" s="15">
        <f t="shared" si="53"/>
        <v>0</v>
      </c>
      <c r="J139" s="15">
        <f t="shared" si="53"/>
        <v>0</v>
      </c>
      <c r="K139" s="15">
        <f t="shared" si="53"/>
        <v>0</v>
      </c>
      <c r="L139" s="101">
        <f t="shared" si="53"/>
        <v>0</v>
      </c>
    </row>
    <row r="140" spans="1:12" ht="14.25" customHeight="1" x14ac:dyDescent="0.3">
      <c r="A140" s="104" t="s">
        <v>131</v>
      </c>
      <c r="B140" s="53">
        <f t="shared" ref="B140:L140" si="54">B127+B128+B131-B135</f>
        <v>-5400000</v>
      </c>
      <c r="C140" s="53">
        <f t="shared" si="54"/>
        <v>298683.73005213437</v>
      </c>
      <c r="D140" s="53">
        <f t="shared" si="54"/>
        <v>620612.29126432887</v>
      </c>
      <c r="E140" s="53">
        <f t="shared" si="54"/>
        <v>843946.01026163716</v>
      </c>
      <c r="F140" s="53">
        <f t="shared" si="54"/>
        <v>1094798.6246913737</v>
      </c>
      <c r="G140" s="53">
        <f t="shared" si="54"/>
        <v>1375928.4446909907</v>
      </c>
      <c r="H140" s="53">
        <f t="shared" si="54"/>
        <v>1708340.9358193604</v>
      </c>
      <c r="I140" s="53">
        <f t="shared" si="54"/>
        <v>1822202.3013267149</v>
      </c>
      <c r="J140" s="53">
        <f t="shared" si="54"/>
        <v>1944033.9624195849</v>
      </c>
      <c r="K140" s="53">
        <f t="shared" si="54"/>
        <v>2074393.839788957</v>
      </c>
      <c r="L140" s="53">
        <f t="shared" si="54"/>
        <v>5863878.9085741844</v>
      </c>
    </row>
    <row r="141" spans="1:12" ht="14.25" customHeight="1" x14ac:dyDescent="0.3">
      <c r="A141" s="105" t="s">
        <v>132</v>
      </c>
    </row>
    <row r="142" spans="1:12" ht="14.25" customHeight="1" x14ac:dyDescent="0.3">
      <c r="A142" s="145" t="s">
        <v>133</v>
      </c>
      <c r="B142" s="53">
        <f>B140</f>
        <v>-5400000</v>
      </c>
      <c r="C142" s="53">
        <f t="shared" ref="C142:L142" si="55">B142+C140</f>
        <v>-5101316.269947866</v>
      </c>
      <c r="D142" s="53">
        <f t="shared" si="55"/>
        <v>-4480703.9786835369</v>
      </c>
      <c r="E142" s="53">
        <f t="shared" si="55"/>
        <v>-3636757.9684218997</v>
      </c>
      <c r="F142" s="53">
        <f t="shared" si="55"/>
        <v>-2541959.343730526</v>
      </c>
      <c r="G142" s="53">
        <f t="shared" si="55"/>
        <v>-1166030.8990395353</v>
      </c>
      <c r="H142" s="53">
        <f t="shared" si="55"/>
        <v>542310.03677982511</v>
      </c>
      <c r="I142" s="53">
        <f t="shared" si="55"/>
        <v>2364512.33810654</v>
      </c>
      <c r="J142" s="53">
        <f t="shared" si="55"/>
        <v>4308546.3005261254</v>
      </c>
      <c r="K142" s="53">
        <f t="shared" si="55"/>
        <v>6382940.1403150819</v>
      </c>
      <c r="L142" s="53">
        <f t="shared" si="55"/>
        <v>12246819.048889266</v>
      </c>
    </row>
    <row r="143" spans="1:12" ht="14.25" customHeight="1" x14ac:dyDescent="0.3">
      <c r="A143" s="105" t="s">
        <v>134</v>
      </c>
    </row>
    <row r="144" spans="1:12" ht="14.25" customHeight="1" x14ac:dyDescent="0.3">
      <c r="A144" s="145" t="s">
        <v>135</v>
      </c>
      <c r="B144" s="53">
        <f>B140</f>
        <v>-5400000</v>
      </c>
      <c r="C144" s="53">
        <f>B144+C140/(1+B25)^1</f>
        <v>-5149005.2688637525</v>
      </c>
      <c r="D144" s="53">
        <f>C144+D140/(1+B25)^2</f>
        <v>-4710750.7026153738</v>
      </c>
      <c r="E144" s="53">
        <f>D144+E140/(1+B25)^3</f>
        <v>-4209939.7938158857</v>
      </c>
      <c r="F144" s="53">
        <f>E144+F140/(1+B25)^4</f>
        <v>-3663997.9305979544</v>
      </c>
      <c r="G144" s="53">
        <f>F144+G140/(1+B25)^5</f>
        <v>-3087415.9814041164</v>
      </c>
      <c r="H144" s="53">
        <f>G144+H140/(1+B25)^6</f>
        <v>-2485836.8263698388</v>
      </c>
      <c r="I144" s="53">
        <f>H144+I140/(1+B25)^7</f>
        <v>-1946614.5058557563</v>
      </c>
      <c r="J144" s="53">
        <f>I144+J140/(1+B25)^8</f>
        <v>-1463190.5624649909</v>
      </c>
      <c r="K144" s="53">
        <f>J144+K140/(1+B25)^9</f>
        <v>-1029711.0646862995</v>
      </c>
      <c r="L144" s="53">
        <f>K144+L140/(1+B25)^10</f>
        <v>-2.828892320394516E-8</v>
      </c>
    </row>
    <row r="145" spans="1:12" ht="14.25" customHeight="1" x14ac:dyDescent="0.3">
      <c r="B145" s="21"/>
      <c r="F145" s="106"/>
    </row>
    <row r="146" spans="1:12" ht="14.25" customHeight="1" x14ac:dyDescent="0.3">
      <c r="A146" s="22" t="s">
        <v>136</v>
      </c>
    </row>
    <row r="147" spans="1:12" ht="14.25" customHeight="1" x14ac:dyDescent="0.3">
      <c r="B147" s="107" t="s">
        <v>137</v>
      </c>
      <c r="C147" s="107" t="s">
        <v>138</v>
      </c>
      <c r="D147" s="107" t="s">
        <v>139</v>
      </c>
      <c r="E147" s="107" t="s">
        <v>140</v>
      </c>
    </row>
    <row r="148" spans="1:12" ht="14.25" customHeight="1" x14ac:dyDescent="0.3">
      <c r="A148" s="4" t="s">
        <v>141</v>
      </c>
      <c r="B148" s="147">
        <f>B77</f>
        <v>5400000</v>
      </c>
      <c r="C148" s="149">
        <v>0</v>
      </c>
      <c r="D148" s="149">
        <v>0</v>
      </c>
      <c r="E148" s="149">
        <v>0</v>
      </c>
    </row>
    <row r="149" spans="1:12" ht="18" customHeight="1" x14ac:dyDescent="0.3">
      <c r="A149" s="4" t="s">
        <v>142</v>
      </c>
      <c r="B149" s="148">
        <f>B77</f>
        <v>5400000</v>
      </c>
      <c r="C149" s="150">
        <v>1</v>
      </c>
      <c r="D149" s="149">
        <f>B25</f>
        <v>0.19</v>
      </c>
      <c r="E149" s="150">
        <f>C149*D149</f>
        <v>0.19</v>
      </c>
    </row>
    <row r="150" spans="1:12" ht="14.25" customHeight="1" x14ac:dyDescent="0.3">
      <c r="B150" s="147">
        <f>B148+B149</f>
        <v>10800000</v>
      </c>
      <c r="C150" s="149">
        <f>C148+C149</f>
        <v>1</v>
      </c>
      <c r="D150" s="149"/>
      <c r="E150" s="149">
        <f>E148+E149</f>
        <v>0.19</v>
      </c>
    </row>
    <row r="152" spans="1:12" ht="14.25" customHeight="1" x14ac:dyDescent="0.3">
      <c r="A152" s="22" t="s">
        <v>143</v>
      </c>
    </row>
    <row r="153" spans="1:12" ht="14.25" customHeight="1" x14ac:dyDescent="0.3">
      <c r="A153" s="109" t="s">
        <v>144</v>
      </c>
      <c r="B153" s="110">
        <f>NPV(B25,C140:L140)+B140</f>
        <v>-2.7939677238464355E-8</v>
      </c>
    </row>
    <row r="154" spans="1:12" ht="14.25" customHeight="1" x14ac:dyDescent="0.3">
      <c r="A154" s="109" t="s">
        <v>145</v>
      </c>
      <c r="B154" s="111">
        <f>IRR(B140:L140)</f>
        <v>0.18999999999999884</v>
      </c>
    </row>
    <row r="155" spans="1:12" ht="14.25" customHeight="1" x14ac:dyDescent="0.3">
      <c r="A155" s="109" t="s">
        <v>146</v>
      </c>
      <c r="B155" s="112">
        <f>IFERROR(MATCH(1,INDEX((C142:L142&gt;=0)*1,0),0),"&gt;10")</f>
        <v>6</v>
      </c>
    </row>
    <row r="156" spans="1:12" ht="14.25" customHeight="1" x14ac:dyDescent="0.3">
      <c r="A156" s="109" t="s">
        <v>147</v>
      </c>
      <c r="B156" s="112" t="str">
        <f>IFERROR(MATCH(1,INDEX((C144:L144&gt;=0)*1,0),0),"&gt;10")</f>
        <v>&gt;10</v>
      </c>
    </row>
    <row r="157" spans="1:12" ht="14.25" customHeight="1" x14ac:dyDescent="0.3">
      <c r="A157" s="109" t="s">
        <v>148</v>
      </c>
      <c r="B157" s="143">
        <f>(NPV(B25,C140:L140)+B140+ABS(B140))/ABS(B140)</f>
        <v>0.99999999999999478</v>
      </c>
    </row>
    <row r="158" spans="1:12" ht="14.25" customHeight="1" x14ac:dyDescent="0.3">
      <c r="B158" s="21"/>
    </row>
    <row r="159" spans="1:12" ht="14.25" customHeight="1" x14ac:dyDescent="0.3">
      <c r="B159" s="21"/>
    </row>
    <row r="160" spans="1:12" ht="14.25" customHeight="1" x14ac:dyDescent="0.3">
      <c r="A160" s="105"/>
      <c r="B160" s="113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</row>
    <row r="161" spans="1:12" ht="14.25" customHeight="1" x14ac:dyDescent="0.3">
      <c r="A161" s="105"/>
      <c r="B161" s="113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</row>
    <row r="162" spans="1:12" ht="14.25" customHeight="1" x14ac:dyDescent="0.3">
      <c r="A162" s="105"/>
      <c r="B162" s="113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</row>
    <row r="163" spans="1:12" ht="14.25" customHeight="1" x14ac:dyDescent="0.3">
      <c r="A163" s="105"/>
      <c r="B163" s="113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</row>
    <row r="164" spans="1:12" ht="14.25" customHeight="1" x14ac:dyDescent="0.3">
      <c r="B164" s="21"/>
    </row>
    <row r="165" spans="1:12" ht="14.25" customHeight="1" x14ac:dyDescent="0.3">
      <c r="B165" s="21"/>
    </row>
    <row r="166" spans="1:12" ht="14.25" customHeight="1" x14ac:dyDescent="0.3">
      <c r="B166" s="21"/>
    </row>
  </sheetData>
  <mergeCells count="6">
    <mergeCell ref="B105:C105"/>
    <mergeCell ref="A50:H50"/>
    <mergeCell ref="A55:H55"/>
    <mergeCell ref="A92:A93"/>
    <mergeCell ref="C92:L92"/>
    <mergeCell ref="A98:L9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6"/>
  <sheetViews>
    <sheetView showGridLines="0" topLeftCell="A135" zoomScaleNormal="100" workbookViewId="0">
      <selection activeCell="D157" sqref="D157"/>
    </sheetView>
  </sheetViews>
  <sheetFormatPr baseColWidth="10" defaultColWidth="8.6640625" defaultRowHeight="14.4" x14ac:dyDescent="0.3"/>
  <cols>
    <col min="1" max="1" width="42.44140625" style="1" customWidth="1"/>
    <col min="2" max="2" width="15.5546875" style="1" customWidth="1"/>
    <col min="3" max="3" width="16.109375" style="1" customWidth="1"/>
    <col min="4" max="8" width="15.44140625" style="1" customWidth="1"/>
    <col min="9" max="11" width="15.5546875" style="1" customWidth="1"/>
    <col min="12" max="12" width="15.44140625" style="1" customWidth="1"/>
    <col min="13" max="13" width="13.5546875" style="1" customWidth="1"/>
    <col min="14" max="14" width="13.33203125" style="1" customWidth="1"/>
    <col min="16" max="16" width="10.6640625" style="1" customWidth="1"/>
    <col min="18" max="18" width="25.109375" style="1" customWidth="1"/>
    <col min="19" max="19" width="11.6640625" style="1" customWidth="1"/>
    <col min="20" max="20" width="13.44140625" style="1" customWidth="1"/>
    <col min="21" max="21" width="8.44140625" style="1" customWidth="1"/>
    <col min="22" max="22" width="10.6640625" style="1" customWidth="1"/>
  </cols>
  <sheetData>
    <row r="1" spans="1:12" ht="15" customHeight="1" x14ac:dyDescent="0.3">
      <c r="A1" s="2" t="s">
        <v>0</v>
      </c>
    </row>
    <row r="3" spans="1:12" ht="14.25" customHeight="1" x14ac:dyDescent="0.3">
      <c r="A3" s="3" t="s">
        <v>1</v>
      </c>
    </row>
    <row r="4" spans="1:12" ht="14.25" customHeight="1" x14ac:dyDescent="0.3">
      <c r="A4" s="4" t="s">
        <v>2</v>
      </c>
      <c r="B4" s="4">
        <v>10</v>
      </c>
    </row>
    <row r="5" spans="1:12" ht="14.25" customHeight="1" x14ac:dyDescent="0.3">
      <c r="A5" s="4" t="s">
        <v>3</v>
      </c>
      <c r="B5" s="5">
        <v>0.05</v>
      </c>
    </row>
    <row r="6" spans="1:12" ht="14.25" customHeight="1" x14ac:dyDescent="0.3">
      <c r="A6" s="4" t="s">
        <v>4</v>
      </c>
      <c r="B6" s="5">
        <v>7.0000000000000007E-2</v>
      </c>
    </row>
    <row r="7" spans="1:12" ht="14.25" customHeight="1" x14ac:dyDescent="0.3"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</row>
    <row r="8" spans="1:12" ht="14.25" customHeight="1" x14ac:dyDescent="0.3">
      <c r="A8" s="4" t="s">
        <v>16</v>
      </c>
      <c r="B8" s="7"/>
      <c r="C8" s="8">
        <v>750</v>
      </c>
      <c r="D8" s="8">
        <v>900</v>
      </c>
      <c r="E8" s="8">
        <v>900</v>
      </c>
      <c r="F8" s="8">
        <v>900</v>
      </c>
      <c r="G8" s="8">
        <v>900</v>
      </c>
      <c r="H8" s="8">
        <v>900</v>
      </c>
      <c r="I8" s="8">
        <v>900</v>
      </c>
      <c r="J8" s="8">
        <v>900</v>
      </c>
      <c r="K8" s="8">
        <v>900</v>
      </c>
      <c r="L8" s="8">
        <v>900</v>
      </c>
    </row>
    <row r="9" spans="1:12" ht="14.25" customHeight="1" x14ac:dyDescent="0.3">
      <c r="A9" s="4" t="s">
        <v>17</v>
      </c>
      <c r="B9" s="7"/>
      <c r="C9" s="9">
        <f>1225</f>
        <v>1225</v>
      </c>
      <c r="D9" s="9">
        <f>1470</f>
        <v>1470</v>
      </c>
      <c r="E9" s="9">
        <f>1715</f>
        <v>1715</v>
      </c>
      <c r="F9" s="9">
        <f>1960</f>
        <v>1960</v>
      </c>
      <c r="G9" s="9">
        <f>2205</f>
        <v>2205</v>
      </c>
      <c r="H9" s="9">
        <f>2205</f>
        <v>2205</v>
      </c>
      <c r="I9" s="9">
        <f>2205</f>
        <v>2205</v>
      </c>
      <c r="J9" s="9">
        <f>2205</f>
        <v>2205</v>
      </c>
      <c r="K9" s="9">
        <f>2205</f>
        <v>2205</v>
      </c>
      <c r="L9" s="9">
        <f>2205</f>
        <v>2205</v>
      </c>
    </row>
    <row r="10" spans="1:12" ht="14.25" customHeight="1" x14ac:dyDescent="0.3">
      <c r="A10" s="4" t="s">
        <v>18</v>
      </c>
      <c r="B10" s="7"/>
      <c r="C10" s="117">
        <f t="shared" ref="C10:L10" si="0">C9*C8</f>
        <v>918750</v>
      </c>
      <c r="D10" s="9">
        <f t="shared" si="0"/>
        <v>1323000</v>
      </c>
      <c r="E10" s="9">
        <f t="shared" si="0"/>
        <v>1543500</v>
      </c>
      <c r="F10" s="9">
        <f t="shared" si="0"/>
        <v>1764000</v>
      </c>
      <c r="G10" s="9">
        <f t="shared" si="0"/>
        <v>1984500</v>
      </c>
      <c r="H10" s="9">
        <f t="shared" si="0"/>
        <v>1984500</v>
      </c>
      <c r="I10" s="9">
        <f t="shared" si="0"/>
        <v>1984500</v>
      </c>
      <c r="J10" s="9">
        <f t="shared" si="0"/>
        <v>1984500</v>
      </c>
      <c r="K10" s="9">
        <f t="shared" si="0"/>
        <v>1984500</v>
      </c>
      <c r="L10" s="9">
        <f t="shared" si="0"/>
        <v>1984500</v>
      </c>
    </row>
    <row r="11" spans="1:12" ht="14.25" customHeight="1" x14ac:dyDescent="0.3">
      <c r="A11" s="4" t="s">
        <v>19</v>
      </c>
      <c r="B11" s="7"/>
      <c r="C11" s="10">
        <v>1</v>
      </c>
      <c r="D11" s="10">
        <f t="shared" ref="D11:L11" si="1">C11+(C11*$B$5)</f>
        <v>1.05</v>
      </c>
      <c r="E11" s="10">
        <f t="shared" si="1"/>
        <v>1.1025</v>
      </c>
      <c r="F11" s="10">
        <f t="shared" si="1"/>
        <v>1.1576250000000001</v>
      </c>
      <c r="G11" s="10">
        <f t="shared" si="1"/>
        <v>1.2155062500000002</v>
      </c>
      <c r="H11" s="10">
        <f t="shared" si="1"/>
        <v>1.2762815625000004</v>
      </c>
      <c r="I11" s="10">
        <f t="shared" si="1"/>
        <v>1.3400956406250004</v>
      </c>
      <c r="J11" s="10">
        <f t="shared" si="1"/>
        <v>1.4071004226562505</v>
      </c>
      <c r="K11" s="10">
        <f t="shared" si="1"/>
        <v>1.477455443789063</v>
      </c>
      <c r="L11" s="10">
        <f t="shared" si="1"/>
        <v>1.5513282159785162</v>
      </c>
    </row>
    <row r="12" spans="1:12" ht="14.25" customHeight="1" x14ac:dyDescent="0.3">
      <c r="A12" s="4" t="s">
        <v>20</v>
      </c>
      <c r="B12" s="7"/>
      <c r="C12" s="11">
        <v>3</v>
      </c>
      <c r="D12" s="11">
        <f t="shared" ref="D12:L12" si="2">C12+(C12*$B$6)</f>
        <v>3.21</v>
      </c>
      <c r="E12" s="11">
        <f t="shared" si="2"/>
        <v>3.4346999999999999</v>
      </c>
      <c r="F12" s="11">
        <f t="shared" si="2"/>
        <v>3.6751290000000001</v>
      </c>
      <c r="G12" s="11">
        <f t="shared" si="2"/>
        <v>3.9323880300000003</v>
      </c>
      <c r="H12" s="11">
        <f t="shared" si="2"/>
        <v>4.2076551921000007</v>
      </c>
      <c r="I12" s="11">
        <f t="shared" si="2"/>
        <v>4.5021910555470006</v>
      </c>
      <c r="J12" s="11">
        <f t="shared" si="2"/>
        <v>4.8173444294352903</v>
      </c>
      <c r="K12" s="11">
        <f t="shared" si="2"/>
        <v>5.1545585394957607</v>
      </c>
      <c r="L12" s="11">
        <f t="shared" si="2"/>
        <v>5.5153776372604639</v>
      </c>
    </row>
    <row r="13" spans="1:12" ht="14.25" customHeight="1" x14ac:dyDescent="0.3">
      <c r="A13" s="4" t="s">
        <v>21</v>
      </c>
      <c r="B13" s="12"/>
      <c r="C13" s="13">
        <v>450000</v>
      </c>
      <c r="D13" s="13">
        <v>250000</v>
      </c>
      <c r="E13" s="13">
        <v>250000</v>
      </c>
      <c r="F13" s="13">
        <v>250000</v>
      </c>
      <c r="G13" s="13">
        <v>250000</v>
      </c>
      <c r="H13" s="13">
        <v>250000</v>
      </c>
      <c r="I13" s="13">
        <v>0</v>
      </c>
      <c r="J13" s="13">
        <v>0</v>
      </c>
      <c r="K13" s="13">
        <v>0</v>
      </c>
      <c r="L13" s="13">
        <v>0</v>
      </c>
    </row>
    <row r="14" spans="1:12" ht="14.25" customHeight="1" x14ac:dyDescent="0.3">
      <c r="A14" s="4" t="s">
        <v>22</v>
      </c>
      <c r="B14" s="12"/>
      <c r="C14" s="11">
        <f>1.45</f>
        <v>1.45</v>
      </c>
      <c r="D14" s="11">
        <f t="shared" ref="D14:L14" si="3">C14+(C14*$B$6)</f>
        <v>1.5514999999999999</v>
      </c>
      <c r="E14" s="11">
        <f t="shared" si="3"/>
        <v>1.6601049999999999</v>
      </c>
      <c r="F14" s="11">
        <f t="shared" si="3"/>
        <v>1.77631235</v>
      </c>
      <c r="G14" s="11">
        <f t="shared" si="3"/>
        <v>1.9006542145</v>
      </c>
      <c r="H14" s="11">
        <f t="shared" si="3"/>
        <v>2.033700009515</v>
      </c>
      <c r="I14" s="11">
        <f t="shared" si="3"/>
        <v>2.1760590101810502</v>
      </c>
      <c r="J14" s="11">
        <f t="shared" si="3"/>
        <v>2.3283831408937239</v>
      </c>
      <c r="K14" s="11">
        <f t="shared" si="3"/>
        <v>2.4913699607562845</v>
      </c>
      <c r="L14" s="11">
        <f t="shared" si="3"/>
        <v>2.6657658580092245</v>
      </c>
    </row>
    <row r="15" spans="1:12" ht="14.25" customHeight="1" x14ac:dyDescent="0.3">
      <c r="A15" s="4" t="s">
        <v>23</v>
      </c>
      <c r="B15" s="14"/>
      <c r="C15" s="15">
        <f t="shared" ref="C15:L15" si="4">C14*C10</f>
        <v>1332187.5</v>
      </c>
      <c r="D15" s="15">
        <f t="shared" si="4"/>
        <v>2052634.4999999998</v>
      </c>
      <c r="E15" s="15">
        <f t="shared" si="4"/>
        <v>2562372.0674999999</v>
      </c>
      <c r="F15" s="15">
        <f t="shared" si="4"/>
        <v>3133414.9854000001</v>
      </c>
      <c r="G15" s="15">
        <f t="shared" si="4"/>
        <v>3771848.28867525</v>
      </c>
      <c r="H15" s="15">
        <f t="shared" si="4"/>
        <v>4035877.6688825176</v>
      </c>
      <c r="I15" s="15">
        <f t="shared" si="4"/>
        <v>4318389.1057042945</v>
      </c>
      <c r="J15" s="15">
        <f t="shared" si="4"/>
        <v>4620676.3431035951</v>
      </c>
      <c r="K15" s="15">
        <f t="shared" si="4"/>
        <v>4944123.6871208465</v>
      </c>
      <c r="L15" s="15">
        <f t="shared" si="4"/>
        <v>5290212.3452193057</v>
      </c>
    </row>
    <row r="16" spans="1:12" ht="14.25" customHeight="1" x14ac:dyDescent="0.3">
      <c r="A16" s="4" t="s">
        <v>24</v>
      </c>
      <c r="B16" s="14"/>
      <c r="C16" s="15">
        <v>50000</v>
      </c>
      <c r="D16" s="15">
        <f t="shared" ref="D16:L16" si="5">C16+(C16*$B$6)</f>
        <v>53500</v>
      </c>
      <c r="E16" s="15">
        <f t="shared" si="5"/>
        <v>57245</v>
      </c>
      <c r="F16" s="15">
        <f t="shared" si="5"/>
        <v>61252.15</v>
      </c>
      <c r="G16" s="15">
        <f t="shared" si="5"/>
        <v>65539.800499999998</v>
      </c>
      <c r="H16" s="15">
        <f t="shared" si="5"/>
        <v>70127.586534999995</v>
      </c>
      <c r="I16" s="15">
        <f t="shared" si="5"/>
        <v>75036.517592449993</v>
      </c>
      <c r="J16" s="15">
        <f t="shared" si="5"/>
        <v>80289.073823921499</v>
      </c>
      <c r="K16" s="15">
        <f t="shared" si="5"/>
        <v>85909.308991596001</v>
      </c>
      <c r="L16" s="15">
        <f t="shared" si="5"/>
        <v>91922.960621007718</v>
      </c>
    </row>
    <row r="17" spans="1:12" ht="14.25" customHeight="1" x14ac:dyDescent="0.3">
      <c r="A17" s="4" t="s">
        <v>25</v>
      </c>
      <c r="B17" s="14"/>
      <c r="C17" s="15">
        <v>200000</v>
      </c>
      <c r="D17" s="15">
        <f t="shared" ref="D17:L17" si="6">C17+(C17*$B$6)</f>
        <v>214000</v>
      </c>
      <c r="E17" s="15">
        <f t="shared" si="6"/>
        <v>228980</v>
      </c>
      <c r="F17" s="15">
        <f t="shared" si="6"/>
        <v>245008.6</v>
      </c>
      <c r="G17" s="15">
        <f t="shared" si="6"/>
        <v>262159.20199999999</v>
      </c>
      <c r="H17" s="15">
        <f t="shared" si="6"/>
        <v>280510.34613999998</v>
      </c>
      <c r="I17" s="15">
        <f t="shared" si="6"/>
        <v>300146.07036979997</v>
      </c>
      <c r="J17" s="15">
        <f t="shared" si="6"/>
        <v>321156.295295686</v>
      </c>
      <c r="K17" s="15">
        <f t="shared" si="6"/>
        <v>343637.235966384</v>
      </c>
      <c r="L17" s="15">
        <f t="shared" si="6"/>
        <v>367691.84248403087</v>
      </c>
    </row>
    <row r="18" spans="1:12" ht="14.25" customHeight="1" x14ac:dyDescent="0.3">
      <c r="K18" s="16"/>
    </row>
    <row r="19" spans="1:12" ht="14.25" customHeight="1" x14ac:dyDescent="0.3">
      <c r="A19" s="4" t="s">
        <v>26</v>
      </c>
      <c r="B19" s="17">
        <v>1250000</v>
      </c>
      <c r="K19" s="16"/>
    </row>
    <row r="20" spans="1:12" ht="14.25" customHeight="1" x14ac:dyDescent="0.3">
      <c r="A20" s="4" t="s">
        <v>27</v>
      </c>
      <c r="B20" s="17">
        <v>1000000</v>
      </c>
      <c r="K20" s="16"/>
    </row>
    <row r="21" spans="1:12" ht="14.25" customHeight="1" x14ac:dyDescent="0.3">
      <c r="A21" s="4" t="s">
        <v>28</v>
      </c>
      <c r="B21" s="18">
        <v>50000</v>
      </c>
      <c r="K21" s="16"/>
    </row>
    <row r="22" spans="1:12" ht="14.25" customHeight="1" x14ac:dyDescent="0.3">
      <c r="A22" s="4" t="s">
        <v>29</v>
      </c>
      <c r="B22" s="5">
        <v>0.1</v>
      </c>
    </row>
    <row r="23" spans="1:12" ht="14.25" customHeight="1" x14ac:dyDescent="0.3">
      <c r="A23" s="4" t="s">
        <v>30</v>
      </c>
      <c r="B23" s="19">
        <v>7</v>
      </c>
    </row>
    <row r="24" spans="1:12" ht="14.25" customHeight="1" x14ac:dyDescent="0.3">
      <c r="A24" s="4" t="s">
        <v>31</v>
      </c>
      <c r="B24" s="20">
        <f>5400000*0.5</f>
        <v>2700000</v>
      </c>
    </row>
    <row r="25" spans="1:12" ht="14.25" customHeight="1" x14ac:dyDescent="0.3">
      <c r="A25" s="4" t="s">
        <v>32</v>
      </c>
      <c r="B25" s="5">
        <v>0.19</v>
      </c>
    </row>
    <row r="26" spans="1:12" ht="14.25" customHeight="1" x14ac:dyDescent="0.3">
      <c r="A26" s="4" t="s">
        <v>33</v>
      </c>
      <c r="B26" s="5">
        <v>0.3</v>
      </c>
    </row>
    <row r="27" spans="1:12" ht="14.25" customHeight="1" x14ac:dyDescent="0.3">
      <c r="B27" s="21"/>
      <c r="D27" s="5">
        <v>0.44</v>
      </c>
      <c r="E27" s="5">
        <v>0.16666666666666699</v>
      </c>
      <c r="F27" s="5">
        <v>0.14285714285714299</v>
      </c>
      <c r="G27" s="5">
        <v>0.125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</row>
    <row r="28" spans="1:12" ht="14.25" customHeight="1" x14ac:dyDescent="0.3">
      <c r="A28" s="22" t="s">
        <v>34</v>
      </c>
      <c r="B28" s="21"/>
      <c r="C28" s="118">
        <v>918750</v>
      </c>
      <c r="D28" s="118">
        <v>1323000</v>
      </c>
      <c r="E28" s="118">
        <v>1543500</v>
      </c>
      <c r="F28" s="118">
        <v>1764000</v>
      </c>
      <c r="G28" s="118">
        <v>1984500</v>
      </c>
      <c r="H28" s="118">
        <v>1984500</v>
      </c>
      <c r="I28" s="118">
        <v>1984500</v>
      </c>
      <c r="J28" s="118">
        <v>1984500</v>
      </c>
      <c r="K28" s="118">
        <v>1984500</v>
      </c>
      <c r="L28" s="118">
        <v>1984500</v>
      </c>
    </row>
    <row r="29" spans="1:12" ht="15.75" customHeight="1" x14ac:dyDescent="0.3">
      <c r="A29" s="23" t="s">
        <v>35</v>
      </c>
      <c r="B29" s="24"/>
    </row>
    <row r="30" spans="1:12" ht="14.25" customHeight="1" x14ac:dyDescent="0.3">
      <c r="A30" s="25" t="s">
        <v>36</v>
      </c>
      <c r="B30" s="26" t="s">
        <v>5</v>
      </c>
      <c r="C30" s="26" t="s">
        <v>6</v>
      </c>
      <c r="D30" s="26" t="s">
        <v>7</v>
      </c>
      <c r="E30" s="26" t="s">
        <v>8</v>
      </c>
      <c r="F30" s="26" t="s">
        <v>9</v>
      </c>
      <c r="G30" s="26" t="s">
        <v>10</v>
      </c>
      <c r="H30" s="26" t="s">
        <v>11</v>
      </c>
      <c r="I30" s="26" t="s">
        <v>12</v>
      </c>
      <c r="J30" s="26" t="s">
        <v>13</v>
      </c>
      <c r="K30" s="26" t="s">
        <v>14</v>
      </c>
      <c r="L30" s="27" t="s">
        <v>15</v>
      </c>
    </row>
    <row r="31" spans="1:12" ht="14.25" customHeight="1" x14ac:dyDescent="0.3">
      <c r="A31" s="28" t="s">
        <v>37</v>
      </c>
      <c r="B31" s="29"/>
      <c r="C31" s="119">
        <v>738316.65716768405</v>
      </c>
      <c r="D31" s="120">
        <f t="shared" ref="D31:L31" si="7">C31+(C31*D27)</f>
        <v>1063175.9863214651</v>
      </c>
      <c r="E31" s="120">
        <f t="shared" si="7"/>
        <v>1240371.9840417097</v>
      </c>
      <c r="F31" s="120">
        <f t="shared" si="7"/>
        <v>1417567.981761954</v>
      </c>
      <c r="G31" s="120">
        <f t="shared" si="7"/>
        <v>1594763.9794821984</v>
      </c>
      <c r="H31" s="120">
        <f t="shared" si="7"/>
        <v>1594763.9794821984</v>
      </c>
      <c r="I31" s="120">
        <f t="shared" si="7"/>
        <v>1594763.9794821984</v>
      </c>
      <c r="J31" s="120">
        <f t="shared" si="7"/>
        <v>1594763.9794821984</v>
      </c>
      <c r="K31" s="120">
        <f t="shared" si="7"/>
        <v>1594763.9794821984</v>
      </c>
      <c r="L31" s="120">
        <f t="shared" si="7"/>
        <v>1594763.9794821984</v>
      </c>
    </row>
    <row r="32" spans="1:12" ht="14.25" customHeight="1" x14ac:dyDescent="0.3">
      <c r="A32" s="28" t="s">
        <v>38</v>
      </c>
      <c r="B32" s="29"/>
      <c r="C32" s="32">
        <f t="shared" ref="C32:L32" si="8">C12</f>
        <v>3</v>
      </c>
      <c r="D32" s="32">
        <f t="shared" si="8"/>
        <v>3.21</v>
      </c>
      <c r="E32" s="32">
        <f t="shared" si="8"/>
        <v>3.4346999999999999</v>
      </c>
      <c r="F32" s="32">
        <f t="shared" si="8"/>
        <v>3.6751290000000001</v>
      </c>
      <c r="G32" s="32">
        <f t="shared" si="8"/>
        <v>3.9323880300000003</v>
      </c>
      <c r="H32" s="32">
        <f t="shared" si="8"/>
        <v>4.2076551921000007</v>
      </c>
      <c r="I32" s="32">
        <f t="shared" si="8"/>
        <v>4.5021910555470006</v>
      </c>
      <c r="J32" s="32">
        <f t="shared" si="8"/>
        <v>4.8173444294352903</v>
      </c>
      <c r="K32" s="32">
        <f t="shared" si="8"/>
        <v>5.1545585394957607</v>
      </c>
      <c r="L32" s="33">
        <f t="shared" si="8"/>
        <v>5.5153776372604639</v>
      </c>
    </row>
    <row r="33" spans="1:12" ht="15.75" customHeight="1" x14ac:dyDescent="0.3">
      <c r="A33" s="34" t="s">
        <v>39</v>
      </c>
      <c r="B33" s="35"/>
      <c r="C33" s="36">
        <f t="shared" ref="C33:L33" si="9">C32*C31</f>
        <v>2214949.9715030519</v>
      </c>
      <c r="D33" s="36">
        <f t="shared" si="9"/>
        <v>3412794.9160919031</v>
      </c>
      <c r="E33" s="36">
        <f t="shared" si="9"/>
        <v>4260305.6535880603</v>
      </c>
      <c r="F33" s="36">
        <f t="shared" si="9"/>
        <v>5209745.1992448289</v>
      </c>
      <c r="G33" s="36">
        <f t="shared" si="9"/>
        <v>6271230.7835909631</v>
      </c>
      <c r="H33" s="36">
        <f t="shared" si="9"/>
        <v>6710216.9384423308</v>
      </c>
      <c r="I33" s="36">
        <f t="shared" si="9"/>
        <v>7179932.1241332935</v>
      </c>
      <c r="J33" s="36">
        <f t="shared" si="9"/>
        <v>7682527.3728226237</v>
      </c>
      <c r="K33" s="36">
        <f t="shared" si="9"/>
        <v>8220304.2889202079</v>
      </c>
      <c r="L33" s="37">
        <f t="shared" si="9"/>
        <v>8795725.5891446229</v>
      </c>
    </row>
    <row r="34" spans="1:12" ht="14.25" customHeight="1" x14ac:dyDescent="0.3">
      <c r="B34" s="21"/>
    </row>
    <row r="35" spans="1:12" ht="14.25" customHeight="1" x14ac:dyDescent="0.3">
      <c r="A35" s="22" t="s">
        <v>40</v>
      </c>
      <c r="B35" s="24"/>
    </row>
    <row r="36" spans="1:12" ht="15.75" customHeight="1" x14ac:dyDescent="0.3">
      <c r="A36" s="23" t="s">
        <v>41</v>
      </c>
      <c r="B36" s="24"/>
    </row>
    <row r="37" spans="1:12" ht="14.25" customHeight="1" x14ac:dyDescent="0.3">
      <c r="A37" s="25" t="s">
        <v>36</v>
      </c>
      <c r="B37" s="26" t="s">
        <v>5</v>
      </c>
      <c r="C37" s="26" t="s">
        <v>6</v>
      </c>
      <c r="D37" s="26" t="s">
        <v>7</v>
      </c>
      <c r="E37" s="26" t="s">
        <v>8</v>
      </c>
      <c r="F37" s="26" t="s">
        <v>9</v>
      </c>
      <c r="G37" s="26" t="s">
        <v>10</v>
      </c>
      <c r="H37" s="26" t="s">
        <v>11</v>
      </c>
      <c r="I37" s="26" t="s">
        <v>12</v>
      </c>
      <c r="J37" s="26" t="s">
        <v>13</v>
      </c>
      <c r="K37" s="26" t="s">
        <v>14</v>
      </c>
      <c r="L37" s="27" t="s">
        <v>15</v>
      </c>
    </row>
    <row r="38" spans="1:12" ht="14.25" customHeight="1" x14ac:dyDescent="0.3">
      <c r="A38" s="28" t="s">
        <v>42</v>
      </c>
      <c r="B38" s="29"/>
      <c r="C38" s="38">
        <f t="shared" ref="C38:L38" si="10">C15</f>
        <v>1332187.5</v>
      </c>
      <c r="D38" s="38">
        <f t="shared" si="10"/>
        <v>2052634.4999999998</v>
      </c>
      <c r="E38" s="38">
        <f t="shared" si="10"/>
        <v>2562372.0674999999</v>
      </c>
      <c r="F38" s="38">
        <f t="shared" si="10"/>
        <v>3133414.9854000001</v>
      </c>
      <c r="G38" s="38">
        <f t="shared" si="10"/>
        <v>3771848.28867525</v>
      </c>
      <c r="H38" s="38">
        <f t="shared" si="10"/>
        <v>4035877.6688825176</v>
      </c>
      <c r="I38" s="38">
        <f t="shared" si="10"/>
        <v>4318389.1057042945</v>
      </c>
      <c r="J38" s="38">
        <f t="shared" si="10"/>
        <v>4620676.3431035951</v>
      </c>
      <c r="K38" s="38">
        <f t="shared" si="10"/>
        <v>4944123.6871208465</v>
      </c>
      <c r="L38" s="39">
        <f t="shared" si="10"/>
        <v>5290212.3452193057</v>
      </c>
    </row>
    <row r="39" spans="1:12" ht="15.75" customHeight="1" x14ac:dyDescent="0.3">
      <c r="A39" s="40" t="s">
        <v>43</v>
      </c>
      <c r="B39" s="41"/>
      <c r="C39" s="36">
        <f t="shared" ref="C39:L39" si="11">C38</f>
        <v>1332187.5</v>
      </c>
      <c r="D39" s="36">
        <f t="shared" si="11"/>
        <v>2052634.4999999998</v>
      </c>
      <c r="E39" s="36">
        <f t="shared" si="11"/>
        <v>2562372.0674999999</v>
      </c>
      <c r="F39" s="36">
        <f t="shared" si="11"/>
        <v>3133414.9854000001</v>
      </c>
      <c r="G39" s="36">
        <f t="shared" si="11"/>
        <v>3771848.28867525</v>
      </c>
      <c r="H39" s="36">
        <f t="shared" si="11"/>
        <v>4035877.6688825176</v>
      </c>
      <c r="I39" s="36">
        <f t="shared" si="11"/>
        <v>4318389.1057042945</v>
      </c>
      <c r="J39" s="36">
        <f t="shared" si="11"/>
        <v>4620676.3431035951</v>
      </c>
      <c r="K39" s="36">
        <f t="shared" si="11"/>
        <v>4944123.6871208465</v>
      </c>
      <c r="L39" s="37">
        <f t="shared" si="11"/>
        <v>5290212.3452193057</v>
      </c>
    </row>
    <row r="40" spans="1:12" ht="14.25" customHeight="1" x14ac:dyDescent="0.3">
      <c r="B40" s="21"/>
    </row>
    <row r="41" spans="1:12" ht="14.25" customHeight="1" x14ac:dyDescent="0.3">
      <c r="A41" s="22" t="s">
        <v>44</v>
      </c>
      <c r="B41" s="24"/>
    </row>
    <row r="42" spans="1:12" ht="15.75" customHeight="1" x14ac:dyDescent="0.3">
      <c r="A42" s="23" t="s">
        <v>45</v>
      </c>
      <c r="B42" s="24"/>
    </row>
    <row r="43" spans="1:12" ht="14.25" customHeight="1" x14ac:dyDescent="0.3">
      <c r="A43" s="25" t="s">
        <v>36</v>
      </c>
      <c r="B43" s="26" t="s">
        <v>5</v>
      </c>
      <c r="C43" s="26" t="s">
        <v>6</v>
      </c>
      <c r="D43" s="26" t="s">
        <v>7</v>
      </c>
      <c r="E43" s="26" t="s">
        <v>8</v>
      </c>
      <c r="F43" s="26" t="s">
        <v>9</v>
      </c>
      <c r="G43" s="26" t="s">
        <v>10</v>
      </c>
      <c r="H43" s="26" t="s">
        <v>11</v>
      </c>
      <c r="I43" s="26" t="s">
        <v>12</v>
      </c>
      <c r="J43" s="26" t="s">
        <v>13</v>
      </c>
      <c r="K43" s="26" t="s">
        <v>14</v>
      </c>
      <c r="L43" s="27" t="s">
        <v>15</v>
      </c>
    </row>
    <row r="44" spans="1:12" ht="14.25" customHeight="1" x14ac:dyDescent="0.3">
      <c r="A44" s="28" t="s">
        <v>24</v>
      </c>
      <c r="B44" s="29"/>
      <c r="C44" s="38">
        <f t="shared" ref="C44:L44" si="12">C16</f>
        <v>50000</v>
      </c>
      <c r="D44" s="38">
        <f t="shared" si="12"/>
        <v>53500</v>
      </c>
      <c r="E44" s="38">
        <f t="shared" si="12"/>
        <v>57245</v>
      </c>
      <c r="F44" s="38">
        <f t="shared" si="12"/>
        <v>61252.15</v>
      </c>
      <c r="G44" s="38">
        <f t="shared" si="12"/>
        <v>65539.800499999998</v>
      </c>
      <c r="H44" s="38">
        <f t="shared" si="12"/>
        <v>70127.586534999995</v>
      </c>
      <c r="I44" s="38">
        <f t="shared" si="12"/>
        <v>75036.517592449993</v>
      </c>
      <c r="J44" s="38">
        <f t="shared" si="12"/>
        <v>80289.073823921499</v>
      </c>
      <c r="K44" s="38">
        <f t="shared" si="12"/>
        <v>85909.308991596001</v>
      </c>
      <c r="L44" s="39">
        <f t="shared" si="12"/>
        <v>91922.960621007718</v>
      </c>
    </row>
    <row r="45" spans="1:12" ht="14.25" customHeight="1" x14ac:dyDescent="0.3">
      <c r="A45" s="28" t="s">
        <v>25</v>
      </c>
      <c r="B45" s="29"/>
      <c r="C45" s="38">
        <f t="shared" ref="C45:L45" si="13">C17</f>
        <v>200000</v>
      </c>
      <c r="D45" s="38">
        <f t="shared" si="13"/>
        <v>214000</v>
      </c>
      <c r="E45" s="38">
        <f t="shared" si="13"/>
        <v>228980</v>
      </c>
      <c r="F45" s="38">
        <f t="shared" si="13"/>
        <v>245008.6</v>
      </c>
      <c r="G45" s="38">
        <f t="shared" si="13"/>
        <v>262159.20199999999</v>
      </c>
      <c r="H45" s="38">
        <f t="shared" si="13"/>
        <v>280510.34613999998</v>
      </c>
      <c r="I45" s="38">
        <f t="shared" si="13"/>
        <v>300146.07036979997</v>
      </c>
      <c r="J45" s="38">
        <f t="shared" si="13"/>
        <v>321156.295295686</v>
      </c>
      <c r="K45" s="38">
        <f t="shared" si="13"/>
        <v>343637.235966384</v>
      </c>
      <c r="L45" s="39">
        <f t="shared" si="13"/>
        <v>367691.84248403087</v>
      </c>
    </row>
    <row r="46" spans="1:12" ht="15.75" customHeight="1" x14ac:dyDescent="0.3">
      <c r="A46" s="40" t="s">
        <v>46</v>
      </c>
      <c r="B46" s="41"/>
      <c r="C46" s="36">
        <f t="shared" ref="C46:L46" si="14">SUM(C44:C45)</f>
        <v>250000</v>
      </c>
      <c r="D46" s="36">
        <f t="shared" si="14"/>
        <v>267500</v>
      </c>
      <c r="E46" s="36">
        <f t="shared" si="14"/>
        <v>286225</v>
      </c>
      <c r="F46" s="36">
        <f t="shared" si="14"/>
        <v>306260.75</v>
      </c>
      <c r="G46" s="36">
        <f t="shared" si="14"/>
        <v>327699.0025</v>
      </c>
      <c r="H46" s="36">
        <f t="shared" si="14"/>
        <v>350637.93267499999</v>
      </c>
      <c r="I46" s="36">
        <f t="shared" si="14"/>
        <v>375182.58796224999</v>
      </c>
      <c r="J46" s="36">
        <f t="shared" si="14"/>
        <v>401445.36911960749</v>
      </c>
      <c r="K46" s="36">
        <f t="shared" si="14"/>
        <v>429546.54495797999</v>
      </c>
      <c r="L46" s="37">
        <f t="shared" si="14"/>
        <v>459614.80310503859</v>
      </c>
    </row>
    <row r="47" spans="1:12" ht="14.25" customHeight="1" x14ac:dyDescent="0.3">
      <c r="B47" s="21"/>
    </row>
    <row r="48" spans="1:12" ht="14.25" customHeight="1" x14ac:dyDescent="0.3">
      <c r="A48" s="22" t="s">
        <v>47</v>
      </c>
      <c r="B48" s="42"/>
      <c r="C48" s="43"/>
      <c r="D48" s="43"/>
      <c r="E48" s="43"/>
      <c r="F48" s="43"/>
      <c r="G48" s="43"/>
      <c r="H48" s="43"/>
    </row>
    <row r="49" spans="1:12" ht="14.25" customHeight="1" x14ac:dyDescent="0.3">
      <c r="A49" s="44" t="s">
        <v>21</v>
      </c>
      <c r="B49" s="42"/>
      <c r="C49" s="43"/>
      <c r="D49" s="43"/>
      <c r="E49" s="43"/>
      <c r="F49" s="43"/>
      <c r="G49" s="43"/>
      <c r="H49" s="43"/>
    </row>
    <row r="50" spans="1:12" ht="15.75" customHeight="1" x14ac:dyDescent="0.3">
      <c r="A50" s="160" t="s">
        <v>48</v>
      </c>
      <c r="B50" s="160"/>
      <c r="C50" s="160"/>
      <c r="D50" s="160"/>
      <c r="E50" s="160"/>
      <c r="F50" s="160"/>
      <c r="G50" s="160"/>
      <c r="H50" s="160"/>
    </row>
    <row r="51" spans="1:12" ht="14.25" customHeight="1" x14ac:dyDescent="0.3">
      <c r="A51" s="25" t="s">
        <v>36</v>
      </c>
      <c r="B51" s="26" t="s">
        <v>5</v>
      </c>
      <c r="C51" s="26" t="s">
        <v>6</v>
      </c>
      <c r="D51" s="26" t="s">
        <v>7</v>
      </c>
      <c r="E51" s="26" t="s">
        <v>8</v>
      </c>
      <c r="F51" s="26" t="s">
        <v>9</v>
      </c>
      <c r="G51" s="26" t="s">
        <v>10</v>
      </c>
      <c r="H51" s="26" t="s">
        <v>11</v>
      </c>
      <c r="I51" s="26" t="s">
        <v>12</v>
      </c>
      <c r="J51" s="26" t="s">
        <v>13</v>
      </c>
      <c r="K51" s="26" t="s">
        <v>14</v>
      </c>
      <c r="L51" s="27" t="s">
        <v>15</v>
      </c>
    </row>
    <row r="52" spans="1:12" ht="14.25" customHeight="1" x14ac:dyDescent="0.3">
      <c r="A52" s="28" t="s">
        <v>21</v>
      </c>
      <c r="B52" s="45"/>
      <c r="C52" s="38">
        <f t="shared" ref="C52:L52" si="15">C13+B52</f>
        <v>450000</v>
      </c>
      <c r="D52" s="38">
        <f t="shared" si="15"/>
        <v>700000</v>
      </c>
      <c r="E52" s="38">
        <f t="shared" si="15"/>
        <v>950000</v>
      </c>
      <c r="F52" s="38">
        <f t="shared" si="15"/>
        <v>1200000</v>
      </c>
      <c r="G52" s="38">
        <f t="shared" si="15"/>
        <v>1450000</v>
      </c>
      <c r="H52" s="38">
        <f t="shared" si="15"/>
        <v>1700000</v>
      </c>
      <c r="I52" s="38">
        <f t="shared" si="15"/>
        <v>1700000</v>
      </c>
      <c r="J52" s="38">
        <f t="shared" si="15"/>
        <v>1700000</v>
      </c>
      <c r="K52" s="38">
        <f t="shared" si="15"/>
        <v>1700000</v>
      </c>
      <c r="L52" s="38">
        <f t="shared" si="15"/>
        <v>1700000</v>
      </c>
    </row>
    <row r="53" spans="1:12" ht="15.75" customHeight="1" x14ac:dyDescent="0.3">
      <c r="A53" s="34" t="s">
        <v>49</v>
      </c>
      <c r="B53" s="46"/>
      <c r="C53" s="36">
        <f t="shared" ref="C53:L53" si="16">SUM(C52:C52)</f>
        <v>450000</v>
      </c>
      <c r="D53" s="36">
        <f t="shared" si="16"/>
        <v>700000</v>
      </c>
      <c r="E53" s="36">
        <f t="shared" si="16"/>
        <v>950000</v>
      </c>
      <c r="F53" s="36">
        <f t="shared" si="16"/>
        <v>1200000</v>
      </c>
      <c r="G53" s="36">
        <f t="shared" si="16"/>
        <v>1450000</v>
      </c>
      <c r="H53" s="36">
        <f t="shared" si="16"/>
        <v>1700000</v>
      </c>
      <c r="I53" s="36">
        <f t="shared" si="16"/>
        <v>1700000</v>
      </c>
      <c r="J53" s="36">
        <f t="shared" si="16"/>
        <v>1700000</v>
      </c>
      <c r="K53" s="36">
        <f t="shared" si="16"/>
        <v>1700000</v>
      </c>
      <c r="L53" s="37">
        <f t="shared" si="16"/>
        <v>1700000</v>
      </c>
    </row>
    <row r="54" spans="1:12" ht="14.25" customHeight="1" x14ac:dyDescent="0.3">
      <c r="A54" s="43"/>
      <c r="B54" s="42"/>
      <c r="C54" s="43"/>
      <c r="D54" s="43"/>
      <c r="E54" s="43"/>
      <c r="F54" s="43"/>
      <c r="G54" s="43"/>
      <c r="H54" s="43"/>
    </row>
    <row r="55" spans="1:12" ht="15.75" customHeight="1" x14ac:dyDescent="0.3">
      <c r="A55" s="160" t="s">
        <v>50</v>
      </c>
      <c r="B55" s="160"/>
      <c r="C55" s="160"/>
      <c r="D55" s="160"/>
      <c r="E55" s="160"/>
      <c r="F55" s="160"/>
      <c r="G55" s="160"/>
      <c r="H55" s="160"/>
    </row>
    <row r="56" spans="1:12" ht="14.25" customHeight="1" x14ac:dyDescent="0.3">
      <c r="A56" s="25" t="s">
        <v>36</v>
      </c>
      <c r="B56" s="26" t="s">
        <v>51</v>
      </c>
      <c r="C56" s="26" t="s">
        <v>6</v>
      </c>
      <c r="D56" s="26" t="s">
        <v>7</v>
      </c>
      <c r="E56" s="26" t="s">
        <v>8</v>
      </c>
      <c r="F56" s="26" t="s">
        <v>9</v>
      </c>
      <c r="G56" s="26" t="s">
        <v>10</v>
      </c>
      <c r="H56" s="26" t="s">
        <v>11</v>
      </c>
      <c r="I56" s="26" t="s">
        <v>12</v>
      </c>
      <c r="J56" s="26" t="s">
        <v>13</v>
      </c>
      <c r="K56" s="26" t="s">
        <v>14</v>
      </c>
      <c r="L56" s="27" t="s">
        <v>15</v>
      </c>
    </row>
    <row r="57" spans="1:12" ht="14.25" customHeight="1" x14ac:dyDescent="0.3">
      <c r="A57" s="47" t="s">
        <v>52</v>
      </c>
      <c r="B57" s="48"/>
      <c r="C57" s="49">
        <f t="shared" ref="C57:L57" si="17">C58</f>
        <v>450000</v>
      </c>
      <c r="D57" s="49">
        <f t="shared" si="17"/>
        <v>700000</v>
      </c>
      <c r="E57" s="49">
        <f t="shared" si="17"/>
        <v>950000</v>
      </c>
      <c r="F57" s="49">
        <f t="shared" si="17"/>
        <v>1200000</v>
      </c>
      <c r="G57" s="49">
        <f t="shared" si="17"/>
        <v>1450000</v>
      </c>
      <c r="H57" s="49">
        <f t="shared" si="17"/>
        <v>1700000</v>
      </c>
      <c r="I57" s="49">
        <f t="shared" si="17"/>
        <v>1700000</v>
      </c>
      <c r="J57" s="49">
        <f t="shared" si="17"/>
        <v>1700000</v>
      </c>
      <c r="K57" s="49">
        <f t="shared" si="17"/>
        <v>1700000</v>
      </c>
      <c r="L57" s="50">
        <f t="shared" si="17"/>
        <v>1700000</v>
      </c>
    </row>
    <row r="58" spans="1:12" ht="14.25" customHeight="1" x14ac:dyDescent="0.3">
      <c r="A58" s="28" t="s">
        <v>53</v>
      </c>
      <c r="B58" s="45"/>
      <c r="C58" s="38">
        <f t="shared" ref="C58:L58" si="18">C53</f>
        <v>450000</v>
      </c>
      <c r="D58" s="38">
        <f t="shared" si="18"/>
        <v>700000</v>
      </c>
      <c r="E58" s="38">
        <f t="shared" si="18"/>
        <v>950000</v>
      </c>
      <c r="F58" s="38">
        <f t="shared" si="18"/>
        <v>1200000</v>
      </c>
      <c r="G58" s="38">
        <f t="shared" si="18"/>
        <v>1450000</v>
      </c>
      <c r="H58" s="38">
        <f t="shared" si="18"/>
        <v>1700000</v>
      </c>
      <c r="I58" s="38">
        <f t="shared" si="18"/>
        <v>1700000</v>
      </c>
      <c r="J58" s="38">
        <f t="shared" si="18"/>
        <v>1700000</v>
      </c>
      <c r="K58" s="38">
        <f t="shared" si="18"/>
        <v>1700000</v>
      </c>
      <c r="L58" s="39">
        <f t="shared" si="18"/>
        <v>1700000</v>
      </c>
    </row>
    <row r="59" spans="1:12" ht="14.25" customHeight="1" x14ac:dyDescent="0.3">
      <c r="A59" s="47" t="s">
        <v>54</v>
      </c>
      <c r="B59" s="48"/>
      <c r="C59" s="49">
        <f t="shared" ref="C59:L59" si="19">SUM(C60:C61)</f>
        <v>0</v>
      </c>
      <c r="D59" s="49">
        <f t="shared" si="19"/>
        <v>0</v>
      </c>
      <c r="E59" s="49">
        <f t="shared" si="19"/>
        <v>0</v>
      </c>
      <c r="F59" s="49">
        <f t="shared" si="19"/>
        <v>0</v>
      </c>
      <c r="G59" s="49">
        <f t="shared" si="19"/>
        <v>0</v>
      </c>
      <c r="H59" s="49">
        <f t="shared" si="19"/>
        <v>0</v>
      </c>
      <c r="I59" s="49">
        <f t="shared" si="19"/>
        <v>0</v>
      </c>
      <c r="J59" s="49">
        <f t="shared" si="19"/>
        <v>0</v>
      </c>
      <c r="K59" s="49">
        <f t="shared" si="19"/>
        <v>0</v>
      </c>
      <c r="L59" s="50">
        <f t="shared" si="19"/>
        <v>0</v>
      </c>
    </row>
    <row r="60" spans="1:12" ht="14.25" customHeight="1" x14ac:dyDescent="0.3">
      <c r="A60" s="28" t="s">
        <v>55</v>
      </c>
      <c r="B60" s="45"/>
      <c r="C60" s="38">
        <v>0</v>
      </c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9">
        <v>0</v>
      </c>
    </row>
    <row r="61" spans="1:12" ht="14.25" customHeight="1" x14ac:dyDescent="0.3">
      <c r="A61" s="28" t="s">
        <v>56</v>
      </c>
      <c r="B61" s="45"/>
      <c r="C61" s="38">
        <v>0</v>
      </c>
      <c r="D61" s="38">
        <v>0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9">
        <v>0</v>
      </c>
    </row>
    <row r="62" spans="1:12" ht="14.25" customHeight="1" x14ac:dyDescent="0.3">
      <c r="A62" s="51" t="s">
        <v>57</v>
      </c>
      <c r="B62" s="52"/>
      <c r="C62" s="53">
        <f t="shared" ref="C62:L62" si="20">C57-C59</f>
        <v>450000</v>
      </c>
      <c r="D62" s="53">
        <f t="shared" si="20"/>
        <v>700000</v>
      </c>
      <c r="E62" s="53">
        <f t="shared" si="20"/>
        <v>950000</v>
      </c>
      <c r="F62" s="53">
        <f t="shared" si="20"/>
        <v>1200000</v>
      </c>
      <c r="G62" s="53">
        <f t="shared" si="20"/>
        <v>1450000</v>
      </c>
      <c r="H62" s="53">
        <f t="shared" si="20"/>
        <v>1700000</v>
      </c>
      <c r="I62" s="53">
        <f t="shared" si="20"/>
        <v>1700000</v>
      </c>
      <c r="J62" s="53">
        <f t="shared" si="20"/>
        <v>1700000</v>
      </c>
      <c r="K62" s="53">
        <f t="shared" si="20"/>
        <v>1700000</v>
      </c>
      <c r="L62" s="54">
        <f t="shared" si="20"/>
        <v>1700000</v>
      </c>
    </row>
    <row r="63" spans="1:12" ht="15.75" customHeight="1" x14ac:dyDescent="0.3">
      <c r="A63" s="34" t="s">
        <v>58</v>
      </c>
      <c r="B63" s="36">
        <f t="shared" ref="B63:L63" si="21">C62-B62</f>
        <v>450000</v>
      </c>
      <c r="C63" s="36">
        <f t="shared" si="21"/>
        <v>250000</v>
      </c>
      <c r="D63" s="36">
        <f t="shared" si="21"/>
        <v>250000</v>
      </c>
      <c r="E63" s="36">
        <f t="shared" si="21"/>
        <v>250000</v>
      </c>
      <c r="F63" s="36">
        <f t="shared" si="21"/>
        <v>250000</v>
      </c>
      <c r="G63" s="36">
        <f t="shared" si="21"/>
        <v>250000</v>
      </c>
      <c r="H63" s="36">
        <f t="shared" si="21"/>
        <v>0</v>
      </c>
      <c r="I63" s="36">
        <f t="shared" si="21"/>
        <v>0</v>
      </c>
      <c r="J63" s="36">
        <f t="shared" si="21"/>
        <v>0</v>
      </c>
      <c r="K63" s="36">
        <f t="shared" si="21"/>
        <v>0</v>
      </c>
      <c r="L63" s="37">
        <f t="shared" si="21"/>
        <v>-1700000</v>
      </c>
    </row>
    <row r="64" spans="1:12" ht="14.25" customHeight="1" x14ac:dyDescent="0.3">
      <c r="B64" s="24"/>
    </row>
    <row r="65" spans="1:12" ht="14.25" customHeight="1" x14ac:dyDescent="0.3">
      <c r="A65" s="22" t="s">
        <v>59</v>
      </c>
      <c r="B65" s="24"/>
    </row>
    <row r="66" spans="1:12" ht="15.75" customHeight="1" x14ac:dyDescent="0.3">
      <c r="A66" s="23" t="s">
        <v>60</v>
      </c>
      <c r="B66" s="24"/>
    </row>
    <row r="67" spans="1:12" ht="14.25" customHeight="1" x14ac:dyDescent="0.3">
      <c r="A67" s="25" t="s">
        <v>36</v>
      </c>
      <c r="B67" s="26" t="s">
        <v>5</v>
      </c>
      <c r="C67" s="26" t="s">
        <v>6</v>
      </c>
      <c r="D67" s="26" t="s">
        <v>7</v>
      </c>
      <c r="E67" s="26" t="s">
        <v>8</v>
      </c>
      <c r="F67" s="26" t="s">
        <v>9</v>
      </c>
      <c r="G67" s="26" t="s">
        <v>10</v>
      </c>
      <c r="H67" s="26" t="s">
        <v>11</v>
      </c>
      <c r="I67" s="26" t="s">
        <v>12</v>
      </c>
      <c r="J67" s="26" t="s">
        <v>13</v>
      </c>
      <c r="K67" s="26" t="s">
        <v>14</v>
      </c>
      <c r="L67" s="27" t="s">
        <v>15</v>
      </c>
    </row>
    <row r="68" spans="1:12" ht="14.25" customHeight="1" x14ac:dyDescent="0.3">
      <c r="A68" s="47" t="s">
        <v>61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6"/>
    </row>
    <row r="69" spans="1:12" ht="14.25" customHeight="1" x14ac:dyDescent="0.3">
      <c r="A69" s="28" t="s">
        <v>62</v>
      </c>
      <c r="B69" s="57">
        <v>100000</v>
      </c>
      <c r="C69" s="55"/>
      <c r="D69" s="55"/>
      <c r="E69" s="55"/>
      <c r="F69" s="55"/>
      <c r="G69" s="55"/>
      <c r="H69" s="55"/>
      <c r="I69" s="55"/>
      <c r="J69" s="55"/>
      <c r="K69" s="55"/>
      <c r="L69" s="56"/>
    </row>
    <row r="70" spans="1:12" ht="14.25" customHeight="1" x14ac:dyDescent="0.3">
      <c r="A70" s="28" t="s">
        <v>63</v>
      </c>
      <c r="B70" s="57">
        <f>3000000+200000+450000+50000</f>
        <v>3700000</v>
      </c>
      <c r="C70" s="55"/>
      <c r="D70" s="55"/>
      <c r="E70" s="55"/>
      <c r="F70" s="55"/>
      <c r="G70" s="55"/>
      <c r="H70" s="55"/>
      <c r="I70" s="55"/>
      <c r="J70" s="55"/>
      <c r="K70" s="55"/>
      <c r="L70" s="56"/>
    </row>
    <row r="71" spans="1:12" ht="14.25" customHeight="1" x14ac:dyDescent="0.3">
      <c r="A71" s="28" t="s">
        <v>64</v>
      </c>
      <c r="B71" s="57">
        <f>300000+100000</f>
        <v>400000</v>
      </c>
      <c r="C71" s="55"/>
      <c r="D71" s="55"/>
      <c r="E71" s="55"/>
      <c r="F71" s="55"/>
      <c r="G71" s="55"/>
      <c r="H71" s="55"/>
      <c r="I71" s="55"/>
      <c r="J71" s="55"/>
      <c r="K71" s="55"/>
      <c r="L71" s="56"/>
    </row>
    <row r="72" spans="1:12" ht="14.25" customHeight="1" x14ac:dyDescent="0.3">
      <c r="A72" s="28" t="s">
        <v>65</v>
      </c>
      <c r="B72" s="57">
        <v>750000</v>
      </c>
      <c r="C72" s="55"/>
      <c r="D72" s="55"/>
      <c r="E72" s="55"/>
      <c r="F72" s="55"/>
      <c r="G72" s="55"/>
      <c r="H72" s="55"/>
      <c r="I72" s="55"/>
      <c r="J72" s="55"/>
      <c r="K72" s="55"/>
      <c r="L72" s="56"/>
    </row>
    <row r="73" spans="1:12" ht="14.25" customHeight="1" x14ac:dyDescent="0.3">
      <c r="A73" s="47" t="s">
        <v>66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6"/>
    </row>
    <row r="74" spans="1:12" ht="14.25" customHeight="1" x14ac:dyDescent="0.3">
      <c r="A74" s="28" t="s">
        <v>67</v>
      </c>
      <c r="B74" s="57">
        <v>0</v>
      </c>
      <c r="C74" s="55"/>
      <c r="D74" s="55"/>
      <c r="E74" s="55"/>
      <c r="F74" s="55"/>
      <c r="G74" s="55"/>
      <c r="H74" s="55"/>
      <c r="I74" s="55"/>
      <c r="J74" s="55"/>
      <c r="K74" s="55"/>
      <c r="L74" s="56"/>
    </row>
    <row r="75" spans="1:12" ht="14.25" customHeight="1" x14ac:dyDescent="0.3">
      <c r="A75" s="47" t="s">
        <v>21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6"/>
    </row>
    <row r="76" spans="1:12" ht="14.25" customHeight="1" x14ac:dyDescent="0.3">
      <c r="A76" s="28" t="s">
        <v>68</v>
      </c>
      <c r="B76" s="57">
        <f t="shared" ref="B76:L76" si="22">B63</f>
        <v>450000</v>
      </c>
      <c r="C76" s="57">
        <f t="shared" si="22"/>
        <v>250000</v>
      </c>
      <c r="D76" s="57">
        <f t="shared" si="22"/>
        <v>250000</v>
      </c>
      <c r="E76" s="57">
        <f t="shared" si="22"/>
        <v>250000</v>
      </c>
      <c r="F76" s="57">
        <f t="shared" si="22"/>
        <v>250000</v>
      </c>
      <c r="G76" s="57">
        <f t="shared" si="22"/>
        <v>250000</v>
      </c>
      <c r="H76" s="57">
        <f t="shared" si="22"/>
        <v>0</v>
      </c>
      <c r="I76" s="57">
        <f t="shared" si="22"/>
        <v>0</v>
      </c>
      <c r="J76" s="57">
        <f t="shared" si="22"/>
        <v>0</v>
      </c>
      <c r="K76" s="57">
        <f t="shared" si="22"/>
        <v>0</v>
      </c>
      <c r="L76" s="58">
        <f t="shared" si="22"/>
        <v>-1700000</v>
      </c>
    </row>
    <row r="77" spans="1:12" ht="15.75" customHeight="1" x14ac:dyDescent="0.3">
      <c r="A77" s="40" t="s">
        <v>69</v>
      </c>
      <c r="B77" s="59">
        <f t="shared" ref="B77:L77" si="23">SUM(B68:B76)</f>
        <v>5400000</v>
      </c>
      <c r="C77" s="59">
        <f t="shared" si="23"/>
        <v>250000</v>
      </c>
      <c r="D77" s="59">
        <f t="shared" si="23"/>
        <v>250000</v>
      </c>
      <c r="E77" s="59">
        <f t="shared" si="23"/>
        <v>250000</v>
      </c>
      <c r="F77" s="59">
        <f t="shared" si="23"/>
        <v>250000</v>
      </c>
      <c r="G77" s="59">
        <f t="shared" si="23"/>
        <v>250000</v>
      </c>
      <c r="H77" s="59">
        <f t="shared" si="23"/>
        <v>0</v>
      </c>
      <c r="I77" s="59">
        <f t="shared" si="23"/>
        <v>0</v>
      </c>
      <c r="J77" s="59">
        <f t="shared" si="23"/>
        <v>0</v>
      </c>
      <c r="K77" s="59">
        <f t="shared" si="23"/>
        <v>0</v>
      </c>
      <c r="L77" s="60">
        <f t="shared" si="23"/>
        <v>-1700000</v>
      </c>
    </row>
    <row r="78" spans="1:12" ht="14.25" customHeight="1" x14ac:dyDescent="0.3">
      <c r="B78" s="21"/>
    </row>
    <row r="79" spans="1:12" ht="14.25" customHeight="1" x14ac:dyDescent="0.3">
      <c r="A79" s="22" t="s">
        <v>70</v>
      </c>
      <c r="B79" s="24"/>
    </row>
    <row r="80" spans="1:12" ht="15.75" customHeight="1" x14ac:dyDescent="0.3">
      <c r="A80" s="23" t="s">
        <v>71</v>
      </c>
      <c r="B80" s="24"/>
    </row>
    <row r="81" spans="1:22" ht="14.25" customHeight="1" x14ac:dyDescent="0.3">
      <c r="A81" s="25" t="s">
        <v>36</v>
      </c>
      <c r="B81" s="26" t="s">
        <v>5</v>
      </c>
      <c r="C81" s="26" t="s">
        <v>6</v>
      </c>
      <c r="D81" s="26" t="s">
        <v>7</v>
      </c>
      <c r="E81" s="26" t="s">
        <v>8</v>
      </c>
      <c r="F81" s="26" t="s">
        <v>9</v>
      </c>
      <c r="G81" s="26" t="s">
        <v>10</v>
      </c>
      <c r="H81" s="26" t="s">
        <v>11</v>
      </c>
      <c r="I81" s="26" t="s">
        <v>12</v>
      </c>
      <c r="J81" s="26" t="s">
        <v>13</v>
      </c>
      <c r="K81" s="26" t="s">
        <v>14</v>
      </c>
      <c r="L81" s="27" t="s">
        <v>15</v>
      </c>
      <c r="R81" s="61" t="s">
        <v>72</v>
      </c>
      <c r="S81" s="62" t="s">
        <v>73</v>
      </c>
      <c r="T81" s="62" t="s">
        <v>74</v>
      </c>
      <c r="U81" s="62" t="s">
        <v>75</v>
      </c>
      <c r="V81" s="62" t="s">
        <v>76</v>
      </c>
    </row>
    <row r="82" spans="1:22" ht="14.25" customHeight="1" x14ac:dyDescent="0.3">
      <c r="A82" s="28" t="s">
        <v>77</v>
      </c>
      <c r="B82" s="55"/>
      <c r="C82" s="57">
        <f t="shared" ref="C82:L82" si="24">$V$82</f>
        <v>2500</v>
      </c>
      <c r="D82" s="57">
        <f t="shared" si="24"/>
        <v>2500</v>
      </c>
      <c r="E82" s="57">
        <f t="shared" si="24"/>
        <v>2500</v>
      </c>
      <c r="F82" s="57">
        <f t="shared" si="24"/>
        <v>2500</v>
      </c>
      <c r="G82" s="57">
        <f t="shared" si="24"/>
        <v>2500</v>
      </c>
      <c r="H82" s="57">
        <f t="shared" si="24"/>
        <v>2500</v>
      </c>
      <c r="I82" s="57">
        <f t="shared" si="24"/>
        <v>2500</v>
      </c>
      <c r="J82" s="57">
        <f t="shared" si="24"/>
        <v>2500</v>
      </c>
      <c r="K82" s="57">
        <f t="shared" si="24"/>
        <v>2500</v>
      </c>
      <c r="L82" s="57">
        <f t="shared" si="24"/>
        <v>2500</v>
      </c>
      <c r="R82" s="63" t="s">
        <v>78</v>
      </c>
      <c r="S82" s="15">
        <f>B69</f>
        <v>100000</v>
      </c>
      <c r="T82" s="64">
        <v>50000</v>
      </c>
      <c r="U82" s="65">
        <v>20</v>
      </c>
      <c r="V82" s="15">
        <f>(S82-T82)/U82</f>
        <v>2500</v>
      </c>
    </row>
    <row r="83" spans="1:22" ht="14.25" customHeight="1" x14ac:dyDescent="0.3">
      <c r="A83" s="28" t="s">
        <v>79</v>
      </c>
      <c r="B83" s="55"/>
      <c r="C83" s="57">
        <f t="shared" ref="C83:L83" si="25">$V$83+$V$84</f>
        <v>270000</v>
      </c>
      <c r="D83" s="57">
        <f t="shared" si="25"/>
        <v>270000</v>
      </c>
      <c r="E83" s="57">
        <f t="shared" si="25"/>
        <v>270000</v>
      </c>
      <c r="F83" s="57">
        <f t="shared" si="25"/>
        <v>270000</v>
      </c>
      <c r="G83" s="57">
        <f t="shared" si="25"/>
        <v>270000</v>
      </c>
      <c r="H83" s="57">
        <f t="shared" si="25"/>
        <v>270000</v>
      </c>
      <c r="I83" s="57">
        <f t="shared" si="25"/>
        <v>270000</v>
      </c>
      <c r="J83" s="57">
        <f t="shared" si="25"/>
        <v>270000</v>
      </c>
      <c r="K83" s="57">
        <f t="shared" si="25"/>
        <v>270000</v>
      </c>
      <c r="L83" s="57">
        <f t="shared" si="25"/>
        <v>270000</v>
      </c>
      <c r="R83" s="63" t="s">
        <v>80</v>
      </c>
      <c r="S83" s="15">
        <v>3000000</v>
      </c>
      <c r="T83" s="64">
        <v>1000000</v>
      </c>
      <c r="U83" s="66">
        <v>10</v>
      </c>
      <c r="V83" s="15">
        <f>(S83-T83)/U83</f>
        <v>200000</v>
      </c>
    </row>
    <row r="84" spans="1:22" ht="14.25" customHeight="1" x14ac:dyDescent="0.3">
      <c r="A84" s="28" t="s">
        <v>81</v>
      </c>
      <c r="B84" s="55"/>
      <c r="C84" s="57">
        <f>$V$85</f>
        <v>80000</v>
      </c>
      <c r="D84" s="57">
        <f>$V$85</f>
        <v>80000</v>
      </c>
      <c r="E84" s="57">
        <f>$V$85</f>
        <v>80000</v>
      </c>
      <c r="F84" s="57">
        <f>$V$85</f>
        <v>80000</v>
      </c>
      <c r="G84" s="57">
        <f>$V$85</f>
        <v>80000</v>
      </c>
      <c r="H84" s="57">
        <v>0</v>
      </c>
      <c r="I84" s="57">
        <v>0</v>
      </c>
      <c r="J84" s="57">
        <v>0</v>
      </c>
      <c r="K84" s="57">
        <v>0</v>
      </c>
      <c r="L84" s="57">
        <v>0</v>
      </c>
      <c r="R84" s="63" t="s">
        <v>82</v>
      </c>
      <c r="S84" s="67">
        <f>B70-S83</f>
        <v>700000</v>
      </c>
      <c r="T84" s="63">
        <v>0</v>
      </c>
      <c r="U84" s="65">
        <v>10</v>
      </c>
      <c r="V84" s="15">
        <f>(S84-T84)/U84</f>
        <v>70000</v>
      </c>
    </row>
    <row r="85" spans="1:22" ht="14.25" customHeight="1" x14ac:dyDescent="0.3">
      <c r="A85" s="68" t="s">
        <v>83</v>
      </c>
      <c r="B85" s="69"/>
      <c r="C85" s="70">
        <f t="shared" ref="C85:L85" si="26">SUM(C82:C84)</f>
        <v>352500</v>
      </c>
      <c r="D85" s="70">
        <f t="shared" si="26"/>
        <v>352500</v>
      </c>
      <c r="E85" s="70">
        <f t="shared" si="26"/>
        <v>352500</v>
      </c>
      <c r="F85" s="70">
        <f t="shared" si="26"/>
        <v>352500</v>
      </c>
      <c r="G85" s="70">
        <f t="shared" si="26"/>
        <v>352500</v>
      </c>
      <c r="H85" s="70">
        <f t="shared" si="26"/>
        <v>272500</v>
      </c>
      <c r="I85" s="70">
        <f t="shared" si="26"/>
        <v>272500</v>
      </c>
      <c r="J85" s="70">
        <f t="shared" si="26"/>
        <v>272500</v>
      </c>
      <c r="K85" s="70">
        <f t="shared" si="26"/>
        <v>272500</v>
      </c>
      <c r="L85" s="70">
        <f t="shared" si="26"/>
        <v>272500</v>
      </c>
      <c r="R85" s="63" t="s">
        <v>84</v>
      </c>
      <c r="S85" s="15">
        <f>B71</f>
        <v>400000</v>
      </c>
      <c r="T85" s="64">
        <v>0</v>
      </c>
      <c r="U85" s="66">
        <v>5</v>
      </c>
      <c r="V85" s="15">
        <f>(S85-T85)/U85</f>
        <v>80000</v>
      </c>
    </row>
    <row r="86" spans="1:22" ht="14.25" customHeight="1" x14ac:dyDescent="0.3">
      <c r="A86" s="71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6"/>
      <c r="S86" s="72">
        <f>SUM(S82:S85)</f>
        <v>4200000</v>
      </c>
    </row>
    <row r="87" spans="1:22" ht="14.25" customHeight="1" x14ac:dyDescent="0.3">
      <c r="A87" s="28" t="s">
        <v>85</v>
      </c>
      <c r="B87" s="55"/>
      <c r="C87" s="57">
        <f t="shared" ref="C87:L87" si="27">$B$74/10</f>
        <v>0</v>
      </c>
      <c r="D87" s="57">
        <f t="shared" si="27"/>
        <v>0</v>
      </c>
      <c r="E87" s="57">
        <f t="shared" si="27"/>
        <v>0</v>
      </c>
      <c r="F87" s="57">
        <f t="shared" si="27"/>
        <v>0</v>
      </c>
      <c r="G87" s="57">
        <f t="shared" si="27"/>
        <v>0</v>
      </c>
      <c r="H87" s="57">
        <f t="shared" si="27"/>
        <v>0</v>
      </c>
      <c r="I87" s="57">
        <f t="shared" si="27"/>
        <v>0</v>
      </c>
      <c r="J87" s="57">
        <f t="shared" si="27"/>
        <v>0</v>
      </c>
      <c r="K87" s="57">
        <f t="shared" si="27"/>
        <v>0</v>
      </c>
      <c r="L87" s="73">
        <f t="shared" si="27"/>
        <v>0</v>
      </c>
      <c r="O87" s="74"/>
    </row>
    <row r="88" spans="1:22" ht="15.75" customHeight="1" x14ac:dyDescent="0.3">
      <c r="A88" s="40" t="s">
        <v>86</v>
      </c>
      <c r="B88" s="75"/>
      <c r="C88" s="59">
        <f t="shared" ref="C88:L88" si="28">SUM(C87)</f>
        <v>0</v>
      </c>
      <c r="D88" s="59">
        <f t="shared" si="28"/>
        <v>0</v>
      </c>
      <c r="E88" s="59">
        <f t="shared" si="28"/>
        <v>0</v>
      </c>
      <c r="F88" s="59">
        <f t="shared" si="28"/>
        <v>0</v>
      </c>
      <c r="G88" s="59">
        <f t="shared" si="28"/>
        <v>0</v>
      </c>
      <c r="H88" s="59">
        <f t="shared" si="28"/>
        <v>0</v>
      </c>
      <c r="I88" s="59">
        <f t="shared" si="28"/>
        <v>0</v>
      </c>
      <c r="J88" s="59">
        <f t="shared" si="28"/>
        <v>0</v>
      </c>
      <c r="K88" s="59">
        <f t="shared" si="28"/>
        <v>0</v>
      </c>
      <c r="L88" s="60">
        <f t="shared" si="28"/>
        <v>0</v>
      </c>
      <c r="O88" s="74"/>
    </row>
    <row r="89" spans="1:22" ht="14.25" customHeight="1" x14ac:dyDescent="0.3">
      <c r="B89" s="21"/>
    </row>
    <row r="90" spans="1:22" ht="14.25" customHeight="1" x14ac:dyDescent="0.3">
      <c r="A90" s="22" t="s">
        <v>87</v>
      </c>
      <c r="B90" s="24"/>
    </row>
    <row r="91" spans="1:22" ht="15.75" customHeight="1" x14ac:dyDescent="0.3">
      <c r="A91" s="23" t="s">
        <v>88</v>
      </c>
      <c r="B91" s="24"/>
    </row>
    <row r="92" spans="1:22" ht="14.25" customHeight="1" x14ac:dyDescent="0.3">
      <c r="A92" s="161" t="s">
        <v>36</v>
      </c>
      <c r="B92" s="76" t="s">
        <v>89</v>
      </c>
      <c r="C92" s="162" t="s">
        <v>90</v>
      </c>
      <c r="D92" s="162"/>
      <c r="E92" s="162"/>
      <c r="F92" s="162"/>
      <c r="G92" s="162"/>
      <c r="H92" s="162"/>
      <c r="I92" s="162"/>
      <c r="J92" s="162"/>
      <c r="K92" s="162"/>
      <c r="L92" s="162"/>
      <c r="M92" s="77" t="s">
        <v>91</v>
      </c>
    </row>
    <row r="93" spans="1:22" ht="14.25" customHeight="1" x14ac:dyDescent="0.3">
      <c r="A93" s="161"/>
      <c r="B93" s="62" t="s">
        <v>92</v>
      </c>
      <c r="C93" s="78" t="s">
        <v>6</v>
      </c>
      <c r="D93" s="78" t="s">
        <v>7</v>
      </c>
      <c r="E93" s="78" t="s">
        <v>8</v>
      </c>
      <c r="F93" s="78" t="s">
        <v>9</v>
      </c>
      <c r="G93" s="78" t="s">
        <v>10</v>
      </c>
      <c r="H93" s="78" t="s">
        <v>11</v>
      </c>
      <c r="I93" s="78" t="s">
        <v>12</v>
      </c>
      <c r="J93" s="78" t="s">
        <v>13</v>
      </c>
      <c r="K93" s="78" t="s">
        <v>14</v>
      </c>
      <c r="L93" s="78" t="s">
        <v>15</v>
      </c>
      <c r="M93" s="79" t="s">
        <v>93</v>
      </c>
    </row>
    <row r="94" spans="1:22" ht="14.25" customHeight="1" x14ac:dyDescent="0.3">
      <c r="A94" s="28" t="s">
        <v>77</v>
      </c>
      <c r="B94" s="57">
        <f>B69</f>
        <v>100000</v>
      </c>
      <c r="C94" s="57">
        <f t="shared" ref="C94:L94" si="29">C82</f>
        <v>2500</v>
      </c>
      <c r="D94" s="57">
        <f t="shared" si="29"/>
        <v>2500</v>
      </c>
      <c r="E94" s="57">
        <f t="shared" si="29"/>
        <v>2500</v>
      </c>
      <c r="F94" s="57">
        <f t="shared" si="29"/>
        <v>2500</v>
      </c>
      <c r="G94" s="57">
        <f t="shared" si="29"/>
        <v>2500</v>
      </c>
      <c r="H94" s="57">
        <f t="shared" si="29"/>
        <v>2500</v>
      </c>
      <c r="I94" s="57">
        <f t="shared" si="29"/>
        <v>2500</v>
      </c>
      <c r="J94" s="57">
        <f t="shared" si="29"/>
        <v>2500</v>
      </c>
      <c r="K94" s="57">
        <f t="shared" si="29"/>
        <v>2500</v>
      </c>
      <c r="L94" s="57">
        <f t="shared" si="29"/>
        <v>2500</v>
      </c>
      <c r="M94" s="73">
        <f>B94-SUM(C94:L94)</f>
        <v>75000</v>
      </c>
    </row>
    <row r="95" spans="1:22" ht="14.25" customHeight="1" x14ac:dyDescent="0.3">
      <c r="A95" s="28" t="s">
        <v>79</v>
      </c>
      <c r="B95" s="57">
        <f>B70</f>
        <v>3700000</v>
      </c>
      <c r="C95" s="57">
        <f t="shared" ref="C95:L95" si="30">C83</f>
        <v>270000</v>
      </c>
      <c r="D95" s="57">
        <f t="shared" si="30"/>
        <v>270000</v>
      </c>
      <c r="E95" s="57">
        <f t="shared" si="30"/>
        <v>270000</v>
      </c>
      <c r="F95" s="57">
        <f t="shared" si="30"/>
        <v>270000</v>
      </c>
      <c r="G95" s="57">
        <f t="shared" si="30"/>
        <v>270000</v>
      </c>
      <c r="H95" s="57">
        <f t="shared" si="30"/>
        <v>270000</v>
      </c>
      <c r="I95" s="57">
        <f t="shared" si="30"/>
        <v>270000</v>
      </c>
      <c r="J95" s="57">
        <f t="shared" si="30"/>
        <v>270000</v>
      </c>
      <c r="K95" s="57">
        <f t="shared" si="30"/>
        <v>270000</v>
      </c>
      <c r="L95" s="57">
        <f t="shared" si="30"/>
        <v>270000</v>
      </c>
      <c r="M95" s="73">
        <f>B95-SUM(C95:L95)</f>
        <v>1000000</v>
      </c>
    </row>
    <row r="96" spans="1:22" ht="14.25" customHeight="1" x14ac:dyDescent="0.3">
      <c r="A96" s="28" t="s">
        <v>81</v>
      </c>
      <c r="B96" s="57">
        <f>B71</f>
        <v>400000</v>
      </c>
      <c r="C96" s="57">
        <f t="shared" ref="C96:L96" si="31">C84</f>
        <v>80000</v>
      </c>
      <c r="D96" s="57">
        <f t="shared" si="31"/>
        <v>80000</v>
      </c>
      <c r="E96" s="57">
        <f t="shared" si="31"/>
        <v>80000</v>
      </c>
      <c r="F96" s="57">
        <f t="shared" si="31"/>
        <v>80000</v>
      </c>
      <c r="G96" s="57">
        <f t="shared" si="31"/>
        <v>80000</v>
      </c>
      <c r="H96" s="57">
        <f t="shared" si="31"/>
        <v>0</v>
      </c>
      <c r="I96" s="57">
        <f t="shared" si="31"/>
        <v>0</v>
      </c>
      <c r="J96" s="57">
        <f t="shared" si="31"/>
        <v>0</v>
      </c>
      <c r="K96" s="57">
        <f t="shared" si="31"/>
        <v>0</v>
      </c>
      <c r="L96" s="57">
        <f t="shared" si="31"/>
        <v>0</v>
      </c>
      <c r="M96" s="73">
        <f>B96-SUM(C96:L96)</f>
        <v>0</v>
      </c>
    </row>
    <row r="97" spans="1:13" ht="15.75" customHeight="1" x14ac:dyDescent="0.3">
      <c r="A97" s="80" t="s">
        <v>85</v>
      </c>
      <c r="B97" s="81">
        <f>B74</f>
        <v>0</v>
      </c>
      <c r="C97" s="81">
        <f t="shared" ref="C97:L97" si="32">C87</f>
        <v>0</v>
      </c>
      <c r="D97" s="81">
        <f t="shared" si="32"/>
        <v>0</v>
      </c>
      <c r="E97" s="81">
        <f t="shared" si="32"/>
        <v>0</v>
      </c>
      <c r="F97" s="81">
        <f t="shared" si="32"/>
        <v>0</v>
      </c>
      <c r="G97" s="81">
        <f t="shared" si="32"/>
        <v>0</v>
      </c>
      <c r="H97" s="81">
        <f t="shared" si="32"/>
        <v>0</v>
      </c>
      <c r="I97" s="81">
        <f t="shared" si="32"/>
        <v>0</v>
      </c>
      <c r="J97" s="81">
        <f t="shared" si="32"/>
        <v>0</v>
      </c>
      <c r="K97" s="81">
        <f t="shared" si="32"/>
        <v>0</v>
      </c>
      <c r="L97" s="81">
        <f t="shared" si="32"/>
        <v>0</v>
      </c>
      <c r="M97" s="82">
        <f>B97-SUM(C97:L97)</f>
        <v>0</v>
      </c>
    </row>
    <row r="98" spans="1:13" ht="15.75" customHeight="1" x14ac:dyDescent="0.3">
      <c r="A98" s="163" t="s">
        <v>94</v>
      </c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83">
        <f>SUM(M94:M97)</f>
        <v>1075000</v>
      </c>
    </row>
    <row r="99" spans="1:13" ht="14.25" customHeight="1" x14ac:dyDescent="0.3">
      <c r="B99" s="21"/>
    </row>
    <row r="100" spans="1:13" ht="14.25" customHeight="1" x14ac:dyDescent="0.3">
      <c r="A100" s="22" t="s">
        <v>95</v>
      </c>
      <c r="B100" s="24"/>
    </row>
    <row r="101" spans="1:13" ht="15.75" customHeight="1" x14ac:dyDescent="0.3">
      <c r="A101" s="44" t="s">
        <v>96</v>
      </c>
      <c r="B101" s="42"/>
      <c r="C101" s="43"/>
      <c r="D101" s="43"/>
      <c r="E101" s="43"/>
    </row>
    <row r="102" spans="1:13" ht="14.25" customHeight="1" x14ac:dyDescent="0.3">
      <c r="A102" s="84" t="s">
        <v>97</v>
      </c>
      <c r="B102" s="85">
        <f>B77*E102</f>
        <v>0</v>
      </c>
      <c r="C102" s="86"/>
      <c r="D102" s="43"/>
      <c r="E102" s="87">
        <v>0</v>
      </c>
    </row>
    <row r="103" spans="1:13" ht="14.25" customHeight="1" x14ac:dyDescent="0.3">
      <c r="A103" s="28" t="s">
        <v>98</v>
      </c>
      <c r="B103" s="88">
        <f>B22</f>
        <v>0.1</v>
      </c>
      <c r="C103" s="89"/>
      <c r="D103" s="43"/>
      <c r="E103" s="43"/>
    </row>
    <row r="104" spans="1:13" ht="14.25" customHeight="1" x14ac:dyDescent="0.3">
      <c r="A104" s="28" t="s">
        <v>99</v>
      </c>
      <c r="B104" s="90">
        <v>7</v>
      </c>
      <c r="C104" s="91" t="s">
        <v>100</v>
      </c>
      <c r="D104" s="43"/>
      <c r="E104" s="43"/>
    </row>
    <row r="105" spans="1:13" ht="15.75" customHeight="1" x14ac:dyDescent="0.3">
      <c r="A105" s="92" t="s">
        <v>101</v>
      </c>
      <c r="B105" s="159" t="s">
        <v>102</v>
      </c>
      <c r="C105" s="159"/>
      <c r="D105" s="43"/>
      <c r="E105" s="43"/>
    </row>
    <row r="106" spans="1:13" ht="15.75" customHeight="1" x14ac:dyDescent="0.3">
      <c r="A106" s="43"/>
      <c r="B106" s="42"/>
      <c r="C106" s="43"/>
      <c r="D106" s="43"/>
      <c r="E106" s="43"/>
    </row>
    <row r="107" spans="1:13" ht="14.25" customHeight="1" x14ac:dyDescent="0.3">
      <c r="A107" s="25" t="s">
        <v>36</v>
      </c>
      <c r="B107" s="26" t="s">
        <v>5</v>
      </c>
      <c r="C107" s="26" t="s">
        <v>6</v>
      </c>
      <c r="D107" s="26" t="s">
        <v>7</v>
      </c>
      <c r="E107" s="26" t="s">
        <v>8</v>
      </c>
      <c r="F107" s="26" t="s">
        <v>9</v>
      </c>
      <c r="G107" s="26" t="s">
        <v>10</v>
      </c>
      <c r="H107" s="26" t="s">
        <v>11</v>
      </c>
      <c r="I107" s="26" t="s">
        <v>12</v>
      </c>
    </row>
    <row r="108" spans="1:13" ht="14.25" customHeight="1" x14ac:dyDescent="0.3">
      <c r="A108" s="28" t="s">
        <v>103</v>
      </c>
      <c r="B108" s="57">
        <f>B102</f>
        <v>0</v>
      </c>
      <c r="C108" s="57">
        <f t="shared" ref="C108:I108" si="33">B108-C111</f>
        <v>0</v>
      </c>
      <c r="D108" s="57">
        <f t="shared" si="33"/>
        <v>0</v>
      </c>
      <c r="E108" s="57">
        <f t="shared" si="33"/>
        <v>0</v>
      </c>
      <c r="F108" s="57">
        <f t="shared" si="33"/>
        <v>0</v>
      </c>
      <c r="G108" s="57">
        <f t="shared" si="33"/>
        <v>0</v>
      </c>
      <c r="H108" s="57">
        <f t="shared" si="33"/>
        <v>0</v>
      </c>
      <c r="I108" s="57">
        <f t="shared" si="33"/>
        <v>0</v>
      </c>
    </row>
    <row r="109" spans="1:13" ht="14.25" customHeight="1" x14ac:dyDescent="0.3">
      <c r="A109" s="28" t="s">
        <v>104</v>
      </c>
      <c r="B109" s="55"/>
      <c r="C109" s="57">
        <f>C110</f>
        <v>0</v>
      </c>
      <c r="D109" s="57">
        <f>D110</f>
        <v>0</v>
      </c>
      <c r="E109" s="57">
        <v>0</v>
      </c>
      <c r="F109" s="57">
        <v>0</v>
      </c>
      <c r="G109" s="57">
        <v>0</v>
      </c>
      <c r="H109" s="57">
        <v>0</v>
      </c>
      <c r="I109" s="57">
        <f>(H108*B103)+H108</f>
        <v>0</v>
      </c>
    </row>
    <row r="110" spans="1:13" ht="14.25" customHeight="1" x14ac:dyDescent="0.3">
      <c r="A110" s="28" t="s">
        <v>105</v>
      </c>
      <c r="B110" s="55"/>
      <c r="C110" s="57">
        <f t="shared" ref="C110:I110" si="34">B108*$B$103</f>
        <v>0</v>
      </c>
      <c r="D110" s="57">
        <f t="shared" si="34"/>
        <v>0</v>
      </c>
      <c r="E110" s="57">
        <f t="shared" si="34"/>
        <v>0</v>
      </c>
      <c r="F110" s="57">
        <f t="shared" si="34"/>
        <v>0</v>
      </c>
      <c r="G110" s="57">
        <f t="shared" si="34"/>
        <v>0</v>
      </c>
      <c r="H110" s="57">
        <f t="shared" si="34"/>
        <v>0</v>
      </c>
      <c r="I110" s="57">
        <f t="shared" si="34"/>
        <v>0</v>
      </c>
    </row>
    <row r="111" spans="1:13" ht="15.75" customHeight="1" x14ac:dyDescent="0.3">
      <c r="A111" s="92" t="s">
        <v>106</v>
      </c>
      <c r="B111" s="93"/>
      <c r="C111" s="81">
        <f t="shared" ref="C111:I111" si="35">C109-C110</f>
        <v>0</v>
      </c>
      <c r="D111" s="81">
        <f t="shared" si="35"/>
        <v>0</v>
      </c>
      <c r="E111" s="81">
        <f t="shared" si="35"/>
        <v>0</v>
      </c>
      <c r="F111" s="81">
        <f t="shared" si="35"/>
        <v>0</v>
      </c>
      <c r="G111" s="81">
        <f t="shared" si="35"/>
        <v>0</v>
      </c>
      <c r="H111" s="81">
        <f t="shared" si="35"/>
        <v>0</v>
      </c>
      <c r="I111" s="81">
        <f t="shared" si="35"/>
        <v>0</v>
      </c>
    </row>
    <row r="112" spans="1:13" ht="14.25" customHeight="1" x14ac:dyDescent="0.3">
      <c r="B112" s="21"/>
    </row>
    <row r="113" spans="1:12" ht="14.25" customHeight="1" x14ac:dyDescent="0.3">
      <c r="A113" s="22" t="s">
        <v>107</v>
      </c>
      <c r="B113" s="24"/>
    </row>
    <row r="114" spans="1:12" ht="15.75" customHeight="1" x14ac:dyDescent="0.3">
      <c r="A114" s="4" t="s">
        <v>108</v>
      </c>
      <c r="B114" s="24"/>
    </row>
    <row r="115" spans="1:12" ht="14.25" customHeight="1" x14ac:dyDescent="0.3">
      <c r="A115" s="25" t="s">
        <v>36</v>
      </c>
      <c r="B115" s="26" t="s">
        <v>5</v>
      </c>
      <c r="C115" s="26" t="s">
        <v>6</v>
      </c>
      <c r="D115" s="26" t="s">
        <v>7</v>
      </c>
      <c r="E115" s="26" t="s">
        <v>8</v>
      </c>
      <c r="F115" s="26" t="s">
        <v>9</v>
      </c>
      <c r="G115" s="26" t="s">
        <v>10</v>
      </c>
      <c r="H115" s="26" t="s">
        <v>11</v>
      </c>
      <c r="I115" s="26" t="s">
        <v>12</v>
      </c>
      <c r="J115" s="26" t="s">
        <v>13</v>
      </c>
      <c r="K115" s="26" t="s">
        <v>14</v>
      </c>
      <c r="L115" s="27" t="s">
        <v>15</v>
      </c>
    </row>
    <row r="116" spans="1:12" ht="14.25" customHeight="1" x14ac:dyDescent="0.3">
      <c r="A116" s="94" t="s">
        <v>109</v>
      </c>
      <c r="B116" s="95"/>
      <c r="C116" s="96">
        <f t="shared" ref="C116:L116" si="36">C33</f>
        <v>2214949.9715030519</v>
      </c>
      <c r="D116" s="96">
        <f t="shared" si="36"/>
        <v>3412794.9160919031</v>
      </c>
      <c r="E116" s="96">
        <f t="shared" si="36"/>
        <v>4260305.6535880603</v>
      </c>
      <c r="F116" s="96">
        <f t="shared" si="36"/>
        <v>5209745.1992448289</v>
      </c>
      <c r="G116" s="96">
        <f t="shared" si="36"/>
        <v>6271230.7835909631</v>
      </c>
      <c r="H116" s="96">
        <f t="shared" si="36"/>
        <v>6710216.9384423308</v>
      </c>
      <c r="I116" s="96">
        <f t="shared" si="36"/>
        <v>7179932.1241332935</v>
      </c>
      <c r="J116" s="96">
        <f t="shared" si="36"/>
        <v>7682527.3728226237</v>
      </c>
      <c r="K116" s="96">
        <f t="shared" si="36"/>
        <v>8220304.2889202079</v>
      </c>
      <c r="L116" s="97">
        <f t="shared" si="36"/>
        <v>8795725.5891446229</v>
      </c>
    </row>
    <row r="117" spans="1:12" ht="14.25" customHeight="1" x14ac:dyDescent="0.3">
      <c r="A117" s="98" t="s">
        <v>110</v>
      </c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7">
        <f>B19</f>
        <v>1250000</v>
      </c>
    </row>
    <row r="118" spans="1:12" ht="14.25" customHeight="1" x14ac:dyDescent="0.3">
      <c r="A118" s="94" t="s">
        <v>111</v>
      </c>
      <c r="B118" s="95"/>
      <c r="C118" s="96">
        <f t="shared" ref="C118:L118" si="37">SUM(C119:C121)</f>
        <v>1582187.5</v>
      </c>
      <c r="D118" s="96">
        <f t="shared" si="37"/>
        <v>2320134.5</v>
      </c>
      <c r="E118" s="96">
        <f t="shared" si="37"/>
        <v>2848597.0674999999</v>
      </c>
      <c r="F118" s="96">
        <f t="shared" si="37"/>
        <v>3439675.7354000001</v>
      </c>
      <c r="G118" s="96">
        <f t="shared" si="37"/>
        <v>4099547.29117525</v>
      </c>
      <c r="H118" s="96">
        <f t="shared" si="37"/>
        <v>4386515.6015575174</v>
      </c>
      <c r="I118" s="96">
        <f t="shared" si="37"/>
        <v>4693571.6936665447</v>
      </c>
      <c r="J118" s="96">
        <f t="shared" si="37"/>
        <v>5022121.7122232029</v>
      </c>
      <c r="K118" s="96">
        <f t="shared" si="37"/>
        <v>5373670.2320788261</v>
      </c>
      <c r="L118" s="97">
        <f t="shared" si="37"/>
        <v>5749827.1483243443</v>
      </c>
    </row>
    <row r="119" spans="1:12" ht="14.25" customHeight="1" x14ac:dyDescent="0.3">
      <c r="A119" s="99" t="s">
        <v>112</v>
      </c>
      <c r="B119" s="100"/>
      <c r="C119" s="15">
        <f t="shared" ref="C119:L119" si="38">C39</f>
        <v>1332187.5</v>
      </c>
      <c r="D119" s="15">
        <f t="shared" si="38"/>
        <v>2052634.4999999998</v>
      </c>
      <c r="E119" s="15">
        <f t="shared" si="38"/>
        <v>2562372.0674999999</v>
      </c>
      <c r="F119" s="15">
        <f t="shared" si="38"/>
        <v>3133414.9854000001</v>
      </c>
      <c r="G119" s="15">
        <f t="shared" si="38"/>
        <v>3771848.28867525</v>
      </c>
      <c r="H119" s="15">
        <f t="shared" si="38"/>
        <v>4035877.6688825176</v>
      </c>
      <c r="I119" s="15">
        <f t="shared" si="38"/>
        <v>4318389.1057042945</v>
      </c>
      <c r="J119" s="15">
        <f t="shared" si="38"/>
        <v>4620676.3431035951</v>
      </c>
      <c r="K119" s="15">
        <f t="shared" si="38"/>
        <v>4944123.6871208465</v>
      </c>
      <c r="L119" s="101">
        <f t="shared" si="38"/>
        <v>5290212.3452193057</v>
      </c>
    </row>
    <row r="120" spans="1:12" ht="14.25" customHeight="1" x14ac:dyDescent="0.3">
      <c r="A120" s="99" t="s">
        <v>113</v>
      </c>
      <c r="B120" s="100"/>
      <c r="C120" s="15">
        <f t="shared" ref="C120:L120" si="39">C46</f>
        <v>250000</v>
      </c>
      <c r="D120" s="15">
        <f t="shared" si="39"/>
        <v>267500</v>
      </c>
      <c r="E120" s="15">
        <f t="shared" si="39"/>
        <v>286225</v>
      </c>
      <c r="F120" s="15">
        <f t="shared" si="39"/>
        <v>306260.75</v>
      </c>
      <c r="G120" s="15">
        <f t="shared" si="39"/>
        <v>327699.0025</v>
      </c>
      <c r="H120" s="15">
        <f t="shared" si="39"/>
        <v>350637.93267499999</v>
      </c>
      <c r="I120" s="15">
        <f t="shared" si="39"/>
        <v>375182.58796224999</v>
      </c>
      <c r="J120" s="15">
        <f t="shared" si="39"/>
        <v>401445.36911960749</v>
      </c>
      <c r="K120" s="15">
        <f t="shared" si="39"/>
        <v>429546.54495797999</v>
      </c>
      <c r="L120" s="101">
        <f t="shared" si="39"/>
        <v>459614.80310503859</v>
      </c>
    </row>
    <row r="121" spans="1:12" ht="14.25" customHeight="1" x14ac:dyDescent="0.3">
      <c r="A121" s="99" t="s">
        <v>114</v>
      </c>
      <c r="B121" s="100"/>
      <c r="C121" s="15">
        <f t="shared" ref="C121:L121" si="40">C110</f>
        <v>0</v>
      </c>
      <c r="D121" s="15">
        <f t="shared" si="40"/>
        <v>0</v>
      </c>
      <c r="E121" s="15">
        <f t="shared" si="40"/>
        <v>0</v>
      </c>
      <c r="F121" s="15">
        <f t="shared" si="40"/>
        <v>0</v>
      </c>
      <c r="G121" s="15">
        <f t="shared" si="40"/>
        <v>0</v>
      </c>
      <c r="H121" s="15">
        <f t="shared" si="40"/>
        <v>0</v>
      </c>
      <c r="I121" s="15">
        <f t="shared" si="40"/>
        <v>0</v>
      </c>
      <c r="J121" s="15">
        <f t="shared" si="40"/>
        <v>0</v>
      </c>
      <c r="K121" s="15">
        <f t="shared" si="40"/>
        <v>0</v>
      </c>
      <c r="L121" s="101">
        <f t="shared" si="40"/>
        <v>0</v>
      </c>
    </row>
    <row r="122" spans="1:12" ht="14.25" customHeight="1" x14ac:dyDescent="0.3">
      <c r="A122" s="94" t="s">
        <v>115</v>
      </c>
      <c r="B122" s="95"/>
      <c r="C122" s="96">
        <f t="shared" ref="C122:L122" si="41">SUM(C123:C124)</f>
        <v>352500</v>
      </c>
      <c r="D122" s="96">
        <f t="shared" si="41"/>
        <v>352500</v>
      </c>
      <c r="E122" s="96">
        <f t="shared" si="41"/>
        <v>352500</v>
      </c>
      <c r="F122" s="96">
        <f t="shared" si="41"/>
        <v>352500</v>
      </c>
      <c r="G122" s="96">
        <f t="shared" si="41"/>
        <v>352500</v>
      </c>
      <c r="H122" s="96">
        <f t="shared" si="41"/>
        <v>272500</v>
      </c>
      <c r="I122" s="96">
        <f t="shared" si="41"/>
        <v>272500</v>
      </c>
      <c r="J122" s="96">
        <f t="shared" si="41"/>
        <v>272500</v>
      </c>
      <c r="K122" s="96">
        <f t="shared" si="41"/>
        <v>272500</v>
      </c>
      <c r="L122" s="97">
        <f t="shared" si="41"/>
        <v>272500</v>
      </c>
    </row>
    <row r="123" spans="1:12" ht="14.25" customHeight="1" x14ac:dyDescent="0.3">
      <c r="A123" s="99" t="s">
        <v>116</v>
      </c>
      <c r="B123" s="100"/>
      <c r="C123" s="15">
        <f t="shared" ref="C123:L123" si="42">C85</f>
        <v>352500</v>
      </c>
      <c r="D123" s="15">
        <f t="shared" si="42"/>
        <v>352500</v>
      </c>
      <c r="E123" s="15">
        <f t="shared" si="42"/>
        <v>352500</v>
      </c>
      <c r="F123" s="15">
        <f t="shared" si="42"/>
        <v>352500</v>
      </c>
      <c r="G123" s="15">
        <f t="shared" si="42"/>
        <v>352500</v>
      </c>
      <c r="H123" s="15">
        <f t="shared" si="42"/>
        <v>272500</v>
      </c>
      <c r="I123" s="15">
        <f t="shared" si="42"/>
        <v>272500</v>
      </c>
      <c r="J123" s="15">
        <f t="shared" si="42"/>
        <v>272500</v>
      </c>
      <c r="K123" s="15">
        <f t="shared" si="42"/>
        <v>272500</v>
      </c>
      <c r="L123" s="101">
        <f t="shared" si="42"/>
        <v>272500</v>
      </c>
    </row>
    <row r="124" spans="1:12" ht="14.25" customHeight="1" x14ac:dyDescent="0.3">
      <c r="A124" s="99" t="s">
        <v>117</v>
      </c>
      <c r="B124" s="100"/>
      <c r="C124" s="15">
        <f t="shared" ref="C124:L124" si="43">C87</f>
        <v>0</v>
      </c>
      <c r="D124" s="15">
        <f t="shared" si="43"/>
        <v>0</v>
      </c>
      <c r="E124" s="15">
        <f t="shared" si="43"/>
        <v>0</v>
      </c>
      <c r="F124" s="15">
        <f t="shared" si="43"/>
        <v>0</v>
      </c>
      <c r="G124" s="15">
        <f t="shared" si="43"/>
        <v>0</v>
      </c>
      <c r="H124" s="15">
        <f t="shared" si="43"/>
        <v>0</v>
      </c>
      <c r="I124" s="15">
        <f t="shared" si="43"/>
        <v>0</v>
      </c>
      <c r="J124" s="15">
        <f t="shared" si="43"/>
        <v>0</v>
      </c>
      <c r="K124" s="15">
        <f t="shared" si="43"/>
        <v>0</v>
      </c>
      <c r="L124" s="101">
        <f t="shared" si="43"/>
        <v>0</v>
      </c>
    </row>
    <row r="125" spans="1:12" ht="14.25" customHeight="1" x14ac:dyDescent="0.3">
      <c r="A125" s="94" t="s">
        <v>118</v>
      </c>
      <c r="B125" s="95"/>
      <c r="C125" s="96">
        <f t="shared" ref="C125:L125" si="44">C116+C117-C118-C122</f>
        <v>280262.47150305193</v>
      </c>
      <c r="D125" s="96">
        <f t="shared" si="44"/>
        <v>740160.41609190311</v>
      </c>
      <c r="E125" s="96">
        <f t="shared" si="44"/>
        <v>1059208.5860880604</v>
      </c>
      <c r="F125" s="96">
        <f t="shared" si="44"/>
        <v>1417569.4638448288</v>
      </c>
      <c r="G125" s="96">
        <f t="shared" si="44"/>
        <v>1819183.4924157131</v>
      </c>
      <c r="H125" s="96">
        <f t="shared" si="44"/>
        <v>2051201.3368848134</v>
      </c>
      <c r="I125" s="96">
        <f t="shared" si="44"/>
        <v>2213860.4304667488</v>
      </c>
      <c r="J125" s="96">
        <f t="shared" si="44"/>
        <v>2387905.6605994208</v>
      </c>
      <c r="K125" s="96">
        <f t="shared" si="44"/>
        <v>2574134.0568413818</v>
      </c>
      <c r="L125" s="96">
        <f t="shared" si="44"/>
        <v>4023398.4408202786</v>
      </c>
    </row>
    <row r="126" spans="1:12" ht="14.25" customHeight="1" x14ac:dyDescent="0.3">
      <c r="A126" s="99" t="s">
        <v>119</v>
      </c>
      <c r="B126" s="100"/>
      <c r="C126" s="10">
        <f t="shared" ref="C126:L126" si="45">C125*$B$26</f>
        <v>84078.741450915579</v>
      </c>
      <c r="D126" s="15">
        <f t="shared" si="45"/>
        <v>222048.12482757092</v>
      </c>
      <c r="E126" s="15">
        <f t="shared" si="45"/>
        <v>317762.57582641812</v>
      </c>
      <c r="F126" s="15">
        <f t="shared" si="45"/>
        <v>425270.83915344864</v>
      </c>
      <c r="G126" s="15">
        <f t="shared" si="45"/>
        <v>545755.04772471392</v>
      </c>
      <c r="H126" s="15">
        <f t="shared" si="45"/>
        <v>615360.40106544399</v>
      </c>
      <c r="I126" s="15">
        <f t="shared" si="45"/>
        <v>664158.12914002466</v>
      </c>
      <c r="J126" s="15">
        <f t="shared" si="45"/>
        <v>716371.69817982626</v>
      </c>
      <c r="K126" s="15">
        <f t="shared" si="45"/>
        <v>772240.21705241455</v>
      </c>
      <c r="L126" s="101">
        <f t="shared" si="45"/>
        <v>1207019.5322460835</v>
      </c>
    </row>
    <row r="127" spans="1:12" ht="14.25" customHeight="1" x14ac:dyDescent="0.3">
      <c r="A127" s="94" t="s">
        <v>120</v>
      </c>
      <c r="B127" s="95"/>
      <c r="C127" s="96">
        <f t="shared" ref="C127:L127" si="46">C125-C126</f>
        <v>196183.73005213635</v>
      </c>
      <c r="D127" s="96">
        <f t="shared" si="46"/>
        <v>518112.29126433219</v>
      </c>
      <c r="E127" s="96">
        <f t="shared" si="46"/>
        <v>741446.01026164228</v>
      </c>
      <c r="F127" s="96">
        <f t="shared" si="46"/>
        <v>992298.62469138019</v>
      </c>
      <c r="G127" s="96">
        <f t="shared" si="46"/>
        <v>1273428.4446909991</v>
      </c>
      <c r="H127" s="96">
        <f t="shared" si="46"/>
        <v>1435840.9358193693</v>
      </c>
      <c r="I127" s="96">
        <f t="shared" si="46"/>
        <v>1549702.3013267242</v>
      </c>
      <c r="J127" s="96">
        <f t="shared" si="46"/>
        <v>1671533.9624195946</v>
      </c>
      <c r="K127" s="96">
        <f t="shared" si="46"/>
        <v>1801893.8397889673</v>
      </c>
      <c r="L127" s="97">
        <f t="shared" si="46"/>
        <v>2816378.9085741951</v>
      </c>
    </row>
    <row r="128" spans="1:12" ht="14.25" customHeight="1" x14ac:dyDescent="0.3">
      <c r="A128" s="98" t="s">
        <v>121</v>
      </c>
      <c r="B128" s="95"/>
      <c r="C128" s="96">
        <f t="shared" ref="C128:L128" si="47">SUM(C129:C130)</f>
        <v>352500</v>
      </c>
      <c r="D128" s="96">
        <f t="shared" si="47"/>
        <v>352500</v>
      </c>
      <c r="E128" s="96">
        <f t="shared" si="47"/>
        <v>352500</v>
      </c>
      <c r="F128" s="96">
        <f t="shared" si="47"/>
        <v>352500</v>
      </c>
      <c r="G128" s="96">
        <f t="shared" si="47"/>
        <v>352500</v>
      </c>
      <c r="H128" s="96">
        <f t="shared" si="47"/>
        <v>272500</v>
      </c>
      <c r="I128" s="96">
        <f t="shared" si="47"/>
        <v>272500</v>
      </c>
      <c r="J128" s="96">
        <f t="shared" si="47"/>
        <v>272500</v>
      </c>
      <c r="K128" s="96">
        <f t="shared" si="47"/>
        <v>272500</v>
      </c>
      <c r="L128" s="97">
        <f t="shared" si="47"/>
        <v>272500</v>
      </c>
    </row>
    <row r="129" spans="1:12" ht="14.25" customHeight="1" x14ac:dyDescent="0.3">
      <c r="A129" s="99" t="s">
        <v>116</v>
      </c>
      <c r="B129" s="100"/>
      <c r="C129" s="15">
        <f t="shared" ref="C129:L129" si="48">C123</f>
        <v>352500</v>
      </c>
      <c r="D129" s="15">
        <f t="shared" si="48"/>
        <v>352500</v>
      </c>
      <c r="E129" s="15">
        <f t="shared" si="48"/>
        <v>352500</v>
      </c>
      <c r="F129" s="15">
        <f t="shared" si="48"/>
        <v>352500</v>
      </c>
      <c r="G129" s="15">
        <f t="shared" si="48"/>
        <v>352500</v>
      </c>
      <c r="H129" s="15">
        <f t="shared" si="48"/>
        <v>272500</v>
      </c>
      <c r="I129" s="15">
        <f t="shared" si="48"/>
        <v>272500</v>
      </c>
      <c r="J129" s="15">
        <f t="shared" si="48"/>
        <v>272500</v>
      </c>
      <c r="K129" s="15">
        <f t="shared" si="48"/>
        <v>272500</v>
      </c>
      <c r="L129" s="101">
        <f t="shared" si="48"/>
        <v>272500</v>
      </c>
    </row>
    <row r="130" spans="1:12" ht="14.25" customHeight="1" x14ac:dyDescent="0.3">
      <c r="A130" s="99" t="s">
        <v>117</v>
      </c>
      <c r="B130" s="100"/>
      <c r="C130" s="15">
        <f t="shared" ref="C130:L130" si="49">C124</f>
        <v>0</v>
      </c>
      <c r="D130" s="15">
        <f t="shared" si="49"/>
        <v>0</v>
      </c>
      <c r="E130" s="15">
        <f t="shared" si="49"/>
        <v>0</v>
      </c>
      <c r="F130" s="15">
        <f t="shared" si="49"/>
        <v>0</v>
      </c>
      <c r="G130" s="15">
        <f t="shared" si="49"/>
        <v>0</v>
      </c>
      <c r="H130" s="15">
        <f t="shared" si="49"/>
        <v>0</v>
      </c>
      <c r="I130" s="15">
        <f t="shared" si="49"/>
        <v>0</v>
      </c>
      <c r="J130" s="15">
        <f t="shared" si="49"/>
        <v>0</v>
      </c>
      <c r="K130" s="15">
        <f t="shared" si="49"/>
        <v>0</v>
      </c>
      <c r="L130" s="101">
        <f t="shared" si="49"/>
        <v>0</v>
      </c>
    </row>
    <row r="131" spans="1:12" ht="14.25" customHeight="1" x14ac:dyDescent="0.3">
      <c r="A131" s="94" t="s">
        <v>122</v>
      </c>
      <c r="B131" s="96">
        <f t="shared" ref="B131:L131" si="50">SUM(B132:B134)</f>
        <v>0</v>
      </c>
      <c r="C131" s="96">
        <f t="shared" si="50"/>
        <v>0</v>
      </c>
      <c r="D131" s="96">
        <f t="shared" si="50"/>
        <v>0</v>
      </c>
      <c r="E131" s="96">
        <f t="shared" si="50"/>
        <v>0</v>
      </c>
      <c r="F131" s="96">
        <f t="shared" si="50"/>
        <v>0</v>
      </c>
      <c r="G131" s="96">
        <f t="shared" si="50"/>
        <v>0</v>
      </c>
      <c r="H131" s="96">
        <f t="shared" si="50"/>
        <v>0</v>
      </c>
      <c r="I131" s="96">
        <f t="shared" si="50"/>
        <v>0</v>
      </c>
      <c r="J131" s="96">
        <f t="shared" si="50"/>
        <v>0</v>
      </c>
      <c r="K131" s="96">
        <f t="shared" si="50"/>
        <v>0</v>
      </c>
      <c r="L131" s="97">
        <f t="shared" si="50"/>
        <v>2775000</v>
      </c>
    </row>
    <row r="132" spans="1:12" ht="14.25" customHeight="1" x14ac:dyDescent="0.3">
      <c r="A132" s="99" t="s">
        <v>123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1">
        <f>M98</f>
        <v>1075000</v>
      </c>
    </row>
    <row r="133" spans="1:12" ht="14.25" customHeight="1" x14ac:dyDescent="0.3">
      <c r="A133" s="99" t="s">
        <v>124</v>
      </c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1">
        <f>-L77</f>
        <v>1700000</v>
      </c>
    </row>
    <row r="134" spans="1:12" ht="14.25" customHeight="1" x14ac:dyDescent="0.3">
      <c r="A134" s="99" t="s">
        <v>125</v>
      </c>
      <c r="B134" s="15">
        <f>B102</f>
        <v>0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2"/>
    </row>
    <row r="135" spans="1:12" ht="14.25" customHeight="1" x14ac:dyDescent="0.3">
      <c r="A135" s="94" t="s">
        <v>126</v>
      </c>
      <c r="B135" s="96">
        <f t="shared" ref="B135:L135" si="51">SUM(B136:B139)</f>
        <v>5400000</v>
      </c>
      <c r="C135" s="96">
        <f t="shared" si="51"/>
        <v>250000</v>
      </c>
      <c r="D135" s="96">
        <f t="shared" si="51"/>
        <v>250000</v>
      </c>
      <c r="E135" s="96">
        <f t="shared" si="51"/>
        <v>250000</v>
      </c>
      <c r="F135" s="96">
        <f t="shared" si="51"/>
        <v>250000</v>
      </c>
      <c r="G135" s="96">
        <f t="shared" si="51"/>
        <v>250000</v>
      </c>
      <c r="H135" s="96">
        <f t="shared" si="51"/>
        <v>0</v>
      </c>
      <c r="I135" s="96">
        <f t="shared" si="51"/>
        <v>0</v>
      </c>
      <c r="J135" s="96">
        <f t="shared" si="51"/>
        <v>0</v>
      </c>
      <c r="K135" s="96">
        <f t="shared" si="51"/>
        <v>0</v>
      </c>
      <c r="L135" s="97">
        <f t="shared" si="51"/>
        <v>0</v>
      </c>
    </row>
    <row r="136" spans="1:12" ht="14.25" customHeight="1" x14ac:dyDescent="0.3">
      <c r="A136" s="99" t="s">
        <v>127</v>
      </c>
      <c r="B136" s="96">
        <f>SUM(B69:B72)</f>
        <v>4950000</v>
      </c>
      <c r="C136" s="95"/>
      <c r="D136" s="95"/>
      <c r="E136" s="95"/>
      <c r="F136" s="95"/>
      <c r="G136" s="96">
        <f>G69</f>
        <v>0</v>
      </c>
      <c r="H136" s="95"/>
      <c r="I136" s="95"/>
      <c r="J136" s="95"/>
      <c r="K136" s="95"/>
      <c r="L136" s="103"/>
    </row>
    <row r="137" spans="1:12" ht="14.25" customHeight="1" x14ac:dyDescent="0.3">
      <c r="A137" s="99" t="s">
        <v>128</v>
      </c>
      <c r="B137" s="15">
        <f>B74</f>
        <v>0</v>
      </c>
      <c r="C137" s="100"/>
      <c r="D137" s="100"/>
      <c r="E137" s="100"/>
      <c r="F137" s="100"/>
      <c r="G137" s="100"/>
      <c r="H137" s="100"/>
      <c r="I137" s="100"/>
      <c r="J137" s="100"/>
      <c r="K137" s="100"/>
      <c r="L137" s="102"/>
    </row>
    <row r="138" spans="1:12" ht="14.25" customHeight="1" x14ac:dyDescent="0.3">
      <c r="A138" s="99" t="s">
        <v>129</v>
      </c>
      <c r="B138" s="15">
        <f t="shared" ref="B138:K138" si="52">B76</f>
        <v>450000</v>
      </c>
      <c r="C138" s="15">
        <f t="shared" si="52"/>
        <v>250000</v>
      </c>
      <c r="D138" s="15">
        <f t="shared" si="52"/>
        <v>250000</v>
      </c>
      <c r="E138" s="15">
        <f t="shared" si="52"/>
        <v>250000</v>
      </c>
      <c r="F138" s="15">
        <f t="shared" si="52"/>
        <v>250000</v>
      </c>
      <c r="G138" s="15">
        <f t="shared" si="52"/>
        <v>250000</v>
      </c>
      <c r="H138" s="15">
        <f t="shared" si="52"/>
        <v>0</v>
      </c>
      <c r="I138" s="15">
        <f t="shared" si="52"/>
        <v>0</v>
      </c>
      <c r="J138" s="15">
        <f t="shared" si="52"/>
        <v>0</v>
      </c>
      <c r="K138" s="15">
        <f t="shared" si="52"/>
        <v>0</v>
      </c>
      <c r="L138" s="100"/>
    </row>
    <row r="139" spans="1:12" ht="14.25" customHeight="1" x14ac:dyDescent="0.3">
      <c r="A139" s="99" t="s">
        <v>130</v>
      </c>
      <c r="B139" s="100"/>
      <c r="C139" s="15">
        <f t="shared" ref="C139:L139" si="53">C111</f>
        <v>0</v>
      </c>
      <c r="D139" s="15">
        <f t="shared" si="53"/>
        <v>0</v>
      </c>
      <c r="E139" s="15">
        <f t="shared" si="53"/>
        <v>0</v>
      </c>
      <c r="F139" s="15">
        <f t="shared" si="53"/>
        <v>0</v>
      </c>
      <c r="G139" s="15">
        <f t="shared" si="53"/>
        <v>0</v>
      </c>
      <c r="H139" s="15">
        <f t="shared" si="53"/>
        <v>0</v>
      </c>
      <c r="I139" s="15">
        <f t="shared" si="53"/>
        <v>0</v>
      </c>
      <c r="J139" s="15">
        <f t="shared" si="53"/>
        <v>0</v>
      </c>
      <c r="K139" s="15">
        <f t="shared" si="53"/>
        <v>0</v>
      </c>
      <c r="L139" s="101">
        <f t="shared" si="53"/>
        <v>0</v>
      </c>
    </row>
    <row r="140" spans="1:12" ht="14.25" customHeight="1" x14ac:dyDescent="0.3">
      <c r="A140" s="104" t="s">
        <v>131</v>
      </c>
      <c r="B140" s="53">
        <f t="shared" ref="B140:L140" si="54">B127+B128+B131-B135</f>
        <v>-5400000</v>
      </c>
      <c r="C140" s="53">
        <f t="shared" si="54"/>
        <v>298683.73005213635</v>
      </c>
      <c r="D140" s="53">
        <f t="shared" si="54"/>
        <v>620612.29126433213</v>
      </c>
      <c r="E140" s="53">
        <f t="shared" si="54"/>
        <v>843946.01026164228</v>
      </c>
      <c r="F140" s="53">
        <f t="shared" si="54"/>
        <v>1094798.6246913802</v>
      </c>
      <c r="G140" s="53">
        <f t="shared" si="54"/>
        <v>1375928.4446909991</v>
      </c>
      <c r="H140" s="53">
        <f t="shared" si="54"/>
        <v>1708340.9358193693</v>
      </c>
      <c r="I140" s="53">
        <f t="shared" si="54"/>
        <v>1822202.3013267242</v>
      </c>
      <c r="J140" s="53">
        <f t="shared" si="54"/>
        <v>1944033.9624195946</v>
      </c>
      <c r="K140" s="53">
        <f t="shared" si="54"/>
        <v>2074393.8397889673</v>
      </c>
      <c r="L140" s="53">
        <f t="shared" si="54"/>
        <v>5863878.9085741956</v>
      </c>
    </row>
    <row r="141" spans="1:12" ht="14.25" customHeight="1" x14ac:dyDescent="0.3">
      <c r="A141" s="105" t="s">
        <v>132</v>
      </c>
    </row>
    <row r="142" spans="1:12" ht="14.25" customHeight="1" x14ac:dyDescent="0.3">
      <c r="A142" s="145" t="s">
        <v>133</v>
      </c>
      <c r="B142" s="53">
        <f>B140</f>
        <v>-5400000</v>
      </c>
      <c r="C142" s="53">
        <f t="shared" ref="C142:L142" si="55">B142+C140</f>
        <v>-5101316.2699478641</v>
      </c>
      <c r="D142" s="53">
        <f t="shared" si="55"/>
        <v>-4480703.9786835322</v>
      </c>
      <c r="E142" s="53">
        <f t="shared" si="55"/>
        <v>-3636757.9684218899</v>
      </c>
      <c r="F142" s="53">
        <f t="shared" si="55"/>
        <v>-2541959.3437305097</v>
      </c>
      <c r="G142" s="53">
        <f t="shared" si="55"/>
        <v>-1166030.8990395106</v>
      </c>
      <c r="H142" s="53">
        <f t="shared" si="55"/>
        <v>542310.03677985864</v>
      </c>
      <c r="I142" s="53">
        <f t="shared" si="55"/>
        <v>2364512.3381065829</v>
      </c>
      <c r="J142" s="53">
        <f t="shared" si="55"/>
        <v>4308546.3005261775</v>
      </c>
      <c r="K142" s="53">
        <f t="shared" si="55"/>
        <v>6382940.1403151453</v>
      </c>
      <c r="L142" s="53">
        <f t="shared" si="55"/>
        <v>12246819.048889341</v>
      </c>
    </row>
    <row r="143" spans="1:12" ht="14.25" customHeight="1" x14ac:dyDescent="0.3">
      <c r="A143" s="105" t="s">
        <v>134</v>
      </c>
    </row>
    <row r="144" spans="1:12" ht="14.25" customHeight="1" x14ac:dyDescent="0.3">
      <c r="A144" s="145" t="s">
        <v>135</v>
      </c>
      <c r="B144" s="53">
        <f>B140</f>
        <v>-5400000</v>
      </c>
      <c r="C144" s="53">
        <f>B144+C140/(1+B25)^1</f>
        <v>-5149005.2688637506</v>
      </c>
      <c r="D144" s="53">
        <f>C144+D140/(1+B25)^2</f>
        <v>-4710750.70261537</v>
      </c>
      <c r="E144" s="53">
        <f>D144+E140/(1+B25)^3</f>
        <v>-4209939.7938158782</v>
      </c>
      <c r="F144" s="53">
        <f>E144+F140/(1+B25)^4</f>
        <v>-3663997.9305979442</v>
      </c>
      <c r="G144" s="53">
        <f>F144+G140/(1+B25)^5</f>
        <v>-3087415.9814041029</v>
      </c>
      <c r="H144" s="53">
        <f>G144+H140/(1+B25)^6</f>
        <v>-2485836.8263698225</v>
      </c>
      <c r="I144" s="53">
        <f>H144+I140/(1+B25)^7</f>
        <v>-1946614.5058557373</v>
      </c>
      <c r="J144" s="53">
        <f>I144+J140/(1+B25)^8</f>
        <v>-1463190.5624649692</v>
      </c>
      <c r="K144" s="53">
        <f>J144+K140/(1+B25)^9</f>
        <v>-1029711.0646862758</v>
      </c>
      <c r="L144" s="53">
        <f>K144+L140/(1+B25)^10</f>
        <v>-2.5611370801925659E-9</v>
      </c>
    </row>
    <row r="145" spans="1:12" ht="14.25" customHeight="1" x14ac:dyDescent="0.3">
      <c r="B145" s="21"/>
      <c r="F145" s="106"/>
    </row>
    <row r="146" spans="1:12" ht="14.25" customHeight="1" x14ac:dyDescent="0.3">
      <c r="A146" s="22" t="s">
        <v>136</v>
      </c>
    </row>
    <row r="147" spans="1:12" ht="14.25" customHeight="1" x14ac:dyDescent="0.3">
      <c r="B147" s="107" t="s">
        <v>137</v>
      </c>
      <c r="C147" s="107" t="s">
        <v>138</v>
      </c>
      <c r="D147" s="107" t="s">
        <v>139</v>
      </c>
      <c r="E147" s="107" t="s">
        <v>140</v>
      </c>
    </row>
    <row r="148" spans="1:12" ht="14.25" customHeight="1" x14ac:dyDescent="0.3">
      <c r="A148" s="4" t="s">
        <v>141</v>
      </c>
      <c r="B148" s="147">
        <f>B77</f>
        <v>5400000</v>
      </c>
      <c r="C148" s="149">
        <v>0</v>
      </c>
      <c r="D148" s="149">
        <v>0</v>
      </c>
      <c r="E148" s="149">
        <v>0</v>
      </c>
    </row>
    <row r="149" spans="1:12" ht="18" customHeight="1" x14ac:dyDescent="0.3">
      <c r="A149" s="4" t="s">
        <v>142</v>
      </c>
      <c r="B149" s="148">
        <f>B77</f>
        <v>5400000</v>
      </c>
      <c r="C149" s="150">
        <v>1</v>
      </c>
      <c r="D149" s="149">
        <f>B25</f>
        <v>0.19</v>
      </c>
      <c r="E149" s="150">
        <f>C149*D149</f>
        <v>0.19</v>
      </c>
    </row>
    <row r="150" spans="1:12" ht="14.25" customHeight="1" x14ac:dyDescent="0.3">
      <c r="B150" s="147">
        <f>B148+B149</f>
        <v>10800000</v>
      </c>
      <c r="C150" s="149">
        <f>C148+C149</f>
        <v>1</v>
      </c>
      <c r="D150" s="149"/>
      <c r="E150" s="149">
        <f>E148+E149</f>
        <v>0.19</v>
      </c>
    </row>
    <row r="152" spans="1:12" ht="14.25" customHeight="1" x14ac:dyDescent="0.3">
      <c r="A152" s="22" t="s">
        <v>143</v>
      </c>
    </row>
    <row r="153" spans="1:12" ht="14.25" customHeight="1" x14ac:dyDescent="0.3">
      <c r="A153" s="109" t="s">
        <v>144</v>
      </c>
      <c r="B153" s="110">
        <f>NPV(B25,C140:L140)+B140</f>
        <v>0</v>
      </c>
    </row>
    <row r="154" spans="1:12" ht="14.25" customHeight="1" x14ac:dyDescent="0.3">
      <c r="A154" s="109" t="s">
        <v>145</v>
      </c>
      <c r="B154" s="151">
        <f>IRR(B140:L140)</f>
        <v>0.18999999999999995</v>
      </c>
    </row>
    <row r="155" spans="1:12" ht="14.25" customHeight="1" x14ac:dyDescent="0.3">
      <c r="A155" s="109" t="s">
        <v>146</v>
      </c>
      <c r="B155" s="112">
        <f>IFERROR(MATCH(1,INDEX((C142:L142&gt;=0)*1,0),0),"&gt;10")</f>
        <v>6</v>
      </c>
    </row>
    <row r="156" spans="1:12" ht="14.25" customHeight="1" x14ac:dyDescent="0.3">
      <c r="A156" s="109" t="s">
        <v>147</v>
      </c>
      <c r="B156" s="144" t="str">
        <f>IFERROR(MATCH(1,INDEX((C144:L144&gt;=0)*1,0),0),"&gt;10")</f>
        <v>&gt;10</v>
      </c>
    </row>
    <row r="157" spans="1:12" ht="14.25" customHeight="1" x14ac:dyDescent="0.3">
      <c r="A157" s="109" t="s">
        <v>148</v>
      </c>
      <c r="B157" s="143">
        <f>(NPV(B25,C140:L140)+B140+ABS(B140))/ABS(B140)</f>
        <v>0.99999999999999967</v>
      </c>
    </row>
    <row r="158" spans="1:12" ht="14.25" customHeight="1" x14ac:dyDescent="0.3">
      <c r="B158" s="21"/>
    </row>
    <row r="159" spans="1:12" ht="14.25" customHeight="1" x14ac:dyDescent="0.3">
      <c r="B159" s="21"/>
    </row>
    <row r="160" spans="1:12" ht="14.25" customHeight="1" x14ac:dyDescent="0.3">
      <c r="A160" s="105"/>
      <c r="B160" s="113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</row>
    <row r="161" spans="1:12" ht="14.25" customHeight="1" x14ac:dyDescent="0.3">
      <c r="A161" s="105"/>
      <c r="B161" s="113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</row>
    <row r="162" spans="1:12" ht="14.25" customHeight="1" x14ac:dyDescent="0.3">
      <c r="A162" s="105"/>
      <c r="B162" s="113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</row>
    <row r="163" spans="1:12" ht="14.25" customHeight="1" x14ac:dyDescent="0.3">
      <c r="A163" s="105"/>
      <c r="B163" s="113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</row>
    <row r="164" spans="1:12" ht="14.25" customHeight="1" x14ac:dyDescent="0.3">
      <c r="B164" s="21"/>
    </row>
    <row r="165" spans="1:12" ht="14.25" customHeight="1" x14ac:dyDescent="0.3">
      <c r="B165" s="21"/>
    </row>
    <row r="166" spans="1:12" ht="14.25" customHeight="1" x14ac:dyDescent="0.3">
      <c r="B166" s="21"/>
    </row>
  </sheetData>
  <mergeCells count="6">
    <mergeCell ref="B105:C105"/>
    <mergeCell ref="A50:H50"/>
    <mergeCell ref="A55:H55"/>
    <mergeCell ref="A92:A93"/>
    <mergeCell ref="C92:L92"/>
    <mergeCell ref="A98:L9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66"/>
  <sheetViews>
    <sheetView showGridLines="0" topLeftCell="A140" zoomScaleNormal="100" workbookViewId="0">
      <selection activeCell="D157" sqref="D157"/>
    </sheetView>
  </sheetViews>
  <sheetFormatPr baseColWidth="10" defaultColWidth="8.6640625" defaultRowHeight="14.4" x14ac:dyDescent="0.3"/>
  <cols>
    <col min="1" max="1" width="42.44140625" style="1" customWidth="1"/>
    <col min="2" max="2" width="15.5546875" style="1" customWidth="1"/>
    <col min="3" max="3" width="16.109375" style="1" customWidth="1"/>
    <col min="4" max="8" width="15.44140625" style="1" customWidth="1"/>
    <col min="9" max="11" width="15.5546875" style="1" customWidth="1"/>
    <col min="12" max="12" width="15.44140625" style="1" customWidth="1"/>
    <col min="13" max="13" width="13.5546875" style="1" customWidth="1"/>
    <col min="14" max="14" width="13.33203125" style="1" customWidth="1"/>
    <col min="16" max="16" width="10.6640625" style="1" customWidth="1"/>
    <col min="18" max="18" width="25.109375" style="1" customWidth="1"/>
    <col min="19" max="19" width="11.6640625" style="1" customWidth="1"/>
    <col min="20" max="20" width="13.44140625" style="1" customWidth="1"/>
    <col min="21" max="21" width="8.44140625" style="1" customWidth="1"/>
    <col min="22" max="22" width="10.6640625" style="1" customWidth="1"/>
  </cols>
  <sheetData>
    <row r="1" spans="1:12" ht="15" customHeight="1" x14ac:dyDescent="0.3">
      <c r="A1" s="2" t="s">
        <v>0</v>
      </c>
    </row>
    <row r="3" spans="1:12" ht="14.25" customHeight="1" x14ac:dyDescent="0.3">
      <c r="A3" s="3" t="s">
        <v>1</v>
      </c>
    </row>
    <row r="4" spans="1:12" ht="14.25" customHeight="1" x14ac:dyDescent="0.3">
      <c r="A4" s="4" t="s">
        <v>2</v>
      </c>
      <c r="B4" s="4">
        <v>10</v>
      </c>
    </row>
    <row r="5" spans="1:12" ht="14.25" customHeight="1" x14ac:dyDescent="0.3">
      <c r="A5" s="4" t="s">
        <v>3</v>
      </c>
      <c r="B5" s="5">
        <v>0.05</v>
      </c>
    </row>
    <row r="6" spans="1:12" ht="14.25" customHeight="1" x14ac:dyDescent="0.3">
      <c r="A6" s="4" t="s">
        <v>4</v>
      </c>
      <c r="B6" s="5">
        <v>7.0000000000000007E-2</v>
      </c>
    </row>
    <row r="7" spans="1:12" ht="14.25" customHeight="1" x14ac:dyDescent="0.3"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</row>
    <row r="8" spans="1:12" ht="14.25" customHeight="1" x14ac:dyDescent="0.3">
      <c r="A8" s="4" t="s">
        <v>16</v>
      </c>
      <c r="B8" s="7"/>
      <c r="C8" s="8">
        <v>750</v>
      </c>
      <c r="D8" s="8">
        <v>900</v>
      </c>
      <c r="E8" s="8">
        <v>900</v>
      </c>
      <c r="F8" s="8">
        <v>900</v>
      </c>
      <c r="G8" s="8">
        <v>900</v>
      </c>
      <c r="H8" s="8">
        <v>900</v>
      </c>
      <c r="I8" s="8">
        <v>900</v>
      </c>
      <c r="J8" s="8">
        <v>900</v>
      </c>
      <c r="K8" s="8">
        <v>900</v>
      </c>
      <c r="L8" s="8">
        <v>900</v>
      </c>
    </row>
    <row r="9" spans="1:12" ht="14.25" customHeight="1" x14ac:dyDescent="0.3">
      <c r="A9" s="4" t="s">
        <v>17</v>
      </c>
      <c r="B9" s="7"/>
      <c r="C9" s="9">
        <f>1225</f>
        <v>1225</v>
      </c>
      <c r="D9" s="9">
        <f>1470</f>
        <v>1470</v>
      </c>
      <c r="E9" s="9">
        <f>1715</f>
        <v>1715</v>
      </c>
      <c r="F9" s="9">
        <f>1960</f>
        <v>1960</v>
      </c>
      <c r="G9" s="9">
        <f>2205</f>
        <v>2205</v>
      </c>
      <c r="H9" s="9">
        <f>2205</f>
        <v>2205</v>
      </c>
      <c r="I9" s="9">
        <f>2205</f>
        <v>2205</v>
      </c>
      <c r="J9" s="9">
        <f>2205</f>
        <v>2205</v>
      </c>
      <c r="K9" s="9">
        <f>2205</f>
        <v>2205</v>
      </c>
      <c r="L9" s="9">
        <f>2205</f>
        <v>2205</v>
      </c>
    </row>
    <row r="10" spans="1:12" ht="14.25" customHeight="1" x14ac:dyDescent="0.3">
      <c r="A10" s="4" t="s">
        <v>18</v>
      </c>
      <c r="B10" s="7"/>
      <c r="C10" s="9">
        <f t="shared" ref="C10:L10" si="0">C9*C8</f>
        <v>918750</v>
      </c>
      <c r="D10" s="9">
        <f t="shared" si="0"/>
        <v>1323000</v>
      </c>
      <c r="E10" s="9">
        <f t="shared" si="0"/>
        <v>1543500</v>
      </c>
      <c r="F10" s="9">
        <f t="shared" si="0"/>
        <v>1764000</v>
      </c>
      <c r="G10" s="9">
        <f t="shared" si="0"/>
        <v>1984500</v>
      </c>
      <c r="H10" s="9">
        <f t="shared" si="0"/>
        <v>1984500</v>
      </c>
      <c r="I10" s="9">
        <f t="shared" si="0"/>
        <v>1984500</v>
      </c>
      <c r="J10" s="9">
        <f t="shared" si="0"/>
        <v>1984500</v>
      </c>
      <c r="K10" s="9">
        <f t="shared" si="0"/>
        <v>1984500</v>
      </c>
      <c r="L10" s="9">
        <f t="shared" si="0"/>
        <v>1984500</v>
      </c>
    </row>
    <row r="11" spans="1:12" ht="14.25" customHeight="1" x14ac:dyDescent="0.3">
      <c r="A11" s="4" t="s">
        <v>19</v>
      </c>
      <c r="B11" s="7"/>
      <c r="C11" s="10">
        <v>1</v>
      </c>
      <c r="D11" s="10">
        <f t="shared" ref="D11:L11" si="1">C11+(C11*$B$5)</f>
        <v>1.05</v>
      </c>
      <c r="E11" s="10">
        <f t="shared" si="1"/>
        <v>1.1025</v>
      </c>
      <c r="F11" s="10">
        <f t="shared" si="1"/>
        <v>1.1576250000000001</v>
      </c>
      <c r="G11" s="10">
        <f t="shared" si="1"/>
        <v>1.2155062500000002</v>
      </c>
      <c r="H11" s="10">
        <f t="shared" si="1"/>
        <v>1.2762815625000004</v>
      </c>
      <c r="I11" s="10">
        <f t="shared" si="1"/>
        <v>1.3400956406250004</v>
      </c>
      <c r="J11" s="10">
        <f t="shared" si="1"/>
        <v>1.4071004226562505</v>
      </c>
      <c r="K11" s="10">
        <f t="shared" si="1"/>
        <v>1.477455443789063</v>
      </c>
      <c r="L11" s="10">
        <f t="shared" si="1"/>
        <v>1.5513282159785162</v>
      </c>
    </row>
    <row r="12" spans="1:12" ht="14.25" customHeight="1" x14ac:dyDescent="0.3">
      <c r="A12" s="4" t="s">
        <v>20</v>
      </c>
      <c r="B12" s="7"/>
      <c r="C12" s="11">
        <v>3</v>
      </c>
      <c r="D12" s="11">
        <f t="shared" ref="D12:L12" si="2">C12+(C12*$B$6)</f>
        <v>3.21</v>
      </c>
      <c r="E12" s="11">
        <f t="shared" si="2"/>
        <v>3.4346999999999999</v>
      </c>
      <c r="F12" s="11">
        <f t="shared" si="2"/>
        <v>3.6751290000000001</v>
      </c>
      <c r="G12" s="11">
        <f t="shared" si="2"/>
        <v>3.9323880300000003</v>
      </c>
      <c r="H12" s="11">
        <f t="shared" si="2"/>
        <v>4.2076551921000007</v>
      </c>
      <c r="I12" s="11">
        <f t="shared" si="2"/>
        <v>4.5021910555470006</v>
      </c>
      <c r="J12" s="11">
        <f t="shared" si="2"/>
        <v>4.8173444294352903</v>
      </c>
      <c r="K12" s="11">
        <f t="shared" si="2"/>
        <v>5.1545585394957607</v>
      </c>
      <c r="L12" s="11">
        <f t="shared" si="2"/>
        <v>5.5153776372604639</v>
      </c>
    </row>
    <row r="13" spans="1:12" ht="14.25" customHeight="1" x14ac:dyDescent="0.3">
      <c r="A13" s="4" t="s">
        <v>21</v>
      </c>
      <c r="B13" s="12"/>
      <c r="C13" s="13">
        <v>450000</v>
      </c>
      <c r="D13" s="13">
        <v>250000</v>
      </c>
      <c r="E13" s="13">
        <v>250000</v>
      </c>
      <c r="F13" s="13">
        <v>250000</v>
      </c>
      <c r="G13" s="13">
        <v>250000</v>
      </c>
      <c r="H13" s="13">
        <v>250000</v>
      </c>
      <c r="I13" s="13">
        <v>0</v>
      </c>
      <c r="J13" s="13">
        <v>0</v>
      </c>
      <c r="K13" s="13">
        <v>0</v>
      </c>
      <c r="L13" s="13">
        <v>0</v>
      </c>
    </row>
    <row r="14" spans="1:12" ht="14.25" customHeight="1" x14ac:dyDescent="0.3">
      <c r="A14" s="4" t="s">
        <v>22</v>
      </c>
      <c r="B14" s="12"/>
      <c r="C14" s="11">
        <f>1.45</f>
        <v>1.45</v>
      </c>
      <c r="D14" s="11">
        <f t="shared" ref="D14:L14" si="3">C14+(C14*$B$6)</f>
        <v>1.5514999999999999</v>
      </c>
      <c r="E14" s="11">
        <f t="shared" si="3"/>
        <v>1.6601049999999999</v>
      </c>
      <c r="F14" s="11">
        <f t="shared" si="3"/>
        <v>1.77631235</v>
      </c>
      <c r="G14" s="11">
        <f t="shared" si="3"/>
        <v>1.9006542145</v>
      </c>
      <c r="H14" s="11">
        <f t="shared" si="3"/>
        <v>2.033700009515</v>
      </c>
      <c r="I14" s="11">
        <f t="shared" si="3"/>
        <v>2.1760590101810502</v>
      </c>
      <c r="J14" s="11">
        <f t="shared" si="3"/>
        <v>2.3283831408937239</v>
      </c>
      <c r="K14" s="11">
        <f t="shared" si="3"/>
        <v>2.4913699607562845</v>
      </c>
      <c r="L14" s="11">
        <f t="shared" si="3"/>
        <v>2.6657658580092245</v>
      </c>
    </row>
    <row r="15" spans="1:12" ht="14.25" customHeight="1" x14ac:dyDescent="0.3">
      <c r="A15" s="4" t="s">
        <v>23</v>
      </c>
      <c r="B15" s="14"/>
      <c r="C15" s="15">
        <f t="shared" ref="C15:L15" si="4">C14*C10</f>
        <v>1332187.5</v>
      </c>
      <c r="D15" s="15">
        <f t="shared" si="4"/>
        <v>2052634.4999999998</v>
      </c>
      <c r="E15" s="15">
        <f t="shared" si="4"/>
        <v>2562372.0674999999</v>
      </c>
      <c r="F15" s="15">
        <f t="shared" si="4"/>
        <v>3133414.9854000001</v>
      </c>
      <c r="G15" s="15">
        <f t="shared" si="4"/>
        <v>3771848.28867525</v>
      </c>
      <c r="H15" s="15">
        <f t="shared" si="4"/>
        <v>4035877.6688825176</v>
      </c>
      <c r="I15" s="15">
        <f t="shared" si="4"/>
        <v>4318389.1057042945</v>
      </c>
      <c r="J15" s="15">
        <f t="shared" si="4"/>
        <v>4620676.3431035951</v>
      </c>
      <c r="K15" s="15">
        <f t="shared" si="4"/>
        <v>4944123.6871208465</v>
      </c>
      <c r="L15" s="15">
        <f t="shared" si="4"/>
        <v>5290212.3452193057</v>
      </c>
    </row>
    <row r="16" spans="1:12" ht="14.25" customHeight="1" x14ac:dyDescent="0.3">
      <c r="A16" s="4" t="s">
        <v>24</v>
      </c>
      <c r="B16" s="14"/>
      <c r="C16" s="15">
        <v>50000</v>
      </c>
      <c r="D16" s="15">
        <f t="shared" ref="D16:L16" si="5">C16+(C16*$B$6)</f>
        <v>53500</v>
      </c>
      <c r="E16" s="15">
        <f t="shared" si="5"/>
        <v>57245</v>
      </c>
      <c r="F16" s="15">
        <f t="shared" si="5"/>
        <v>61252.15</v>
      </c>
      <c r="G16" s="15">
        <f t="shared" si="5"/>
        <v>65539.800499999998</v>
      </c>
      <c r="H16" s="15">
        <f t="shared" si="5"/>
        <v>70127.586534999995</v>
      </c>
      <c r="I16" s="15">
        <f t="shared" si="5"/>
        <v>75036.517592449993</v>
      </c>
      <c r="J16" s="15">
        <f t="shared" si="5"/>
        <v>80289.073823921499</v>
      </c>
      <c r="K16" s="15">
        <f t="shared" si="5"/>
        <v>85909.308991596001</v>
      </c>
      <c r="L16" s="15">
        <f t="shared" si="5"/>
        <v>91922.960621007718</v>
      </c>
    </row>
    <row r="17" spans="1:12" ht="14.25" customHeight="1" x14ac:dyDescent="0.3">
      <c r="A17" s="4" t="s">
        <v>25</v>
      </c>
      <c r="B17" s="14"/>
      <c r="C17" s="15">
        <v>200000</v>
      </c>
      <c r="D17" s="15">
        <f t="shared" ref="D17:L17" si="6">C17+(C17*$B$6)</f>
        <v>214000</v>
      </c>
      <c r="E17" s="15">
        <f t="shared" si="6"/>
        <v>228980</v>
      </c>
      <c r="F17" s="15">
        <f t="shared" si="6"/>
        <v>245008.6</v>
      </c>
      <c r="G17" s="15">
        <f t="shared" si="6"/>
        <v>262159.20199999999</v>
      </c>
      <c r="H17" s="15">
        <f t="shared" si="6"/>
        <v>280510.34613999998</v>
      </c>
      <c r="I17" s="15">
        <f t="shared" si="6"/>
        <v>300146.07036979997</v>
      </c>
      <c r="J17" s="15">
        <f t="shared" si="6"/>
        <v>321156.295295686</v>
      </c>
      <c r="K17" s="15">
        <f t="shared" si="6"/>
        <v>343637.235966384</v>
      </c>
      <c r="L17" s="15">
        <f t="shared" si="6"/>
        <v>367691.84248403087</v>
      </c>
    </row>
    <row r="18" spans="1:12" ht="14.25" customHeight="1" x14ac:dyDescent="0.3">
      <c r="K18" s="16"/>
    </row>
    <row r="19" spans="1:12" ht="14.25" customHeight="1" x14ac:dyDescent="0.3">
      <c r="A19" s="4" t="s">
        <v>26</v>
      </c>
      <c r="B19" s="17">
        <v>1250000</v>
      </c>
      <c r="K19" s="16"/>
    </row>
    <row r="20" spans="1:12" ht="14.25" customHeight="1" x14ac:dyDescent="0.3">
      <c r="A20" s="4" t="s">
        <v>27</v>
      </c>
      <c r="B20" s="17">
        <v>1000000</v>
      </c>
      <c r="K20" s="16"/>
    </row>
    <row r="21" spans="1:12" ht="14.25" customHeight="1" x14ac:dyDescent="0.3">
      <c r="A21" s="4" t="s">
        <v>28</v>
      </c>
      <c r="B21" s="18">
        <v>50000</v>
      </c>
      <c r="K21" s="16"/>
    </row>
    <row r="22" spans="1:12" ht="14.25" customHeight="1" x14ac:dyDescent="0.3">
      <c r="A22" s="4" t="s">
        <v>29</v>
      </c>
      <c r="B22" s="5">
        <v>0.1</v>
      </c>
    </row>
    <row r="23" spans="1:12" ht="14.25" customHeight="1" x14ac:dyDescent="0.3">
      <c r="A23" s="4" t="s">
        <v>30</v>
      </c>
      <c r="B23" s="19">
        <v>7</v>
      </c>
    </row>
    <row r="24" spans="1:12" ht="14.25" customHeight="1" x14ac:dyDescent="0.3">
      <c r="A24" s="4" t="s">
        <v>31</v>
      </c>
      <c r="B24" s="20">
        <f>5400000*0.5</f>
        <v>2700000</v>
      </c>
    </row>
    <row r="25" spans="1:12" ht="14.25" customHeight="1" x14ac:dyDescent="0.3">
      <c r="A25" s="4" t="s">
        <v>32</v>
      </c>
      <c r="B25" s="5">
        <v>0.19</v>
      </c>
    </row>
    <row r="26" spans="1:12" ht="14.25" customHeight="1" x14ac:dyDescent="0.3">
      <c r="A26" s="4" t="s">
        <v>33</v>
      </c>
      <c r="B26" s="5">
        <v>0.3</v>
      </c>
    </row>
    <row r="27" spans="1:12" ht="14.25" customHeight="1" x14ac:dyDescent="0.3">
      <c r="B27" s="21"/>
    </row>
    <row r="28" spans="1:12" ht="14.25" customHeight="1" x14ac:dyDescent="0.3">
      <c r="A28" s="22" t="s">
        <v>34</v>
      </c>
      <c r="B28" s="21"/>
    </row>
    <row r="29" spans="1:12" ht="15.75" customHeight="1" x14ac:dyDescent="0.3">
      <c r="A29" s="23" t="s">
        <v>35</v>
      </c>
      <c r="B29" s="24"/>
    </row>
    <row r="30" spans="1:12" ht="14.25" customHeight="1" x14ac:dyDescent="0.3">
      <c r="A30" s="25" t="s">
        <v>36</v>
      </c>
      <c r="B30" s="26" t="s">
        <v>5</v>
      </c>
      <c r="C30" s="26" t="s">
        <v>6</v>
      </c>
      <c r="D30" s="26" t="s">
        <v>7</v>
      </c>
      <c r="E30" s="26" t="s">
        <v>8</v>
      </c>
      <c r="F30" s="26" t="s">
        <v>9</v>
      </c>
      <c r="G30" s="26" t="s">
        <v>10</v>
      </c>
      <c r="H30" s="26" t="s">
        <v>11</v>
      </c>
      <c r="I30" s="26" t="s">
        <v>12</v>
      </c>
      <c r="J30" s="26" t="s">
        <v>13</v>
      </c>
      <c r="K30" s="26" t="s">
        <v>14</v>
      </c>
      <c r="L30" s="27" t="s">
        <v>15</v>
      </c>
    </row>
    <row r="31" spans="1:12" ht="14.25" customHeight="1" x14ac:dyDescent="0.3">
      <c r="A31" s="28" t="s">
        <v>37</v>
      </c>
      <c r="B31" s="29"/>
      <c r="C31" s="30">
        <f t="shared" ref="C31:L31" si="7">C10</f>
        <v>918750</v>
      </c>
      <c r="D31" s="30">
        <f t="shared" si="7"/>
        <v>1323000</v>
      </c>
      <c r="E31" s="30">
        <f t="shared" si="7"/>
        <v>1543500</v>
      </c>
      <c r="F31" s="30">
        <f t="shared" si="7"/>
        <v>1764000</v>
      </c>
      <c r="G31" s="30">
        <f t="shared" si="7"/>
        <v>1984500</v>
      </c>
      <c r="H31" s="30">
        <f t="shared" si="7"/>
        <v>1984500</v>
      </c>
      <c r="I31" s="30">
        <f t="shared" si="7"/>
        <v>1984500</v>
      </c>
      <c r="J31" s="30">
        <f t="shared" si="7"/>
        <v>1984500</v>
      </c>
      <c r="K31" s="30">
        <f t="shared" si="7"/>
        <v>1984500</v>
      </c>
      <c r="L31" s="31">
        <f t="shared" si="7"/>
        <v>1984500</v>
      </c>
    </row>
    <row r="32" spans="1:12" ht="14.25" customHeight="1" x14ac:dyDescent="0.3">
      <c r="A32" s="28" t="s">
        <v>38</v>
      </c>
      <c r="B32" s="29"/>
      <c r="C32" s="32">
        <f t="shared" ref="C32:L32" si="8">C12</f>
        <v>3</v>
      </c>
      <c r="D32" s="32">
        <f t="shared" si="8"/>
        <v>3.21</v>
      </c>
      <c r="E32" s="32">
        <f t="shared" si="8"/>
        <v>3.4346999999999999</v>
      </c>
      <c r="F32" s="32">
        <f t="shared" si="8"/>
        <v>3.6751290000000001</v>
      </c>
      <c r="G32" s="32">
        <f t="shared" si="8"/>
        <v>3.9323880300000003</v>
      </c>
      <c r="H32" s="32">
        <f t="shared" si="8"/>
        <v>4.2076551921000007</v>
      </c>
      <c r="I32" s="32">
        <f t="shared" si="8"/>
        <v>4.5021910555470006</v>
      </c>
      <c r="J32" s="32">
        <f t="shared" si="8"/>
        <v>4.8173444294352903</v>
      </c>
      <c r="K32" s="32">
        <f t="shared" si="8"/>
        <v>5.1545585394957607</v>
      </c>
      <c r="L32" s="33">
        <f t="shared" si="8"/>
        <v>5.5153776372604639</v>
      </c>
    </row>
    <row r="33" spans="1:12" ht="15.75" customHeight="1" x14ac:dyDescent="0.3">
      <c r="A33" s="34" t="s">
        <v>39</v>
      </c>
      <c r="B33" s="35"/>
      <c r="C33" s="36">
        <f t="shared" ref="C33:L33" si="9">C32*C31</f>
        <v>2756250</v>
      </c>
      <c r="D33" s="36">
        <f t="shared" si="9"/>
        <v>4246830</v>
      </c>
      <c r="E33" s="36">
        <f t="shared" si="9"/>
        <v>5301459.45</v>
      </c>
      <c r="F33" s="36">
        <f t="shared" si="9"/>
        <v>6482927.5559999999</v>
      </c>
      <c r="G33" s="36">
        <f t="shared" si="9"/>
        <v>7803824.045535001</v>
      </c>
      <c r="H33" s="36">
        <f t="shared" si="9"/>
        <v>8350091.7287224513</v>
      </c>
      <c r="I33" s="36">
        <f t="shared" si="9"/>
        <v>8934598.1497330219</v>
      </c>
      <c r="J33" s="36">
        <f t="shared" si="9"/>
        <v>9560020.0202143341</v>
      </c>
      <c r="K33" s="36">
        <f t="shared" si="9"/>
        <v>10229221.421629338</v>
      </c>
      <c r="L33" s="37">
        <f t="shared" si="9"/>
        <v>10945266.92114339</v>
      </c>
    </row>
    <row r="34" spans="1:12" ht="14.25" customHeight="1" x14ac:dyDescent="0.3">
      <c r="B34" s="21"/>
    </row>
    <row r="35" spans="1:12" ht="14.25" customHeight="1" x14ac:dyDescent="0.3">
      <c r="A35" s="22" t="s">
        <v>40</v>
      </c>
      <c r="B35" s="24"/>
    </row>
    <row r="36" spans="1:12" ht="15.75" customHeight="1" x14ac:dyDescent="0.3">
      <c r="A36" s="23" t="s">
        <v>41</v>
      </c>
      <c r="B36" s="24"/>
    </row>
    <row r="37" spans="1:12" ht="14.25" customHeight="1" x14ac:dyDescent="0.3">
      <c r="A37" s="25" t="s">
        <v>36</v>
      </c>
      <c r="B37" s="26" t="s">
        <v>5</v>
      </c>
      <c r="C37" s="26" t="s">
        <v>6</v>
      </c>
      <c r="D37" s="26" t="s">
        <v>7</v>
      </c>
      <c r="E37" s="26" t="s">
        <v>8</v>
      </c>
      <c r="F37" s="26" t="s">
        <v>9</v>
      </c>
      <c r="G37" s="26" t="s">
        <v>10</v>
      </c>
      <c r="H37" s="26" t="s">
        <v>11</v>
      </c>
      <c r="I37" s="26" t="s">
        <v>12</v>
      </c>
      <c r="J37" s="26" t="s">
        <v>13</v>
      </c>
      <c r="K37" s="26" t="s">
        <v>14</v>
      </c>
      <c r="L37" s="27" t="s">
        <v>15</v>
      </c>
    </row>
    <row r="38" spans="1:12" ht="14.25" customHeight="1" x14ac:dyDescent="0.3">
      <c r="A38" s="28" t="s">
        <v>42</v>
      </c>
      <c r="B38" s="29"/>
      <c r="C38" s="38">
        <f t="shared" ref="C38:L38" si="10">C15</f>
        <v>1332187.5</v>
      </c>
      <c r="D38" s="38">
        <f t="shared" si="10"/>
        <v>2052634.4999999998</v>
      </c>
      <c r="E38" s="38">
        <f t="shared" si="10"/>
        <v>2562372.0674999999</v>
      </c>
      <c r="F38" s="38">
        <f t="shared" si="10"/>
        <v>3133414.9854000001</v>
      </c>
      <c r="G38" s="38">
        <f t="shared" si="10"/>
        <v>3771848.28867525</v>
      </c>
      <c r="H38" s="38">
        <f t="shared" si="10"/>
        <v>4035877.6688825176</v>
      </c>
      <c r="I38" s="38">
        <f t="shared" si="10"/>
        <v>4318389.1057042945</v>
      </c>
      <c r="J38" s="38">
        <f t="shared" si="10"/>
        <v>4620676.3431035951</v>
      </c>
      <c r="K38" s="38">
        <f t="shared" si="10"/>
        <v>4944123.6871208465</v>
      </c>
      <c r="L38" s="39">
        <f t="shared" si="10"/>
        <v>5290212.3452193057</v>
      </c>
    </row>
    <row r="39" spans="1:12" ht="15.75" customHeight="1" x14ac:dyDescent="0.3">
      <c r="A39" s="40" t="s">
        <v>43</v>
      </c>
      <c r="B39" s="41"/>
      <c r="C39" s="36">
        <f t="shared" ref="C39:L39" si="11">C38</f>
        <v>1332187.5</v>
      </c>
      <c r="D39" s="36">
        <f t="shared" si="11"/>
        <v>2052634.4999999998</v>
      </c>
      <c r="E39" s="36">
        <f t="shared" si="11"/>
        <v>2562372.0674999999</v>
      </c>
      <c r="F39" s="36">
        <f t="shared" si="11"/>
        <v>3133414.9854000001</v>
      </c>
      <c r="G39" s="36">
        <f t="shared" si="11"/>
        <v>3771848.28867525</v>
      </c>
      <c r="H39" s="36">
        <f t="shared" si="11"/>
        <v>4035877.6688825176</v>
      </c>
      <c r="I39" s="36">
        <f t="shared" si="11"/>
        <v>4318389.1057042945</v>
      </c>
      <c r="J39" s="36">
        <f t="shared" si="11"/>
        <v>4620676.3431035951</v>
      </c>
      <c r="K39" s="36">
        <f t="shared" si="11"/>
        <v>4944123.6871208465</v>
      </c>
      <c r="L39" s="37">
        <f t="shared" si="11"/>
        <v>5290212.3452193057</v>
      </c>
    </row>
    <row r="40" spans="1:12" ht="14.25" customHeight="1" x14ac:dyDescent="0.3">
      <c r="B40" s="21"/>
    </row>
    <row r="41" spans="1:12" ht="14.25" customHeight="1" x14ac:dyDescent="0.3">
      <c r="A41" s="22" t="s">
        <v>44</v>
      </c>
      <c r="B41" s="24"/>
    </row>
    <row r="42" spans="1:12" ht="15.75" customHeight="1" x14ac:dyDescent="0.3">
      <c r="A42" s="23" t="s">
        <v>45</v>
      </c>
      <c r="B42" s="24"/>
    </row>
    <row r="43" spans="1:12" ht="14.25" customHeight="1" x14ac:dyDescent="0.3">
      <c r="A43" s="25" t="s">
        <v>36</v>
      </c>
      <c r="B43" s="26" t="s">
        <v>5</v>
      </c>
      <c r="C43" s="26" t="s">
        <v>6</v>
      </c>
      <c r="D43" s="26" t="s">
        <v>7</v>
      </c>
      <c r="E43" s="26" t="s">
        <v>8</v>
      </c>
      <c r="F43" s="26" t="s">
        <v>9</v>
      </c>
      <c r="G43" s="26" t="s">
        <v>10</v>
      </c>
      <c r="H43" s="26" t="s">
        <v>11</v>
      </c>
      <c r="I43" s="26" t="s">
        <v>12</v>
      </c>
      <c r="J43" s="26" t="s">
        <v>13</v>
      </c>
      <c r="K43" s="26" t="s">
        <v>14</v>
      </c>
      <c r="L43" s="27" t="s">
        <v>15</v>
      </c>
    </row>
    <row r="44" spans="1:12" ht="14.25" customHeight="1" x14ac:dyDescent="0.3">
      <c r="A44" s="28" t="s">
        <v>24</v>
      </c>
      <c r="B44" s="29"/>
      <c r="C44" s="38">
        <f t="shared" ref="C44:L44" si="12">C16</f>
        <v>50000</v>
      </c>
      <c r="D44" s="38">
        <f t="shared" si="12"/>
        <v>53500</v>
      </c>
      <c r="E44" s="38">
        <f t="shared" si="12"/>
        <v>57245</v>
      </c>
      <c r="F44" s="38">
        <f t="shared" si="12"/>
        <v>61252.15</v>
      </c>
      <c r="G44" s="38">
        <f t="shared" si="12"/>
        <v>65539.800499999998</v>
      </c>
      <c r="H44" s="38">
        <f t="shared" si="12"/>
        <v>70127.586534999995</v>
      </c>
      <c r="I44" s="38">
        <f t="shared" si="12"/>
        <v>75036.517592449993</v>
      </c>
      <c r="J44" s="38">
        <f t="shared" si="12"/>
        <v>80289.073823921499</v>
      </c>
      <c r="K44" s="38">
        <f t="shared" si="12"/>
        <v>85909.308991596001</v>
      </c>
      <c r="L44" s="39">
        <f t="shared" si="12"/>
        <v>91922.960621007718</v>
      </c>
    </row>
    <row r="45" spans="1:12" ht="14.25" customHeight="1" x14ac:dyDescent="0.3">
      <c r="A45" s="28" t="s">
        <v>25</v>
      </c>
      <c r="B45" s="29"/>
      <c r="C45" s="38">
        <f t="shared" ref="C45:L45" si="13">C17</f>
        <v>200000</v>
      </c>
      <c r="D45" s="38">
        <f t="shared" si="13"/>
        <v>214000</v>
      </c>
      <c r="E45" s="38">
        <f t="shared" si="13"/>
        <v>228980</v>
      </c>
      <c r="F45" s="38">
        <f t="shared" si="13"/>
        <v>245008.6</v>
      </c>
      <c r="G45" s="38">
        <f t="shared" si="13"/>
        <v>262159.20199999999</v>
      </c>
      <c r="H45" s="38">
        <f t="shared" si="13"/>
        <v>280510.34613999998</v>
      </c>
      <c r="I45" s="38">
        <f t="shared" si="13"/>
        <v>300146.07036979997</v>
      </c>
      <c r="J45" s="38">
        <f t="shared" si="13"/>
        <v>321156.295295686</v>
      </c>
      <c r="K45" s="38">
        <f t="shared" si="13"/>
        <v>343637.235966384</v>
      </c>
      <c r="L45" s="39">
        <f t="shared" si="13"/>
        <v>367691.84248403087</v>
      </c>
    </row>
    <row r="46" spans="1:12" ht="15.75" customHeight="1" x14ac:dyDescent="0.3">
      <c r="A46" s="40" t="s">
        <v>46</v>
      </c>
      <c r="B46" s="41"/>
      <c r="C46" s="36">
        <f t="shared" ref="C46:L46" si="14">SUM(C44:C45)</f>
        <v>250000</v>
      </c>
      <c r="D46" s="36">
        <f t="shared" si="14"/>
        <v>267500</v>
      </c>
      <c r="E46" s="36">
        <f t="shared" si="14"/>
        <v>286225</v>
      </c>
      <c r="F46" s="36">
        <f t="shared" si="14"/>
        <v>306260.75</v>
      </c>
      <c r="G46" s="36">
        <f t="shared" si="14"/>
        <v>327699.0025</v>
      </c>
      <c r="H46" s="36">
        <f t="shared" si="14"/>
        <v>350637.93267499999</v>
      </c>
      <c r="I46" s="36">
        <f t="shared" si="14"/>
        <v>375182.58796224999</v>
      </c>
      <c r="J46" s="36">
        <f t="shared" si="14"/>
        <v>401445.36911960749</v>
      </c>
      <c r="K46" s="36">
        <f t="shared" si="14"/>
        <v>429546.54495797999</v>
      </c>
      <c r="L46" s="37">
        <f t="shared" si="14"/>
        <v>459614.80310503859</v>
      </c>
    </row>
    <row r="47" spans="1:12" ht="14.25" customHeight="1" x14ac:dyDescent="0.3">
      <c r="B47" s="21"/>
    </row>
    <row r="48" spans="1:12" ht="14.25" customHeight="1" x14ac:dyDescent="0.3">
      <c r="A48" s="22" t="s">
        <v>47</v>
      </c>
      <c r="B48" s="42"/>
      <c r="C48" s="43"/>
      <c r="D48" s="43"/>
      <c r="E48" s="43"/>
      <c r="F48" s="43"/>
      <c r="G48" s="43"/>
      <c r="H48" s="43"/>
    </row>
    <row r="49" spans="1:12" ht="14.25" customHeight="1" x14ac:dyDescent="0.3">
      <c r="A49" s="44" t="s">
        <v>21</v>
      </c>
      <c r="B49" s="42"/>
      <c r="C49" s="43"/>
      <c r="D49" s="43"/>
      <c r="E49" s="43"/>
      <c r="F49" s="43"/>
      <c r="G49" s="43"/>
      <c r="H49" s="43"/>
    </row>
    <row r="50" spans="1:12" ht="15.75" customHeight="1" x14ac:dyDescent="0.3">
      <c r="A50" s="160" t="s">
        <v>48</v>
      </c>
      <c r="B50" s="160"/>
      <c r="C50" s="160"/>
      <c r="D50" s="160"/>
      <c r="E50" s="160"/>
      <c r="F50" s="160"/>
      <c r="G50" s="160"/>
      <c r="H50" s="160"/>
    </row>
    <row r="51" spans="1:12" ht="14.25" customHeight="1" x14ac:dyDescent="0.3">
      <c r="A51" s="25" t="s">
        <v>36</v>
      </c>
      <c r="B51" s="26" t="s">
        <v>5</v>
      </c>
      <c r="C51" s="26" t="s">
        <v>6</v>
      </c>
      <c r="D51" s="26" t="s">
        <v>7</v>
      </c>
      <c r="E51" s="26" t="s">
        <v>8</v>
      </c>
      <c r="F51" s="26" t="s">
        <v>9</v>
      </c>
      <c r="G51" s="26" t="s">
        <v>10</v>
      </c>
      <c r="H51" s="26" t="s">
        <v>11</v>
      </c>
      <c r="I51" s="26" t="s">
        <v>12</v>
      </c>
      <c r="J51" s="26" t="s">
        <v>13</v>
      </c>
      <c r="K51" s="26" t="s">
        <v>14</v>
      </c>
      <c r="L51" s="27" t="s">
        <v>15</v>
      </c>
    </row>
    <row r="52" spans="1:12" ht="14.25" customHeight="1" x14ac:dyDescent="0.3">
      <c r="A52" s="28" t="s">
        <v>21</v>
      </c>
      <c r="B52" s="45"/>
      <c r="C52" s="38">
        <f t="shared" ref="C52:L52" si="15">C13+B52</f>
        <v>450000</v>
      </c>
      <c r="D52" s="38">
        <f t="shared" si="15"/>
        <v>700000</v>
      </c>
      <c r="E52" s="38">
        <f t="shared" si="15"/>
        <v>950000</v>
      </c>
      <c r="F52" s="38">
        <f t="shared" si="15"/>
        <v>1200000</v>
      </c>
      <c r="G52" s="38">
        <f t="shared" si="15"/>
        <v>1450000</v>
      </c>
      <c r="H52" s="38">
        <f t="shared" si="15"/>
        <v>1700000</v>
      </c>
      <c r="I52" s="38">
        <f t="shared" si="15"/>
        <v>1700000</v>
      </c>
      <c r="J52" s="38">
        <f t="shared" si="15"/>
        <v>1700000</v>
      </c>
      <c r="K52" s="38">
        <f t="shared" si="15"/>
        <v>1700000</v>
      </c>
      <c r="L52" s="38">
        <f t="shared" si="15"/>
        <v>1700000</v>
      </c>
    </row>
    <row r="53" spans="1:12" ht="15.75" customHeight="1" x14ac:dyDescent="0.3">
      <c r="A53" s="34" t="s">
        <v>49</v>
      </c>
      <c r="B53" s="46"/>
      <c r="C53" s="36">
        <f t="shared" ref="C53:L53" si="16">SUM(C52:C52)</f>
        <v>450000</v>
      </c>
      <c r="D53" s="36">
        <f t="shared" si="16"/>
        <v>700000</v>
      </c>
      <c r="E53" s="36">
        <f t="shared" si="16"/>
        <v>950000</v>
      </c>
      <c r="F53" s="36">
        <f t="shared" si="16"/>
        <v>1200000</v>
      </c>
      <c r="G53" s="36">
        <f t="shared" si="16"/>
        <v>1450000</v>
      </c>
      <c r="H53" s="36">
        <f t="shared" si="16"/>
        <v>1700000</v>
      </c>
      <c r="I53" s="36">
        <f t="shared" si="16"/>
        <v>1700000</v>
      </c>
      <c r="J53" s="36">
        <f t="shared" si="16"/>
        <v>1700000</v>
      </c>
      <c r="K53" s="36">
        <f t="shared" si="16"/>
        <v>1700000</v>
      </c>
      <c r="L53" s="37">
        <f t="shared" si="16"/>
        <v>1700000</v>
      </c>
    </row>
    <row r="54" spans="1:12" ht="14.25" customHeight="1" x14ac:dyDescent="0.3">
      <c r="A54" s="43"/>
      <c r="B54" s="42"/>
      <c r="C54" s="43"/>
      <c r="D54" s="43"/>
      <c r="E54" s="43"/>
      <c r="F54" s="43"/>
      <c r="G54" s="43"/>
      <c r="H54" s="43"/>
    </row>
    <row r="55" spans="1:12" ht="15.75" customHeight="1" x14ac:dyDescent="0.3">
      <c r="A55" s="160" t="s">
        <v>50</v>
      </c>
      <c r="B55" s="160"/>
      <c r="C55" s="160"/>
      <c r="D55" s="160"/>
      <c r="E55" s="160"/>
      <c r="F55" s="160"/>
      <c r="G55" s="160"/>
      <c r="H55" s="160"/>
    </row>
    <row r="56" spans="1:12" ht="14.25" customHeight="1" x14ac:dyDescent="0.3">
      <c r="A56" s="25" t="s">
        <v>36</v>
      </c>
      <c r="B56" s="26" t="s">
        <v>51</v>
      </c>
      <c r="C56" s="26" t="s">
        <v>6</v>
      </c>
      <c r="D56" s="26" t="s">
        <v>7</v>
      </c>
      <c r="E56" s="26" t="s">
        <v>8</v>
      </c>
      <c r="F56" s="26" t="s">
        <v>9</v>
      </c>
      <c r="G56" s="26" t="s">
        <v>10</v>
      </c>
      <c r="H56" s="26" t="s">
        <v>11</v>
      </c>
      <c r="I56" s="26" t="s">
        <v>12</v>
      </c>
      <c r="J56" s="26" t="s">
        <v>13</v>
      </c>
      <c r="K56" s="26" t="s">
        <v>14</v>
      </c>
      <c r="L56" s="27" t="s">
        <v>15</v>
      </c>
    </row>
    <row r="57" spans="1:12" ht="14.25" customHeight="1" x14ac:dyDescent="0.3">
      <c r="A57" s="47" t="s">
        <v>52</v>
      </c>
      <c r="B57" s="48"/>
      <c r="C57" s="49">
        <f t="shared" ref="C57:L57" si="17">C58</f>
        <v>450000</v>
      </c>
      <c r="D57" s="49">
        <f t="shared" si="17"/>
        <v>700000</v>
      </c>
      <c r="E57" s="49">
        <f t="shared" si="17"/>
        <v>950000</v>
      </c>
      <c r="F57" s="49">
        <f t="shared" si="17"/>
        <v>1200000</v>
      </c>
      <c r="G57" s="49">
        <f t="shared" si="17"/>
        <v>1450000</v>
      </c>
      <c r="H57" s="49">
        <f t="shared" si="17"/>
        <v>1700000</v>
      </c>
      <c r="I57" s="49">
        <f t="shared" si="17"/>
        <v>1700000</v>
      </c>
      <c r="J57" s="49">
        <f t="shared" si="17"/>
        <v>1700000</v>
      </c>
      <c r="K57" s="49">
        <f t="shared" si="17"/>
        <v>1700000</v>
      </c>
      <c r="L57" s="50">
        <f t="shared" si="17"/>
        <v>1700000</v>
      </c>
    </row>
    <row r="58" spans="1:12" ht="14.25" customHeight="1" x14ac:dyDescent="0.3">
      <c r="A58" s="28" t="s">
        <v>53</v>
      </c>
      <c r="B58" s="45"/>
      <c r="C58" s="38">
        <f t="shared" ref="C58:L58" si="18">C53</f>
        <v>450000</v>
      </c>
      <c r="D58" s="38">
        <f t="shared" si="18"/>
        <v>700000</v>
      </c>
      <c r="E58" s="38">
        <f t="shared" si="18"/>
        <v>950000</v>
      </c>
      <c r="F58" s="38">
        <f t="shared" si="18"/>
        <v>1200000</v>
      </c>
      <c r="G58" s="38">
        <f t="shared" si="18"/>
        <v>1450000</v>
      </c>
      <c r="H58" s="38">
        <f t="shared" si="18"/>
        <v>1700000</v>
      </c>
      <c r="I58" s="38">
        <f t="shared" si="18"/>
        <v>1700000</v>
      </c>
      <c r="J58" s="38">
        <f t="shared" si="18"/>
        <v>1700000</v>
      </c>
      <c r="K58" s="38">
        <f t="shared" si="18"/>
        <v>1700000</v>
      </c>
      <c r="L58" s="39">
        <f t="shared" si="18"/>
        <v>1700000</v>
      </c>
    </row>
    <row r="59" spans="1:12" ht="14.25" customHeight="1" x14ac:dyDescent="0.3">
      <c r="A59" s="47" t="s">
        <v>54</v>
      </c>
      <c r="B59" s="48"/>
      <c r="C59" s="49">
        <f t="shared" ref="C59:L59" si="19">SUM(C60:C61)</f>
        <v>0</v>
      </c>
      <c r="D59" s="49">
        <f t="shared" si="19"/>
        <v>0</v>
      </c>
      <c r="E59" s="49">
        <f t="shared" si="19"/>
        <v>0</v>
      </c>
      <c r="F59" s="49">
        <f t="shared" si="19"/>
        <v>0</v>
      </c>
      <c r="G59" s="49">
        <f t="shared" si="19"/>
        <v>0</v>
      </c>
      <c r="H59" s="49">
        <f t="shared" si="19"/>
        <v>0</v>
      </c>
      <c r="I59" s="49">
        <f t="shared" si="19"/>
        <v>0</v>
      </c>
      <c r="J59" s="49">
        <f t="shared" si="19"/>
        <v>0</v>
      </c>
      <c r="K59" s="49">
        <f t="shared" si="19"/>
        <v>0</v>
      </c>
      <c r="L59" s="50">
        <f t="shared" si="19"/>
        <v>0</v>
      </c>
    </row>
    <row r="60" spans="1:12" ht="14.25" customHeight="1" x14ac:dyDescent="0.3">
      <c r="A60" s="28" t="s">
        <v>55</v>
      </c>
      <c r="B60" s="45"/>
      <c r="C60" s="38">
        <v>0</v>
      </c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9">
        <v>0</v>
      </c>
    </row>
    <row r="61" spans="1:12" ht="14.25" customHeight="1" x14ac:dyDescent="0.3">
      <c r="A61" s="28" t="s">
        <v>56</v>
      </c>
      <c r="B61" s="45"/>
      <c r="C61" s="38">
        <v>0</v>
      </c>
      <c r="D61" s="38">
        <v>0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9">
        <v>0</v>
      </c>
    </row>
    <row r="62" spans="1:12" ht="14.25" customHeight="1" x14ac:dyDescent="0.3">
      <c r="A62" s="51" t="s">
        <v>57</v>
      </c>
      <c r="B62" s="52"/>
      <c r="C62" s="53">
        <f t="shared" ref="C62:L62" si="20">C57-C59</f>
        <v>450000</v>
      </c>
      <c r="D62" s="53">
        <f t="shared" si="20"/>
        <v>700000</v>
      </c>
      <c r="E62" s="53">
        <f t="shared" si="20"/>
        <v>950000</v>
      </c>
      <c r="F62" s="53">
        <f t="shared" si="20"/>
        <v>1200000</v>
      </c>
      <c r="G62" s="53">
        <f t="shared" si="20"/>
        <v>1450000</v>
      </c>
      <c r="H62" s="53">
        <f t="shared" si="20"/>
        <v>1700000</v>
      </c>
      <c r="I62" s="53">
        <f t="shared" si="20"/>
        <v>1700000</v>
      </c>
      <c r="J62" s="53">
        <f t="shared" si="20"/>
        <v>1700000</v>
      </c>
      <c r="K62" s="53">
        <f t="shared" si="20"/>
        <v>1700000</v>
      </c>
      <c r="L62" s="54">
        <f t="shared" si="20"/>
        <v>1700000</v>
      </c>
    </row>
    <row r="63" spans="1:12" ht="15.75" customHeight="1" x14ac:dyDescent="0.3">
      <c r="A63" s="34" t="s">
        <v>58</v>
      </c>
      <c r="B63" s="36">
        <f t="shared" ref="B63:L63" si="21">C62-B62</f>
        <v>450000</v>
      </c>
      <c r="C63" s="36">
        <f t="shared" si="21"/>
        <v>250000</v>
      </c>
      <c r="D63" s="36">
        <f t="shared" si="21"/>
        <v>250000</v>
      </c>
      <c r="E63" s="36">
        <f t="shared" si="21"/>
        <v>250000</v>
      </c>
      <c r="F63" s="36">
        <f t="shared" si="21"/>
        <v>250000</v>
      </c>
      <c r="G63" s="36">
        <f t="shared" si="21"/>
        <v>250000</v>
      </c>
      <c r="H63" s="36">
        <f t="shared" si="21"/>
        <v>0</v>
      </c>
      <c r="I63" s="36">
        <f t="shared" si="21"/>
        <v>0</v>
      </c>
      <c r="J63" s="36">
        <f t="shared" si="21"/>
        <v>0</v>
      </c>
      <c r="K63" s="36">
        <f t="shared" si="21"/>
        <v>0</v>
      </c>
      <c r="L63" s="37">
        <f t="shared" si="21"/>
        <v>-1700000</v>
      </c>
    </row>
    <row r="64" spans="1:12" ht="14.25" customHeight="1" x14ac:dyDescent="0.3">
      <c r="B64" s="24"/>
    </row>
    <row r="65" spans="1:12" ht="14.25" customHeight="1" x14ac:dyDescent="0.3">
      <c r="A65" s="22" t="s">
        <v>59</v>
      </c>
      <c r="B65" s="24"/>
    </row>
    <row r="66" spans="1:12" ht="15.75" customHeight="1" x14ac:dyDescent="0.3">
      <c r="A66" s="23" t="s">
        <v>60</v>
      </c>
      <c r="B66" s="24"/>
    </row>
    <row r="67" spans="1:12" ht="14.25" customHeight="1" x14ac:dyDescent="0.3">
      <c r="A67" s="25" t="s">
        <v>36</v>
      </c>
      <c r="B67" s="26" t="s">
        <v>5</v>
      </c>
      <c r="C67" s="26" t="s">
        <v>6</v>
      </c>
      <c r="D67" s="26" t="s">
        <v>7</v>
      </c>
      <c r="E67" s="26" t="s">
        <v>8</v>
      </c>
      <c r="F67" s="26" t="s">
        <v>9</v>
      </c>
      <c r="G67" s="26" t="s">
        <v>10</v>
      </c>
      <c r="H67" s="26" t="s">
        <v>11</v>
      </c>
      <c r="I67" s="26" t="s">
        <v>12</v>
      </c>
      <c r="J67" s="26" t="s">
        <v>13</v>
      </c>
      <c r="K67" s="26" t="s">
        <v>14</v>
      </c>
      <c r="L67" s="27" t="s">
        <v>15</v>
      </c>
    </row>
    <row r="68" spans="1:12" ht="14.25" customHeight="1" x14ac:dyDescent="0.3">
      <c r="A68" s="47" t="s">
        <v>61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6"/>
    </row>
    <row r="69" spans="1:12" ht="14.25" customHeight="1" x14ac:dyDescent="0.3">
      <c r="A69" s="28" t="s">
        <v>62</v>
      </c>
      <c r="B69" s="57">
        <v>100000</v>
      </c>
      <c r="C69" s="55"/>
      <c r="D69" s="55"/>
      <c r="E69" s="55"/>
      <c r="F69" s="55"/>
      <c r="G69" s="55"/>
      <c r="H69" s="55"/>
      <c r="I69" s="55"/>
      <c r="J69" s="55"/>
      <c r="K69" s="55"/>
      <c r="L69" s="56"/>
    </row>
    <row r="70" spans="1:12" ht="14.25" customHeight="1" x14ac:dyDescent="0.3">
      <c r="A70" s="28" t="s">
        <v>63</v>
      </c>
      <c r="B70" s="57">
        <f>3000000+200000+450000+50000</f>
        <v>3700000</v>
      </c>
      <c r="C70" s="55"/>
      <c r="D70" s="55"/>
      <c r="E70" s="55"/>
      <c r="F70" s="55"/>
      <c r="G70" s="55"/>
      <c r="H70" s="55"/>
      <c r="I70" s="55"/>
      <c r="J70" s="55"/>
      <c r="K70" s="55"/>
      <c r="L70" s="56"/>
    </row>
    <row r="71" spans="1:12" ht="14.25" customHeight="1" x14ac:dyDescent="0.3">
      <c r="A71" s="28" t="s">
        <v>64</v>
      </c>
      <c r="B71" s="57">
        <f>300000+100000</f>
        <v>400000</v>
      </c>
      <c r="C71" s="55"/>
      <c r="D71" s="55"/>
      <c r="E71" s="55"/>
      <c r="F71" s="55"/>
      <c r="G71" s="55"/>
      <c r="H71" s="55"/>
      <c r="I71" s="55"/>
      <c r="J71" s="55"/>
      <c r="K71" s="55"/>
      <c r="L71" s="56"/>
    </row>
    <row r="72" spans="1:12" ht="14.25" customHeight="1" x14ac:dyDescent="0.3">
      <c r="A72" s="28" t="s">
        <v>65</v>
      </c>
      <c r="B72" s="57">
        <v>750000</v>
      </c>
      <c r="C72" s="55"/>
      <c r="D72" s="55"/>
      <c r="E72" s="55"/>
      <c r="F72" s="55"/>
      <c r="G72" s="55"/>
      <c r="H72" s="55"/>
      <c r="I72" s="55"/>
      <c r="J72" s="55"/>
      <c r="K72" s="55"/>
      <c r="L72" s="56"/>
    </row>
    <row r="73" spans="1:12" ht="14.25" customHeight="1" x14ac:dyDescent="0.3">
      <c r="A73" s="47" t="s">
        <v>66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6"/>
    </row>
    <row r="74" spans="1:12" ht="14.25" customHeight="1" x14ac:dyDescent="0.3">
      <c r="A74" s="28" t="s">
        <v>67</v>
      </c>
      <c r="B74" s="57">
        <v>0</v>
      </c>
      <c r="C74" s="55"/>
      <c r="D74" s="55"/>
      <c r="E74" s="55"/>
      <c r="F74" s="55"/>
      <c r="G74" s="55"/>
      <c r="H74" s="55"/>
      <c r="I74" s="55"/>
      <c r="J74" s="55"/>
      <c r="K74" s="55"/>
      <c r="L74" s="56"/>
    </row>
    <row r="75" spans="1:12" ht="14.25" customHeight="1" x14ac:dyDescent="0.3">
      <c r="A75" s="47" t="s">
        <v>21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6"/>
    </row>
    <row r="76" spans="1:12" ht="14.25" customHeight="1" x14ac:dyDescent="0.3">
      <c r="A76" s="28" t="s">
        <v>68</v>
      </c>
      <c r="B76" s="57">
        <f t="shared" ref="B76:L76" si="22">B63</f>
        <v>450000</v>
      </c>
      <c r="C76" s="57">
        <f t="shared" si="22"/>
        <v>250000</v>
      </c>
      <c r="D76" s="57">
        <f t="shared" si="22"/>
        <v>250000</v>
      </c>
      <c r="E76" s="57">
        <f t="shared" si="22"/>
        <v>250000</v>
      </c>
      <c r="F76" s="57">
        <f t="shared" si="22"/>
        <v>250000</v>
      </c>
      <c r="G76" s="57">
        <f t="shared" si="22"/>
        <v>250000</v>
      </c>
      <c r="H76" s="57">
        <f t="shared" si="22"/>
        <v>0</v>
      </c>
      <c r="I76" s="57">
        <f t="shared" si="22"/>
        <v>0</v>
      </c>
      <c r="J76" s="57">
        <f t="shared" si="22"/>
        <v>0</v>
      </c>
      <c r="K76" s="57">
        <f t="shared" si="22"/>
        <v>0</v>
      </c>
      <c r="L76" s="58">
        <f t="shared" si="22"/>
        <v>-1700000</v>
      </c>
    </row>
    <row r="77" spans="1:12" ht="15.75" customHeight="1" x14ac:dyDescent="0.3">
      <c r="A77" s="40" t="s">
        <v>69</v>
      </c>
      <c r="B77" s="59">
        <f t="shared" ref="B77:L77" si="23">SUM(B68:B76)</f>
        <v>5400000</v>
      </c>
      <c r="C77" s="59">
        <f t="shared" si="23"/>
        <v>250000</v>
      </c>
      <c r="D77" s="59">
        <f t="shared" si="23"/>
        <v>250000</v>
      </c>
      <c r="E77" s="59">
        <f t="shared" si="23"/>
        <v>250000</v>
      </c>
      <c r="F77" s="59">
        <f t="shared" si="23"/>
        <v>250000</v>
      </c>
      <c r="G77" s="59">
        <f t="shared" si="23"/>
        <v>250000</v>
      </c>
      <c r="H77" s="59">
        <f t="shared" si="23"/>
        <v>0</v>
      </c>
      <c r="I77" s="59">
        <f t="shared" si="23"/>
        <v>0</v>
      </c>
      <c r="J77" s="59">
        <f t="shared" si="23"/>
        <v>0</v>
      </c>
      <c r="K77" s="59">
        <f t="shared" si="23"/>
        <v>0</v>
      </c>
      <c r="L77" s="60">
        <f t="shared" si="23"/>
        <v>-1700000</v>
      </c>
    </row>
    <row r="78" spans="1:12" ht="14.25" customHeight="1" x14ac:dyDescent="0.3">
      <c r="B78" s="21"/>
    </row>
    <row r="79" spans="1:12" ht="14.25" customHeight="1" x14ac:dyDescent="0.3">
      <c r="A79" s="22" t="s">
        <v>70</v>
      </c>
      <c r="B79" s="24"/>
    </row>
    <row r="80" spans="1:12" ht="15.75" customHeight="1" x14ac:dyDescent="0.3">
      <c r="A80" s="23" t="s">
        <v>71</v>
      </c>
      <c r="B80" s="24"/>
    </row>
    <row r="81" spans="1:22" ht="14.25" customHeight="1" x14ac:dyDescent="0.3">
      <c r="A81" s="25" t="s">
        <v>36</v>
      </c>
      <c r="B81" s="26" t="s">
        <v>5</v>
      </c>
      <c r="C81" s="26" t="s">
        <v>6</v>
      </c>
      <c r="D81" s="26" t="s">
        <v>7</v>
      </c>
      <c r="E81" s="26" t="s">
        <v>8</v>
      </c>
      <c r="F81" s="26" t="s">
        <v>9</v>
      </c>
      <c r="G81" s="26" t="s">
        <v>10</v>
      </c>
      <c r="H81" s="26" t="s">
        <v>11</v>
      </c>
      <c r="I81" s="26" t="s">
        <v>12</v>
      </c>
      <c r="J81" s="26" t="s">
        <v>13</v>
      </c>
      <c r="K81" s="26" t="s">
        <v>14</v>
      </c>
      <c r="L81" s="27" t="s">
        <v>15</v>
      </c>
      <c r="R81" s="61" t="s">
        <v>72</v>
      </c>
      <c r="S81" s="62" t="s">
        <v>73</v>
      </c>
      <c r="T81" s="62" t="s">
        <v>74</v>
      </c>
      <c r="U81" s="62" t="s">
        <v>75</v>
      </c>
      <c r="V81" s="62" t="s">
        <v>76</v>
      </c>
    </row>
    <row r="82" spans="1:22" ht="14.25" customHeight="1" x14ac:dyDescent="0.3">
      <c r="A82" s="28" t="s">
        <v>77</v>
      </c>
      <c r="B82" s="55"/>
      <c r="C82" s="57">
        <f t="shared" ref="C82:L82" si="24">$V$82</f>
        <v>2500</v>
      </c>
      <c r="D82" s="57">
        <f t="shared" si="24"/>
        <v>2500</v>
      </c>
      <c r="E82" s="57">
        <f t="shared" si="24"/>
        <v>2500</v>
      </c>
      <c r="F82" s="57">
        <f t="shared" si="24"/>
        <v>2500</v>
      </c>
      <c r="G82" s="57">
        <f t="shared" si="24"/>
        <v>2500</v>
      </c>
      <c r="H82" s="57">
        <f t="shared" si="24"/>
        <v>2500</v>
      </c>
      <c r="I82" s="57">
        <f t="shared" si="24"/>
        <v>2500</v>
      </c>
      <c r="J82" s="57">
        <f t="shared" si="24"/>
        <v>2500</v>
      </c>
      <c r="K82" s="57">
        <f t="shared" si="24"/>
        <v>2500</v>
      </c>
      <c r="L82" s="57">
        <f t="shared" si="24"/>
        <v>2500</v>
      </c>
      <c r="R82" s="63" t="s">
        <v>78</v>
      </c>
      <c r="S82" s="15">
        <f>B69</f>
        <v>100000</v>
      </c>
      <c r="T82" s="64">
        <v>50000</v>
      </c>
      <c r="U82" s="65">
        <v>20</v>
      </c>
      <c r="V82" s="15">
        <f>(S82-T82)/U82</f>
        <v>2500</v>
      </c>
    </row>
    <row r="83" spans="1:22" ht="14.25" customHeight="1" x14ac:dyDescent="0.3">
      <c r="A83" s="28" t="s">
        <v>79</v>
      </c>
      <c r="B83" s="55"/>
      <c r="C83" s="57">
        <f t="shared" ref="C83:L83" si="25">$V$83+$V$84</f>
        <v>270000</v>
      </c>
      <c r="D83" s="57">
        <f t="shared" si="25"/>
        <v>270000</v>
      </c>
      <c r="E83" s="57">
        <f t="shared" si="25"/>
        <v>270000</v>
      </c>
      <c r="F83" s="57">
        <f t="shared" si="25"/>
        <v>270000</v>
      </c>
      <c r="G83" s="57">
        <f t="shared" si="25"/>
        <v>270000</v>
      </c>
      <c r="H83" s="57">
        <f t="shared" si="25"/>
        <v>270000</v>
      </c>
      <c r="I83" s="57">
        <f t="shared" si="25"/>
        <v>270000</v>
      </c>
      <c r="J83" s="57">
        <f t="shared" si="25"/>
        <v>270000</v>
      </c>
      <c r="K83" s="57">
        <f t="shared" si="25"/>
        <v>270000</v>
      </c>
      <c r="L83" s="57">
        <f t="shared" si="25"/>
        <v>270000</v>
      </c>
      <c r="R83" s="63" t="s">
        <v>80</v>
      </c>
      <c r="S83" s="15">
        <v>3000000</v>
      </c>
      <c r="T83" s="64">
        <v>1000000</v>
      </c>
      <c r="U83" s="66">
        <v>10</v>
      </c>
      <c r="V83" s="15">
        <f>(S83-T83)/U83</f>
        <v>200000</v>
      </c>
    </row>
    <row r="84" spans="1:22" ht="14.25" customHeight="1" x14ac:dyDescent="0.3">
      <c r="A84" s="28" t="s">
        <v>81</v>
      </c>
      <c r="B84" s="55"/>
      <c r="C84" s="57">
        <f>$V$85</f>
        <v>80000</v>
      </c>
      <c r="D84" s="57">
        <f>$V$85</f>
        <v>80000</v>
      </c>
      <c r="E84" s="57">
        <f>$V$85</f>
        <v>80000</v>
      </c>
      <c r="F84" s="57">
        <f>$V$85</f>
        <v>80000</v>
      </c>
      <c r="G84" s="57">
        <f>$V$85</f>
        <v>80000</v>
      </c>
      <c r="H84" s="57">
        <v>0</v>
      </c>
      <c r="I84" s="57">
        <v>0</v>
      </c>
      <c r="J84" s="57">
        <v>0</v>
      </c>
      <c r="K84" s="57">
        <v>0</v>
      </c>
      <c r="L84" s="57">
        <v>0</v>
      </c>
      <c r="R84" s="63" t="s">
        <v>82</v>
      </c>
      <c r="S84" s="67">
        <f>B70-S83</f>
        <v>700000</v>
      </c>
      <c r="T84" s="63">
        <v>0</v>
      </c>
      <c r="U84" s="65">
        <v>10</v>
      </c>
      <c r="V84" s="15">
        <f>(S84-T84)/U84</f>
        <v>70000</v>
      </c>
    </row>
    <row r="85" spans="1:22" ht="14.25" customHeight="1" x14ac:dyDescent="0.3">
      <c r="A85" s="68" t="s">
        <v>83</v>
      </c>
      <c r="B85" s="69"/>
      <c r="C85" s="70">
        <f t="shared" ref="C85:L85" si="26">SUM(C82:C84)</f>
        <v>352500</v>
      </c>
      <c r="D85" s="70">
        <f t="shared" si="26"/>
        <v>352500</v>
      </c>
      <c r="E85" s="70">
        <f t="shared" si="26"/>
        <v>352500</v>
      </c>
      <c r="F85" s="70">
        <f t="shared" si="26"/>
        <v>352500</v>
      </c>
      <c r="G85" s="70">
        <f t="shared" si="26"/>
        <v>352500</v>
      </c>
      <c r="H85" s="70">
        <f t="shared" si="26"/>
        <v>272500</v>
      </c>
      <c r="I85" s="70">
        <f t="shared" si="26"/>
        <v>272500</v>
      </c>
      <c r="J85" s="70">
        <f t="shared" si="26"/>
        <v>272500</v>
      </c>
      <c r="K85" s="70">
        <f t="shared" si="26"/>
        <v>272500</v>
      </c>
      <c r="L85" s="70">
        <f t="shared" si="26"/>
        <v>272500</v>
      </c>
      <c r="R85" s="63" t="s">
        <v>84</v>
      </c>
      <c r="S85" s="15">
        <f>B71</f>
        <v>400000</v>
      </c>
      <c r="T85" s="64">
        <v>0</v>
      </c>
      <c r="U85" s="66">
        <v>5</v>
      </c>
      <c r="V85" s="15">
        <f>(S85-T85)/U85</f>
        <v>80000</v>
      </c>
    </row>
    <row r="86" spans="1:22" ht="14.25" customHeight="1" x14ac:dyDescent="0.3">
      <c r="A86" s="71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6"/>
      <c r="S86" s="72">
        <f>SUM(S82:S85)</f>
        <v>4200000</v>
      </c>
    </row>
    <row r="87" spans="1:22" ht="14.25" customHeight="1" x14ac:dyDescent="0.3">
      <c r="A87" s="28" t="s">
        <v>85</v>
      </c>
      <c r="B87" s="55"/>
      <c r="C87" s="57">
        <f t="shared" ref="C87:L87" si="27">$B$74/10</f>
        <v>0</v>
      </c>
      <c r="D87" s="57">
        <f t="shared" si="27"/>
        <v>0</v>
      </c>
      <c r="E87" s="57">
        <f t="shared" si="27"/>
        <v>0</v>
      </c>
      <c r="F87" s="57">
        <f t="shared" si="27"/>
        <v>0</v>
      </c>
      <c r="G87" s="57">
        <f t="shared" si="27"/>
        <v>0</v>
      </c>
      <c r="H87" s="57">
        <f t="shared" si="27"/>
        <v>0</v>
      </c>
      <c r="I87" s="57">
        <f t="shared" si="27"/>
        <v>0</v>
      </c>
      <c r="J87" s="57">
        <f t="shared" si="27"/>
        <v>0</v>
      </c>
      <c r="K87" s="57">
        <f t="shared" si="27"/>
        <v>0</v>
      </c>
      <c r="L87" s="73">
        <f t="shared" si="27"/>
        <v>0</v>
      </c>
      <c r="O87" s="74"/>
    </row>
    <row r="88" spans="1:22" ht="15.75" customHeight="1" x14ac:dyDescent="0.3">
      <c r="A88" s="40" t="s">
        <v>86</v>
      </c>
      <c r="B88" s="75"/>
      <c r="C88" s="59">
        <f t="shared" ref="C88:L88" si="28">SUM(C87)</f>
        <v>0</v>
      </c>
      <c r="D88" s="59">
        <f t="shared" si="28"/>
        <v>0</v>
      </c>
      <c r="E88" s="59">
        <f t="shared" si="28"/>
        <v>0</v>
      </c>
      <c r="F88" s="59">
        <f t="shared" si="28"/>
        <v>0</v>
      </c>
      <c r="G88" s="59">
        <f t="shared" si="28"/>
        <v>0</v>
      </c>
      <c r="H88" s="59">
        <f t="shared" si="28"/>
        <v>0</v>
      </c>
      <c r="I88" s="59">
        <f t="shared" si="28"/>
        <v>0</v>
      </c>
      <c r="J88" s="59">
        <f t="shared" si="28"/>
        <v>0</v>
      </c>
      <c r="K88" s="59">
        <f t="shared" si="28"/>
        <v>0</v>
      </c>
      <c r="L88" s="60">
        <f t="shared" si="28"/>
        <v>0</v>
      </c>
      <c r="O88" s="74"/>
    </row>
    <row r="89" spans="1:22" ht="14.25" customHeight="1" x14ac:dyDescent="0.3">
      <c r="B89" s="21"/>
    </row>
    <row r="90" spans="1:22" ht="14.25" customHeight="1" x14ac:dyDescent="0.3">
      <c r="A90" s="22" t="s">
        <v>87</v>
      </c>
      <c r="B90" s="24"/>
    </row>
    <row r="91" spans="1:22" ht="15.75" customHeight="1" x14ac:dyDescent="0.3">
      <c r="A91" s="23" t="s">
        <v>88</v>
      </c>
      <c r="B91" s="24"/>
    </row>
    <row r="92" spans="1:22" ht="14.25" customHeight="1" x14ac:dyDescent="0.3">
      <c r="A92" s="161" t="s">
        <v>36</v>
      </c>
      <c r="B92" s="76" t="s">
        <v>89</v>
      </c>
      <c r="C92" s="162" t="s">
        <v>90</v>
      </c>
      <c r="D92" s="162"/>
      <c r="E92" s="162"/>
      <c r="F92" s="162"/>
      <c r="G92" s="162"/>
      <c r="H92" s="162"/>
      <c r="I92" s="162"/>
      <c r="J92" s="162"/>
      <c r="K92" s="162"/>
      <c r="L92" s="162"/>
      <c r="M92" s="77" t="s">
        <v>91</v>
      </c>
    </row>
    <row r="93" spans="1:22" ht="14.25" customHeight="1" x14ac:dyDescent="0.3">
      <c r="A93" s="161"/>
      <c r="B93" s="62" t="s">
        <v>92</v>
      </c>
      <c r="C93" s="78" t="s">
        <v>6</v>
      </c>
      <c r="D93" s="78" t="s">
        <v>7</v>
      </c>
      <c r="E93" s="78" t="s">
        <v>8</v>
      </c>
      <c r="F93" s="78" t="s">
        <v>9</v>
      </c>
      <c r="G93" s="78" t="s">
        <v>10</v>
      </c>
      <c r="H93" s="78" t="s">
        <v>11</v>
      </c>
      <c r="I93" s="78" t="s">
        <v>12</v>
      </c>
      <c r="J93" s="78" t="s">
        <v>13</v>
      </c>
      <c r="K93" s="78" t="s">
        <v>14</v>
      </c>
      <c r="L93" s="78" t="s">
        <v>15</v>
      </c>
      <c r="M93" s="79" t="s">
        <v>93</v>
      </c>
    </row>
    <row r="94" spans="1:22" ht="14.25" customHeight="1" x14ac:dyDescent="0.3">
      <c r="A94" s="28" t="s">
        <v>77</v>
      </c>
      <c r="B94" s="57">
        <f>B69</f>
        <v>100000</v>
      </c>
      <c r="C94" s="57">
        <f t="shared" ref="C94:L94" si="29">C82</f>
        <v>2500</v>
      </c>
      <c r="D94" s="57">
        <f t="shared" si="29"/>
        <v>2500</v>
      </c>
      <c r="E94" s="57">
        <f t="shared" si="29"/>
        <v>2500</v>
      </c>
      <c r="F94" s="57">
        <f t="shared" si="29"/>
        <v>2500</v>
      </c>
      <c r="G94" s="57">
        <f t="shared" si="29"/>
        <v>2500</v>
      </c>
      <c r="H94" s="57">
        <f t="shared" si="29"/>
        <v>2500</v>
      </c>
      <c r="I94" s="57">
        <f t="shared" si="29"/>
        <v>2500</v>
      </c>
      <c r="J94" s="57">
        <f t="shared" si="29"/>
        <v>2500</v>
      </c>
      <c r="K94" s="57">
        <f t="shared" si="29"/>
        <v>2500</v>
      </c>
      <c r="L94" s="57">
        <f t="shared" si="29"/>
        <v>2500</v>
      </c>
      <c r="M94" s="73">
        <f>B94-SUM(C94:L94)</f>
        <v>75000</v>
      </c>
    </row>
    <row r="95" spans="1:22" ht="14.25" customHeight="1" x14ac:dyDescent="0.3">
      <c r="A95" s="28" t="s">
        <v>79</v>
      </c>
      <c r="B95" s="57">
        <f>B70</f>
        <v>3700000</v>
      </c>
      <c r="C95" s="57">
        <f t="shared" ref="C95:L95" si="30">C83</f>
        <v>270000</v>
      </c>
      <c r="D95" s="57">
        <f t="shared" si="30"/>
        <v>270000</v>
      </c>
      <c r="E95" s="57">
        <f t="shared" si="30"/>
        <v>270000</v>
      </c>
      <c r="F95" s="57">
        <f t="shared" si="30"/>
        <v>270000</v>
      </c>
      <c r="G95" s="57">
        <f t="shared" si="30"/>
        <v>270000</v>
      </c>
      <c r="H95" s="57">
        <f t="shared" si="30"/>
        <v>270000</v>
      </c>
      <c r="I95" s="57">
        <f t="shared" si="30"/>
        <v>270000</v>
      </c>
      <c r="J95" s="57">
        <f t="shared" si="30"/>
        <v>270000</v>
      </c>
      <c r="K95" s="57">
        <f t="shared" si="30"/>
        <v>270000</v>
      </c>
      <c r="L95" s="57">
        <f t="shared" si="30"/>
        <v>270000</v>
      </c>
      <c r="M95" s="73">
        <f>B95-SUM(C95:L95)</f>
        <v>1000000</v>
      </c>
    </row>
    <row r="96" spans="1:22" ht="14.25" customHeight="1" x14ac:dyDescent="0.3">
      <c r="A96" s="28" t="s">
        <v>81</v>
      </c>
      <c r="B96" s="57">
        <f>B71</f>
        <v>400000</v>
      </c>
      <c r="C96" s="57">
        <f t="shared" ref="C96:L96" si="31">C84</f>
        <v>80000</v>
      </c>
      <c r="D96" s="57">
        <f t="shared" si="31"/>
        <v>80000</v>
      </c>
      <c r="E96" s="57">
        <f t="shared" si="31"/>
        <v>80000</v>
      </c>
      <c r="F96" s="57">
        <f t="shared" si="31"/>
        <v>80000</v>
      </c>
      <c r="G96" s="57">
        <f t="shared" si="31"/>
        <v>80000</v>
      </c>
      <c r="H96" s="57">
        <f t="shared" si="31"/>
        <v>0</v>
      </c>
      <c r="I96" s="57">
        <f t="shared" si="31"/>
        <v>0</v>
      </c>
      <c r="J96" s="57">
        <f t="shared" si="31"/>
        <v>0</v>
      </c>
      <c r="K96" s="57">
        <f t="shared" si="31"/>
        <v>0</v>
      </c>
      <c r="L96" s="57">
        <f t="shared" si="31"/>
        <v>0</v>
      </c>
      <c r="M96" s="73">
        <f>B96-SUM(C96:L96)</f>
        <v>0</v>
      </c>
    </row>
    <row r="97" spans="1:13" ht="15.75" customHeight="1" x14ac:dyDescent="0.3">
      <c r="A97" s="80" t="s">
        <v>85</v>
      </c>
      <c r="B97" s="81">
        <f>B74</f>
        <v>0</v>
      </c>
      <c r="C97" s="81">
        <f t="shared" ref="C97:L97" si="32">C87</f>
        <v>0</v>
      </c>
      <c r="D97" s="81">
        <f t="shared" si="32"/>
        <v>0</v>
      </c>
      <c r="E97" s="81">
        <f t="shared" si="32"/>
        <v>0</v>
      </c>
      <c r="F97" s="81">
        <f t="shared" si="32"/>
        <v>0</v>
      </c>
      <c r="G97" s="81">
        <f t="shared" si="32"/>
        <v>0</v>
      </c>
      <c r="H97" s="81">
        <f t="shared" si="32"/>
        <v>0</v>
      </c>
      <c r="I97" s="81">
        <f t="shared" si="32"/>
        <v>0</v>
      </c>
      <c r="J97" s="81">
        <f t="shared" si="32"/>
        <v>0</v>
      </c>
      <c r="K97" s="81">
        <f t="shared" si="32"/>
        <v>0</v>
      </c>
      <c r="L97" s="81">
        <f t="shared" si="32"/>
        <v>0</v>
      </c>
      <c r="M97" s="82">
        <f>B97-SUM(C97:L97)</f>
        <v>0</v>
      </c>
    </row>
    <row r="98" spans="1:13" ht="15.75" customHeight="1" x14ac:dyDescent="0.3">
      <c r="A98" s="163" t="s">
        <v>94</v>
      </c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83">
        <f>SUM(M94:M97)</f>
        <v>1075000</v>
      </c>
    </row>
    <row r="99" spans="1:13" ht="14.25" customHeight="1" x14ac:dyDescent="0.3">
      <c r="B99" s="21"/>
    </row>
    <row r="100" spans="1:13" ht="14.25" customHeight="1" x14ac:dyDescent="0.3">
      <c r="A100" s="22" t="s">
        <v>95</v>
      </c>
      <c r="B100" s="24"/>
    </row>
    <row r="101" spans="1:13" ht="15.75" customHeight="1" x14ac:dyDescent="0.3">
      <c r="A101" s="44" t="s">
        <v>96</v>
      </c>
      <c r="B101" s="42"/>
      <c r="C101" s="43"/>
      <c r="D101" s="43"/>
      <c r="E101" s="43"/>
    </row>
    <row r="102" spans="1:13" ht="14.25" customHeight="1" x14ac:dyDescent="0.3">
      <c r="A102" s="84" t="s">
        <v>97</v>
      </c>
      <c r="B102" s="85">
        <f>B77*E102</f>
        <v>2700000</v>
      </c>
      <c r="C102" s="86"/>
      <c r="D102" s="43"/>
      <c r="E102" s="87">
        <v>0.5</v>
      </c>
    </row>
    <row r="103" spans="1:13" ht="14.25" customHeight="1" x14ac:dyDescent="0.3">
      <c r="A103" s="28" t="s">
        <v>98</v>
      </c>
      <c r="B103" s="88">
        <f>B22</f>
        <v>0.1</v>
      </c>
      <c r="C103" s="89"/>
      <c r="D103" s="43"/>
      <c r="E103" s="43"/>
    </row>
    <row r="104" spans="1:13" ht="14.25" customHeight="1" x14ac:dyDescent="0.3">
      <c r="A104" s="28" t="s">
        <v>99</v>
      </c>
      <c r="B104" s="90">
        <v>7</v>
      </c>
      <c r="C104" s="91" t="s">
        <v>100</v>
      </c>
      <c r="D104" s="43"/>
      <c r="E104" s="43"/>
    </row>
    <row r="105" spans="1:13" ht="15.75" customHeight="1" x14ac:dyDescent="0.3">
      <c r="A105" s="92" t="s">
        <v>101</v>
      </c>
      <c r="B105" s="159" t="s">
        <v>102</v>
      </c>
      <c r="C105" s="159"/>
      <c r="D105" s="43"/>
      <c r="E105" s="43"/>
    </row>
    <row r="106" spans="1:13" ht="15.75" customHeight="1" x14ac:dyDescent="0.3">
      <c r="A106" s="43"/>
      <c r="B106" s="42"/>
      <c r="C106" s="43"/>
      <c r="D106" s="43"/>
      <c r="E106" s="43"/>
    </row>
    <row r="107" spans="1:13" ht="14.25" customHeight="1" x14ac:dyDescent="0.3">
      <c r="A107" s="25" t="s">
        <v>36</v>
      </c>
      <c r="B107" s="26" t="s">
        <v>5</v>
      </c>
      <c r="C107" s="26" t="s">
        <v>6</v>
      </c>
      <c r="D107" s="26" t="s">
        <v>7</v>
      </c>
      <c r="E107" s="26" t="s">
        <v>8</v>
      </c>
      <c r="F107" s="26" t="s">
        <v>9</v>
      </c>
      <c r="G107" s="26" t="s">
        <v>10</v>
      </c>
      <c r="H107" s="26" t="s">
        <v>11</v>
      </c>
      <c r="I107" s="26" t="s">
        <v>12</v>
      </c>
    </row>
    <row r="108" spans="1:13" ht="14.25" customHeight="1" x14ac:dyDescent="0.3">
      <c r="A108" s="28" t="s">
        <v>103</v>
      </c>
      <c r="B108" s="57">
        <f>B102</f>
        <v>2700000</v>
      </c>
      <c r="C108" s="57">
        <f t="shared" ref="C108:I108" si="33">B108-C111</f>
        <v>2700000</v>
      </c>
      <c r="D108" s="57">
        <f t="shared" si="33"/>
        <v>2700000</v>
      </c>
      <c r="E108" s="57">
        <f t="shared" si="33"/>
        <v>2257746.8018541876</v>
      </c>
      <c r="F108" s="57">
        <f t="shared" si="33"/>
        <v>1771268.2838937938</v>
      </c>
      <c r="G108" s="57">
        <f t="shared" si="33"/>
        <v>1236141.9141373606</v>
      </c>
      <c r="H108" s="57">
        <f t="shared" si="33"/>
        <v>647502.90740528412</v>
      </c>
      <c r="I108" s="57">
        <f t="shared" si="33"/>
        <v>0</v>
      </c>
    </row>
    <row r="109" spans="1:13" ht="14.25" customHeight="1" x14ac:dyDescent="0.3">
      <c r="A109" s="28" t="s">
        <v>104</v>
      </c>
      <c r="B109" s="55"/>
      <c r="C109" s="57">
        <f>C110</f>
        <v>270000</v>
      </c>
      <c r="D109" s="57">
        <f>D110</f>
        <v>270000</v>
      </c>
      <c r="E109" s="57">
        <f>PMT($B$103,5,-$B$102)</f>
        <v>712253.19814581261</v>
      </c>
      <c r="F109" s="57">
        <f>PMT($B$103,5,-$B$102)</f>
        <v>712253.19814581261</v>
      </c>
      <c r="G109" s="57">
        <f>PMT($B$103,5,-$B$102)</f>
        <v>712253.19814581261</v>
      </c>
      <c r="H109" s="57">
        <f>PMT($B$103,5,-$B$102)</f>
        <v>712253.19814581261</v>
      </c>
      <c r="I109" s="57">
        <f>PMT($B$103,5,-$B$102)</f>
        <v>712253.19814581261</v>
      </c>
    </row>
    <row r="110" spans="1:13" ht="14.25" customHeight="1" x14ac:dyDescent="0.3">
      <c r="A110" s="28" t="s">
        <v>105</v>
      </c>
      <c r="B110" s="55"/>
      <c r="C110" s="57">
        <f t="shared" ref="C110:I110" si="34">B108*$B$103</f>
        <v>270000</v>
      </c>
      <c r="D110" s="57">
        <f t="shared" si="34"/>
        <v>270000</v>
      </c>
      <c r="E110" s="57">
        <f t="shared" si="34"/>
        <v>270000</v>
      </c>
      <c r="F110" s="57">
        <f t="shared" si="34"/>
        <v>225774.68018541878</v>
      </c>
      <c r="G110" s="57">
        <f t="shared" si="34"/>
        <v>177126.8283893794</v>
      </c>
      <c r="H110" s="57">
        <f t="shared" si="34"/>
        <v>123614.19141373607</v>
      </c>
      <c r="I110" s="57">
        <f t="shared" si="34"/>
        <v>64750.290740528413</v>
      </c>
    </row>
    <row r="111" spans="1:13" ht="15.75" customHeight="1" x14ac:dyDescent="0.3">
      <c r="A111" s="92" t="s">
        <v>106</v>
      </c>
      <c r="B111" s="93"/>
      <c r="C111" s="81">
        <f t="shared" ref="C111:I111" si="35">C109-C110</f>
        <v>0</v>
      </c>
      <c r="D111" s="81">
        <f t="shared" si="35"/>
        <v>0</v>
      </c>
      <c r="E111" s="81">
        <f t="shared" si="35"/>
        <v>442253.19814581261</v>
      </c>
      <c r="F111" s="81">
        <f t="shared" si="35"/>
        <v>486478.5179603938</v>
      </c>
      <c r="G111" s="81">
        <f t="shared" si="35"/>
        <v>535126.36975643318</v>
      </c>
      <c r="H111" s="81">
        <f t="shared" si="35"/>
        <v>588639.00673207652</v>
      </c>
      <c r="I111" s="81">
        <f t="shared" si="35"/>
        <v>647502.90740528423</v>
      </c>
    </row>
    <row r="112" spans="1:13" ht="14.25" customHeight="1" x14ac:dyDescent="0.3">
      <c r="B112" s="21"/>
    </row>
    <row r="113" spans="1:12" ht="14.25" customHeight="1" x14ac:dyDescent="0.3">
      <c r="A113" s="22" t="s">
        <v>107</v>
      </c>
      <c r="B113" s="24"/>
    </row>
    <row r="114" spans="1:12" ht="15.75" customHeight="1" x14ac:dyDescent="0.3">
      <c r="A114" s="4" t="s">
        <v>108</v>
      </c>
      <c r="B114" s="24"/>
    </row>
    <row r="115" spans="1:12" ht="14.25" customHeight="1" x14ac:dyDescent="0.3">
      <c r="A115" s="25" t="s">
        <v>36</v>
      </c>
      <c r="B115" s="26" t="s">
        <v>5</v>
      </c>
      <c r="C115" s="26" t="s">
        <v>6</v>
      </c>
      <c r="D115" s="26" t="s">
        <v>7</v>
      </c>
      <c r="E115" s="26" t="s">
        <v>8</v>
      </c>
      <c r="F115" s="26" t="s">
        <v>9</v>
      </c>
      <c r="G115" s="26" t="s">
        <v>10</v>
      </c>
      <c r="H115" s="26" t="s">
        <v>11</v>
      </c>
      <c r="I115" s="26" t="s">
        <v>12</v>
      </c>
      <c r="J115" s="26" t="s">
        <v>13</v>
      </c>
      <c r="K115" s="26" t="s">
        <v>14</v>
      </c>
      <c r="L115" s="27" t="s">
        <v>15</v>
      </c>
    </row>
    <row r="116" spans="1:12" ht="14.25" customHeight="1" x14ac:dyDescent="0.3">
      <c r="A116" s="94" t="s">
        <v>109</v>
      </c>
      <c r="B116" s="95"/>
      <c r="C116" s="96">
        <f t="shared" ref="C116:L116" si="36">C33</f>
        <v>2756250</v>
      </c>
      <c r="D116" s="96">
        <f t="shared" si="36"/>
        <v>4246830</v>
      </c>
      <c r="E116" s="96">
        <f t="shared" si="36"/>
        <v>5301459.45</v>
      </c>
      <c r="F116" s="96">
        <f t="shared" si="36"/>
        <v>6482927.5559999999</v>
      </c>
      <c r="G116" s="96">
        <f t="shared" si="36"/>
        <v>7803824.045535001</v>
      </c>
      <c r="H116" s="96">
        <f t="shared" si="36"/>
        <v>8350091.7287224513</v>
      </c>
      <c r="I116" s="96">
        <f t="shared" si="36"/>
        <v>8934598.1497330219</v>
      </c>
      <c r="J116" s="96">
        <f t="shared" si="36"/>
        <v>9560020.0202143341</v>
      </c>
      <c r="K116" s="96">
        <f t="shared" si="36"/>
        <v>10229221.421629338</v>
      </c>
      <c r="L116" s="97">
        <f t="shared" si="36"/>
        <v>10945266.92114339</v>
      </c>
    </row>
    <row r="117" spans="1:12" ht="14.25" customHeight="1" x14ac:dyDescent="0.3">
      <c r="A117" s="98" t="s">
        <v>110</v>
      </c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7">
        <f>B19</f>
        <v>1250000</v>
      </c>
    </row>
    <row r="118" spans="1:12" ht="14.25" customHeight="1" x14ac:dyDescent="0.3">
      <c r="A118" s="94" t="s">
        <v>111</v>
      </c>
      <c r="B118" s="95"/>
      <c r="C118" s="96">
        <f t="shared" ref="C118:L118" si="37">SUM(C119:C121)</f>
        <v>1852187.5</v>
      </c>
      <c r="D118" s="96">
        <f t="shared" si="37"/>
        <v>2590134.5</v>
      </c>
      <c r="E118" s="96">
        <f t="shared" si="37"/>
        <v>3118597.0674999999</v>
      </c>
      <c r="F118" s="96">
        <f t="shared" si="37"/>
        <v>3665450.4155854187</v>
      </c>
      <c r="G118" s="96">
        <f t="shared" si="37"/>
        <v>4276674.1195646292</v>
      </c>
      <c r="H118" s="96">
        <f t="shared" si="37"/>
        <v>4510129.7929712534</v>
      </c>
      <c r="I118" s="96">
        <f t="shared" si="37"/>
        <v>4758321.9844070729</v>
      </c>
      <c r="J118" s="96">
        <f t="shared" si="37"/>
        <v>5022121.7122232029</v>
      </c>
      <c r="K118" s="96">
        <f t="shared" si="37"/>
        <v>5373670.2320788261</v>
      </c>
      <c r="L118" s="97">
        <f t="shared" si="37"/>
        <v>5749827.1483243443</v>
      </c>
    </row>
    <row r="119" spans="1:12" ht="14.25" customHeight="1" x14ac:dyDescent="0.3">
      <c r="A119" s="99" t="s">
        <v>112</v>
      </c>
      <c r="B119" s="100"/>
      <c r="C119" s="15">
        <f t="shared" ref="C119:L119" si="38">C39</f>
        <v>1332187.5</v>
      </c>
      <c r="D119" s="15">
        <f t="shared" si="38"/>
        <v>2052634.4999999998</v>
      </c>
      <c r="E119" s="15">
        <f t="shared" si="38"/>
        <v>2562372.0674999999</v>
      </c>
      <c r="F119" s="15">
        <f t="shared" si="38"/>
        <v>3133414.9854000001</v>
      </c>
      <c r="G119" s="15">
        <f t="shared" si="38"/>
        <v>3771848.28867525</v>
      </c>
      <c r="H119" s="15">
        <f t="shared" si="38"/>
        <v>4035877.6688825176</v>
      </c>
      <c r="I119" s="15">
        <f t="shared" si="38"/>
        <v>4318389.1057042945</v>
      </c>
      <c r="J119" s="15">
        <f t="shared" si="38"/>
        <v>4620676.3431035951</v>
      </c>
      <c r="K119" s="15">
        <f t="shared" si="38"/>
        <v>4944123.6871208465</v>
      </c>
      <c r="L119" s="101">
        <f t="shared" si="38"/>
        <v>5290212.3452193057</v>
      </c>
    </row>
    <row r="120" spans="1:12" ht="14.25" customHeight="1" x14ac:dyDescent="0.3">
      <c r="A120" s="99" t="s">
        <v>113</v>
      </c>
      <c r="B120" s="100"/>
      <c r="C120" s="15">
        <f t="shared" ref="C120:L120" si="39">C46</f>
        <v>250000</v>
      </c>
      <c r="D120" s="15">
        <f t="shared" si="39"/>
        <v>267500</v>
      </c>
      <c r="E120" s="15">
        <f t="shared" si="39"/>
        <v>286225</v>
      </c>
      <c r="F120" s="15">
        <f t="shared" si="39"/>
        <v>306260.75</v>
      </c>
      <c r="G120" s="15">
        <f t="shared" si="39"/>
        <v>327699.0025</v>
      </c>
      <c r="H120" s="15">
        <f t="shared" si="39"/>
        <v>350637.93267499999</v>
      </c>
      <c r="I120" s="15">
        <f t="shared" si="39"/>
        <v>375182.58796224999</v>
      </c>
      <c r="J120" s="15">
        <f t="shared" si="39"/>
        <v>401445.36911960749</v>
      </c>
      <c r="K120" s="15">
        <f t="shared" si="39"/>
        <v>429546.54495797999</v>
      </c>
      <c r="L120" s="101">
        <f t="shared" si="39"/>
        <v>459614.80310503859</v>
      </c>
    </row>
    <row r="121" spans="1:12" ht="14.25" customHeight="1" x14ac:dyDescent="0.3">
      <c r="A121" s="99" t="s">
        <v>114</v>
      </c>
      <c r="B121" s="100"/>
      <c r="C121" s="15">
        <f t="shared" ref="C121:L121" si="40">C110</f>
        <v>270000</v>
      </c>
      <c r="D121" s="15">
        <f t="shared" si="40"/>
        <v>270000</v>
      </c>
      <c r="E121" s="15">
        <f t="shared" si="40"/>
        <v>270000</v>
      </c>
      <c r="F121" s="15">
        <f t="shared" si="40"/>
        <v>225774.68018541878</v>
      </c>
      <c r="G121" s="15">
        <f t="shared" si="40"/>
        <v>177126.8283893794</v>
      </c>
      <c r="H121" s="15">
        <f t="shared" si="40"/>
        <v>123614.19141373607</v>
      </c>
      <c r="I121" s="15">
        <f t="shared" si="40"/>
        <v>64750.290740528413</v>
      </c>
      <c r="J121" s="15">
        <f t="shared" si="40"/>
        <v>0</v>
      </c>
      <c r="K121" s="15">
        <f t="shared" si="40"/>
        <v>0</v>
      </c>
      <c r="L121" s="101">
        <f t="shared" si="40"/>
        <v>0</v>
      </c>
    </row>
    <row r="122" spans="1:12" ht="14.25" customHeight="1" x14ac:dyDescent="0.3">
      <c r="A122" s="94" t="s">
        <v>115</v>
      </c>
      <c r="B122" s="95"/>
      <c r="C122" s="96">
        <f t="shared" ref="C122:L122" si="41">SUM(C123:C124)</f>
        <v>352500</v>
      </c>
      <c r="D122" s="96">
        <f t="shared" si="41"/>
        <v>352500</v>
      </c>
      <c r="E122" s="96">
        <f t="shared" si="41"/>
        <v>352500</v>
      </c>
      <c r="F122" s="96">
        <f t="shared" si="41"/>
        <v>352500</v>
      </c>
      <c r="G122" s="96">
        <f t="shared" si="41"/>
        <v>352500</v>
      </c>
      <c r="H122" s="96">
        <f t="shared" si="41"/>
        <v>272500</v>
      </c>
      <c r="I122" s="96">
        <f t="shared" si="41"/>
        <v>272500</v>
      </c>
      <c r="J122" s="96">
        <f t="shared" si="41"/>
        <v>272500</v>
      </c>
      <c r="K122" s="96">
        <f t="shared" si="41"/>
        <v>272500</v>
      </c>
      <c r="L122" s="97">
        <f t="shared" si="41"/>
        <v>272500</v>
      </c>
    </row>
    <row r="123" spans="1:12" ht="14.25" customHeight="1" x14ac:dyDescent="0.3">
      <c r="A123" s="99" t="s">
        <v>116</v>
      </c>
      <c r="B123" s="100"/>
      <c r="C123" s="15">
        <f t="shared" ref="C123:L123" si="42">C85</f>
        <v>352500</v>
      </c>
      <c r="D123" s="15">
        <f t="shared" si="42"/>
        <v>352500</v>
      </c>
      <c r="E123" s="15">
        <f t="shared" si="42"/>
        <v>352500</v>
      </c>
      <c r="F123" s="15">
        <f t="shared" si="42"/>
        <v>352500</v>
      </c>
      <c r="G123" s="15">
        <f t="shared" si="42"/>
        <v>352500</v>
      </c>
      <c r="H123" s="15">
        <f t="shared" si="42"/>
        <v>272500</v>
      </c>
      <c r="I123" s="15">
        <f t="shared" si="42"/>
        <v>272500</v>
      </c>
      <c r="J123" s="15">
        <f t="shared" si="42"/>
        <v>272500</v>
      </c>
      <c r="K123" s="15">
        <f t="shared" si="42"/>
        <v>272500</v>
      </c>
      <c r="L123" s="101">
        <f t="shared" si="42"/>
        <v>272500</v>
      </c>
    </row>
    <row r="124" spans="1:12" ht="14.25" customHeight="1" x14ac:dyDescent="0.3">
      <c r="A124" s="99" t="s">
        <v>117</v>
      </c>
      <c r="B124" s="100"/>
      <c r="C124" s="15">
        <f t="shared" ref="C124:L124" si="43">C87</f>
        <v>0</v>
      </c>
      <c r="D124" s="15">
        <f t="shared" si="43"/>
        <v>0</v>
      </c>
      <c r="E124" s="15">
        <f t="shared" si="43"/>
        <v>0</v>
      </c>
      <c r="F124" s="15">
        <f t="shared" si="43"/>
        <v>0</v>
      </c>
      <c r="G124" s="15">
        <f t="shared" si="43"/>
        <v>0</v>
      </c>
      <c r="H124" s="15">
        <f t="shared" si="43"/>
        <v>0</v>
      </c>
      <c r="I124" s="15">
        <f t="shared" si="43"/>
        <v>0</v>
      </c>
      <c r="J124" s="15">
        <f t="shared" si="43"/>
        <v>0</v>
      </c>
      <c r="K124" s="15">
        <f t="shared" si="43"/>
        <v>0</v>
      </c>
      <c r="L124" s="101">
        <f t="shared" si="43"/>
        <v>0</v>
      </c>
    </row>
    <row r="125" spans="1:12" ht="14.25" customHeight="1" x14ac:dyDescent="0.3">
      <c r="A125" s="94" t="s">
        <v>118</v>
      </c>
      <c r="B125" s="95"/>
      <c r="C125" s="96">
        <f t="shared" ref="C125:L125" si="44">C116+C117-C118-C122</f>
        <v>551562.5</v>
      </c>
      <c r="D125" s="96">
        <f t="shared" si="44"/>
        <v>1304195.5</v>
      </c>
      <c r="E125" s="96">
        <f t="shared" si="44"/>
        <v>1830362.3825000003</v>
      </c>
      <c r="F125" s="96">
        <f t="shared" si="44"/>
        <v>2464977.1404145812</v>
      </c>
      <c r="G125" s="96">
        <f t="shared" si="44"/>
        <v>3174649.9259703718</v>
      </c>
      <c r="H125" s="96">
        <f t="shared" si="44"/>
        <v>3567461.9357511979</v>
      </c>
      <c r="I125" s="96">
        <f t="shared" si="44"/>
        <v>3903776.165325949</v>
      </c>
      <c r="J125" s="96">
        <f t="shared" si="44"/>
        <v>4265398.3079911312</v>
      </c>
      <c r="K125" s="96">
        <f t="shared" si="44"/>
        <v>4583051.1895505115</v>
      </c>
      <c r="L125" s="96">
        <f t="shared" si="44"/>
        <v>6172939.7728190459</v>
      </c>
    </row>
    <row r="126" spans="1:12" ht="14.25" customHeight="1" x14ac:dyDescent="0.3">
      <c r="A126" s="99" t="s">
        <v>119</v>
      </c>
      <c r="B126" s="100"/>
      <c r="C126" s="10">
        <f t="shared" ref="C126:L126" si="45">C125*$B$26</f>
        <v>165468.75</v>
      </c>
      <c r="D126" s="15">
        <f t="shared" si="45"/>
        <v>391258.64999999997</v>
      </c>
      <c r="E126" s="15">
        <f t="shared" si="45"/>
        <v>549108.71475000004</v>
      </c>
      <c r="F126" s="15">
        <f t="shared" si="45"/>
        <v>739493.14212437428</v>
      </c>
      <c r="G126" s="15">
        <f t="shared" si="45"/>
        <v>952394.97779111145</v>
      </c>
      <c r="H126" s="15">
        <f t="shared" si="45"/>
        <v>1070238.5807253593</v>
      </c>
      <c r="I126" s="15">
        <f t="shared" si="45"/>
        <v>1171132.8495977847</v>
      </c>
      <c r="J126" s="15">
        <f t="shared" si="45"/>
        <v>1279619.4923973393</v>
      </c>
      <c r="K126" s="15">
        <f t="shared" si="45"/>
        <v>1374915.3568651534</v>
      </c>
      <c r="L126" s="101">
        <f t="shared" si="45"/>
        <v>1851881.9318457136</v>
      </c>
    </row>
    <row r="127" spans="1:12" ht="14.25" customHeight="1" x14ac:dyDescent="0.3">
      <c r="A127" s="94" t="s">
        <v>120</v>
      </c>
      <c r="B127" s="95"/>
      <c r="C127" s="96">
        <f t="shared" ref="C127:L127" si="46">C125-C126</f>
        <v>386093.75</v>
      </c>
      <c r="D127" s="96">
        <f t="shared" si="46"/>
        <v>912936.85000000009</v>
      </c>
      <c r="E127" s="96">
        <f t="shared" si="46"/>
        <v>1281253.6677500003</v>
      </c>
      <c r="F127" s="96">
        <f t="shared" si="46"/>
        <v>1725483.9982902068</v>
      </c>
      <c r="G127" s="96">
        <f t="shared" si="46"/>
        <v>2222254.9481792604</v>
      </c>
      <c r="H127" s="96">
        <f t="shared" si="46"/>
        <v>2497223.3550258386</v>
      </c>
      <c r="I127" s="96">
        <f t="shared" si="46"/>
        <v>2732643.3157281643</v>
      </c>
      <c r="J127" s="96">
        <f t="shared" si="46"/>
        <v>2985778.8155937921</v>
      </c>
      <c r="K127" s="96">
        <f t="shared" si="46"/>
        <v>3208135.8326853579</v>
      </c>
      <c r="L127" s="97">
        <f t="shared" si="46"/>
        <v>4321057.8409733325</v>
      </c>
    </row>
    <row r="128" spans="1:12" ht="14.25" customHeight="1" x14ac:dyDescent="0.3">
      <c r="A128" s="98" t="s">
        <v>121</v>
      </c>
      <c r="B128" s="95"/>
      <c r="C128" s="96">
        <f t="shared" ref="C128:L128" si="47">SUM(C129:C130)</f>
        <v>352500</v>
      </c>
      <c r="D128" s="96">
        <f t="shared" si="47"/>
        <v>352500</v>
      </c>
      <c r="E128" s="96">
        <f t="shared" si="47"/>
        <v>352500</v>
      </c>
      <c r="F128" s="96">
        <f t="shared" si="47"/>
        <v>352500</v>
      </c>
      <c r="G128" s="96">
        <f t="shared" si="47"/>
        <v>352500</v>
      </c>
      <c r="H128" s="96">
        <f t="shared" si="47"/>
        <v>272500</v>
      </c>
      <c r="I128" s="96">
        <f t="shared" si="47"/>
        <v>272500</v>
      </c>
      <c r="J128" s="96">
        <f t="shared" si="47"/>
        <v>272500</v>
      </c>
      <c r="K128" s="96">
        <f t="shared" si="47"/>
        <v>272500</v>
      </c>
      <c r="L128" s="97">
        <f t="shared" si="47"/>
        <v>272500</v>
      </c>
    </row>
    <row r="129" spans="1:12" ht="14.25" customHeight="1" x14ac:dyDescent="0.3">
      <c r="A129" s="99" t="s">
        <v>116</v>
      </c>
      <c r="B129" s="100"/>
      <c r="C129" s="15">
        <f t="shared" ref="C129:L129" si="48">C123</f>
        <v>352500</v>
      </c>
      <c r="D129" s="15">
        <f t="shared" si="48"/>
        <v>352500</v>
      </c>
      <c r="E129" s="15">
        <f t="shared" si="48"/>
        <v>352500</v>
      </c>
      <c r="F129" s="15">
        <f t="shared" si="48"/>
        <v>352500</v>
      </c>
      <c r="G129" s="15">
        <f t="shared" si="48"/>
        <v>352500</v>
      </c>
      <c r="H129" s="15">
        <f t="shared" si="48"/>
        <v>272500</v>
      </c>
      <c r="I129" s="15">
        <f t="shared" si="48"/>
        <v>272500</v>
      </c>
      <c r="J129" s="15">
        <f t="shared" si="48"/>
        <v>272500</v>
      </c>
      <c r="K129" s="15">
        <f t="shared" si="48"/>
        <v>272500</v>
      </c>
      <c r="L129" s="101">
        <f t="shared" si="48"/>
        <v>272500</v>
      </c>
    </row>
    <row r="130" spans="1:12" ht="14.25" customHeight="1" x14ac:dyDescent="0.3">
      <c r="A130" s="99" t="s">
        <v>117</v>
      </c>
      <c r="B130" s="100"/>
      <c r="C130" s="15">
        <f t="shared" ref="C130:L130" si="49">C124</f>
        <v>0</v>
      </c>
      <c r="D130" s="15">
        <f t="shared" si="49"/>
        <v>0</v>
      </c>
      <c r="E130" s="15">
        <f t="shared" si="49"/>
        <v>0</v>
      </c>
      <c r="F130" s="15">
        <f t="shared" si="49"/>
        <v>0</v>
      </c>
      <c r="G130" s="15">
        <f t="shared" si="49"/>
        <v>0</v>
      </c>
      <c r="H130" s="15">
        <f t="shared" si="49"/>
        <v>0</v>
      </c>
      <c r="I130" s="15">
        <f t="shared" si="49"/>
        <v>0</v>
      </c>
      <c r="J130" s="15">
        <f t="shared" si="49"/>
        <v>0</v>
      </c>
      <c r="K130" s="15">
        <f t="shared" si="49"/>
        <v>0</v>
      </c>
      <c r="L130" s="101">
        <f t="shared" si="49"/>
        <v>0</v>
      </c>
    </row>
    <row r="131" spans="1:12" ht="14.25" customHeight="1" x14ac:dyDescent="0.3">
      <c r="A131" s="94" t="s">
        <v>122</v>
      </c>
      <c r="B131" s="96">
        <f t="shared" ref="B131:L131" si="50">SUM(B132:B134)</f>
        <v>2700000</v>
      </c>
      <c r="C131" s="96">
        <f t="shared" si="50"/>
        <v>0</v>
      </c>
      <c r="D131" s="96">
        <f t="shared" si="50"/>
        <v>0</v>
      </c>
      <c r="E131" s="96">
        <f t="shared" si="50"/>
        <v>0</v>
      </c>
      <c r="F131" s="96">
        <f t="shared" si="50"/>
        <v>0</v>
      </c>
      <c r="G131" s="96">
        <f t="shared" si="50"/>
        <v>0</v>
      </c>
      <c r="H131" s="96">
        <f t="shared" si="50"/>
        <v>0</v>
      </c>
      <c r="I131" s="96">
        <f t="shared" si="50"/>
        <v>0</v>
      </c>
      <c r="J131" s="96">
        <f t="shared" si="50"/>
        <v>0</v>
      </c>
      <c r="K131" s="96">
        <f t="shared" si="50"/>
        <v>0</v>
      </c>
      <c r="L131" s="97">
        <f t="shared" si="50"/>
        <v>2775000</v>
      </c>
    </row>
    <row r="132" spans="1:12" ht="14.25" customHeight="1" x14ac:dyDescent="0.3">
      <c r="A132" s="99" t="s">
        <v>123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1">
        <f>M98</f>
        <v>1075000</v>
      </c>
    </row>
    <row r="133" spans="1:12" ht="14.25" customHeight="1" x14ac:dyDescent="0.3">
      <c r="A133" s="99" t="s">
        <v>124</v>
      </c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1">
        <f>-L77</f>
        <v>1700000</v>
      </c>
    </row>
    <row r="134" spans="1:12" ht="14.25" customHeight="1" x14ac:dyDescent="0.3">
      <c r="A134" s="99" t="s">
        <v>125</v>
      </c>
      <c r="B134" s="15">
        <f>B102</f>
        <v>2700000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2"/>
    </row>
    <row r="135" spans="1:12" ht="14.25" customHeight="1" x14ac:dyDescent="0.3">
      <c r="A135" s="94" t="s">
        <v>126</v>
      </c>
      <c r="B135" s="96">
        <f t="shared" ref="B135:K135" si="51">SUM(B136:B139)</f>
        <v>5400000</v>
      </c>
      <c r="C135" s="96">
        <f t="shared" si="51"/>
        <v>250000</v>
      </c>
      <c r="D135" s="96">
        <f t="shared" si="51"/>
        <v>250000</v>
      </c>
      <c r="E135" s="96">
        <f t="shared" si="51"/>
        <v>692253.19814581261</v>
      </c>
      <c r="F135" s="96">
        <f t="shared" si="51"/>
        <v>736478.5179603938</v>
      </c>
      <c r="G135" s="96">
        <f t="shared" si="51"/>
        <v>785126.36975643318</v>
      </c>
      <c r="H135" s="96">
        <f t="shared" si="51"/>
        <v>588639.00673207652</v>
      </c>
      <c r="I135" s="96">
        <f t="shared" si="51"/>
        <v>647502.90740528423</v>
      </c>
      <c r="J135" s="96">
        <f t="shared" si="51"/>
        <v>0</v>
      </c>
      <c r="K135" s="96">
        <f t="shared" si="51"/>
        <v>0</v>
      </c>
      <c r="L135" s="103"/>
    </row>
    <row r="136" spans="1:12" ht="14.25" customHeight="1" x14ac:dyDescent="0.3">
      <c r="A136" s="99" t="s">
        <v>127</v>
      </c>
      <c r="B136" s="96">
        <f>SUM(B69:B72)</f>
        <v>4950000</v>
      </c>
      <c r="C136" s="95"/>
      <c r="D136" s="95"/>
      <c r="E136" s="95"/>
      <c r="F136" s="95"/>
      <c r="G136" s="96">
        <f>G69</f>
        <v>0</v>
      </c>
      <c r="H136" s="95"/>
      <c r="I136" s="95"/>
      <c r="J136" s="95"/>
      <c r="K136" s="95"/>
      <c r="L136" s="103"/>
    </row>
    <row r="137" spans="1:12" ht="14.25" customHeight="1" x14ac:dyDescent="0.3">
      <c r="A137" s="99" t="s">
        <v>128</v>
      </c>
      <c r="B137" s="15">
        <f>B74</f>
        <v>0</v>
      </c>
      <c r="C137" s="100"/>
      <c r="D137" s="100"/>
      <c r="E137" s="100"/>
      <c r="F137" s="100"/>
      <c r="G137" s="100"/>
      <c r="H137" s="100"/>
      <c r="I137" s="100"/>
      <c r="J137" s="100"/>
      <c r="K137" s="100"/>
      <c r="L137" s="102"/>
    </row>
    <row r="138" spans="1:12" ht="14.25" customHeight="1" x14ac:dyDescent="0.3">
      <c r="A138" s="99" t="s">
        <v>129</v>
      </c>
      <c r="B138" s="15">
        <f t="shared" ref="B138:K138" si="52">B76</f>
        <v>450000</v>
      </c>
      <c r="C138" s="15">
        <f t="shared" si="52"/>
        <v>250000</v>
      </c>
      <c r="D138" s="15">
        <f t="shared" si="52"/>
        <v>250000</v>
      </c>
      <c r="E138" s="15">
        <f t="shared" si="52"/>
        <v>250000</v>
      </c>
      <c r="F138" s="15">
        <f t="shared" si="52"/>
        <v>250000</v>
      </c>
      <c r="G138" s="15">
        <f t="shared" si="52"/>
        <v>250000</v>
      </c>
      <c r="H138" s="15">
        <f t="shared" si="52"/>
        <v>0</v>
      </c>
      <c r="I138" s="15">
        <f t="shared" si="52"/>
        <v>0</v>
      </c>
      <c r="J138" s="15">
        <f t="shared" si="52"/>
        <v>0</v>
      </c>
      <c r="K138" s="15">
        <f t="shared" si="52"/>
        <v>0</v>
      </c>
      <c r="L138" s="101">
        <f>-L76</f>
        <v>1700000</v>
      </c>
    </row>
    <row r="139" spans="1:12" ht="14.25" customHeight="1" x14ac:dyDescent="0.3">
      <c r="A139" s="99" t="s">
        <v>130</v>
      </c>
      <c r="B139" s="100"/>
      <c r="C139" s="15">
        <f t="shared" ref="C139:L139" si="53">C111</f>
        <v>0</v>
      </c>
      <c r="D139" s="15">
        <f t="shared" si="53"/>
        <v>0</v>
      </c>
      <c r="E139" s="15">
        <f t="shared" si="53"/>
        <v>442253.19814581261</v>
      </c>
      <c r="F139" s="15">
        <f t="shared" si="53"/>
        <v>486478.5179603938</v>
      </c>
      <c r="G139" s="15">
        <f t="shared" si="53"/>
        <v>535126.36975643318</v>
      </c>
      <c r="H139" s="15">
        <f t="shared" si="53"/>
        <v>588639.00673207652</v>
      </c>
      <c r="I139" s="15">
        <f t="shared" si="53"/>
        <v>647502.90740528423</v>
      </c>
      <c r="J139" s="15">
        <f t="shared" si="53"/>
        <v>0</v>
      </c>
      <c r="K139" s="15">
        <f t="shared" si="53"/>
        <v>0</v>
      </c>
      <c r="L139" s="101">
        <f t="shared" si="53"/>
        <v>0</v>
      </c>
    </row>
    <row r="140" spans="1:12" ht="14.25" customHeight="1" x14ac:dyDescent="0.3">
      <c r="A140" s="104" t="s">
        <v>131</v>
      </c>
      <c r="B140" s="53">
        <f t="shared" ref="B140:L140" si="54">B127+B128+B131-B135</f>
        <v>-2700000</v>
      </c>
      <c r="C140" s="53">
        <f t="shared" si="54"/>
        <v>488593.75</v>
      </c>
      <c r="D140" s="53">
        <f t="shared" si="54"/>
        <v>1015436.8500000001</v>
      </c>
      <c r="E140" s="53">
        <f t="shared" si="54"/>
        <v>941500.46960418765</v>
      </c>
      <c r="F140" s="53">
        <f t="shared" si="54"/>
        <v>1341505.480329813</v>
      </c>
      <c r="G140" s="53">
        <f t="shared" si="54"/>
        <v>1789628.5784228272</v>
      </c>
      <c r="H140" s="53">
        <f t="shared" si="54"/>
        <v>2181084.3482937622</v>
      </c>
      <c r="I140" s="53">
        <f t="shared" si="54"/>
        <v>2357640.40832288</v>
      </c>
      <c r="J140" s="53">
        <f t="shared" si="54"/>
        <v>3258278.8155937921</v>
      </c>
      <c r="K140" s="53">
        <f t="shared" si="54"/>
        <v>3480635.8326853579</v>
      </c>
      <c r="L140" s="53">
        <f t="shared" si="54"/>
        <v>7368557.8409733325</v>
      </c>
    </row>
    <row r="141" spans="1:12" ht="14.25" customHeight="1" x14ac:dyDescent="0.3">
      <c r="A141" s="105" t="s">
        <v>132</v>
      </c>
    </row>
    <row r="142" spans="1:12" ht="14.25" customHeight="1" x14ac:dyDescent="0.3">
      <c r="A142" s="145" t="s">
        <v>133</v>
      </c>
      <c r="B142" s="53">
        <f>B140</f>
        <v>-2700000</v>
      </c>
      <c r="C142" s="53">
        <f t="shared" ref="C142:L142" si="55">B142+C140</f>
        <v>-2211406.25</v>
      </c>
      <c r="D142" s="53">
        <f t="shared" si="55"/>
        <v>-1195969.3999999999</v>
      </c>
      <c r="E142" s="53">
        <f t="shared" si="55"/>
        <v>-254468.93039581226</v>
      </c>
      <c r="F142" s="53">
        <f t="shared" si="55"/>
        <v>1087036.5499340007</v>
      </c>
      <c r="G142" s="53">
        <f t="shared" si="55"/>
        <v>2876665.1283568279</v>
      </c>
      <c r="H142" s="53">
        <f t="shared" si="55"/>
        <v>5057749.4766505901</v>
      </c>
      <c r="I142" s="53">
        <f t="shared" si="55"/>
        <v>7415389.8849734701</v>
      </c>
      <c r="J142" s="53">
        <f t="shared" si="55"/>
        <v>10673668.700567262</v>
      </c>
      <c r="K142" s="53">
        <f t="shared" si="55"/>
        <v>14154304.533252619</v>
      </c>
      <c r="L142" s="53">
        <f t="shared" si="55"/>
        <v>21522862.374225952</v>
      </c>
    </row>
    <row r="143" spans="1:12" ht="14.25" customHeight="1" x14ac:dyDescent="0.3">
      <c r="A143" s="105" t="s">
        <v>134</v>
      </c>
    </row>
    <row r="144" spans="1:12" ht="14.25" customHeight="1" x14ac:dyDescent="0.3">
      <c r="A144" s="145" t="s">
        <v>135</v>
      </c>
      <c r="B144" s="53">
        <f>B140</f>
        <v>-2700000</v>
      </c>
      <c r="C144" s="53">
        <f>B144+C140/(1+E150)^1</f>
        <v>-2267616.1504424778</v>
      </c>
      <c r="D144" s="53">
        <f>C144+D140/(1+E150)^2</f>
        <v>-1472380.1491894429</v>
      </c>
      <c r="E144" s="53">
        <f>D144+E140/(1+E150)^3</f>
        <v>-819873.09594573383</v>
      </c>
      <c r="F144" s="53">
        <f>E144+F140/(1+E150)^4</f>
        <v>2897.3384250582894</v>
      </c>
      <c r="G144" s="53">
        <f>F144+G140/(1+E150)^5</f>
        <v>974236.03111261618</v>
      </c>
      <c r="H144" s="53">
        <f>G144+H140/(1+E150)^6</f>
        <v>2021851.2534925467</v>
      </c>
      <c r="I144" s="53">
        <f>H144+I140/(1+E150)^7</f>
        <v>3023991.4031761871</v>
      </c>
      <c r="J144" s="53">
        <f>I144+J140/(1+E150)^8</f>
        <v>4249625.1119024828</v>
      </c>
      <c r="K144" s="53">
        <f>J144+K140/(1+E150)^9</f>
        <v>5408275.9911311828</v>
      </c>
      <c r="L144" s="53">
        <f>K144+L140/(1+E150)^10</f>
        <v>7578967.2735753264</v>
      </c>
    </row>
    <row r="145" spans="1:12" ht="14.25" customHeight="1" x14ac:dyDescent="0.3">
      <c r="B145" s="21"/>
      <c r="F145" s="106"/>
    </row>
    <row r="146" spans="1:12" ht="14.25" customHeight="1" x14ac:dyDescent="0.3">
      <c r="A146" s="22" t="s">
        <v>136</v>
      </c>
    </row>
    <row r="147" spans="1:12" ht="14.25" customHeight="1" x14ac:dyDescent="0.3">
      <c r="B147" s="107" t="s">
        <v>137</v>
      </c>
      <c r="C147" s="107" t="s">
        <v>138</v>
      </c>
      <c r="D147" s="107" t="s">
        <v>139</v>
      </c>
      <c r="E147" s="107" t="s">
        <v>140</v>
      </c>
    </row>
    <row r="148" spans="1:12" ht="14.25" customHeight="1" x14ac:dyDescent="0.3">
      <c r="A148" s="4" t="s">
        <v>141</v>
      </c>
      <c r="B148" s="147">
        <f>B102</f>
        <v>2700000</v>
      </c>
      <c r="C148" s="149">
        <f>E102</f>
        <v>0.5</v>
      </c>
      <c r="D148" s="149">
        <f>B103*(1-B26)</f>
        <v>6.9999999999999993E-2</v>
      </c>
      <c r="E148" s="149">
        <f>C148*D148</f>
        <v>3.4999999999999996E-2</v>
      </c>
    </row>
    <row r="149" spans="1:12" ht="18" customHeight="1" x14ac:dyDescent="0.3">
      <c r="A149" s="4" t="s">
        <v>142</v>
      </c>
      <c r="B149" s="148">
        <f>B77-B148</f>
        <v>2700000</v>
      </c>
      <c r="C149" s="150">
        <f>100%-C148</f>
        <v>0.5</v>
      </c>
      <c r="D149" s="149">
        <f>B25</f>
        <v>0.19</v>
      </c>
      <c r="E149" s="150">
        <f>C149*D149</f>
        <v>9.5000000000000001E-2</v>
      </c>
    </row>
    <row r="150" spans="1:12" ht="14.25" customHeight="1" x14ac:dyDescent="0.3">
      <c r="B150" s="147">
        <f>SUM(B148:B149)</f>
        <v>5400000</v>
      </c>
      <c r="C150" s="149">
        <f>SUM(C148:C149)</f>
        <v>1</v>
      </c>
      <c r="D150" s="108"/>
      <c r="E150" s="149">
        <f>SUM(E148:E149)</f>
        <v>0.13</v>
      </c>
    </row>
    <row r="152" spans="1:12" ht="14.25" customHeight="1" x14ac:dyDescent="0.3">
      <c r="A152" s="22" t="s">
        <v>143</v>
      </c>
    </row>
    <row r="153" spans="1:12" ht="14.25" customHeight="1" x14ac:dyDescent="0.3">
      <c r="A153" s="109" t="s">
        <v>149</v>
      </c>
      <c r="B153" s="110">
        <f>NPV(E150,C140:L140)+B140</f>
        <v>7578967.2735753283</v>
      </c>
    </row>
    <row r="154" spans="1:12" ht="14.25" customHeight="1" x14ac:dyDescent="0.3">
      <c r="A154" s="109" t="s">
        <v>145</v>
      </c>
      <c r="B154" s="151">
        <f>IRR(B140:L140)</f>
        <v>0.43681496797083952</v>
      </c>
    </row>
    <row r="155" spans="1:12" ht="14.25" customHeight="1" x14ac:dyDescent="0.3">
      <c r="A155" s="109" t="s">
        <v>146</v>
      </c>
      <c r="B155" s="112">
        <f>IFERROR(MATCH(1,INDEX((C142:L142&gt;=0)*1,0),0),"&gt;10")</f>
        <v>4</v>
      </c>
    </row>
    <row r="156" spans="1:12" ht="14.25" customHeight="1" x14ac:dyDescent="0.3">
      <c r="A156" s="109" t="s">
        <v>147</v>
      </c>
      <c r="B156" s="112">
        <f>IFERROR(MATCH(1,INDEX((C144:L144&gt;=0)*1,0),0),"&gt;10")</f>
        <v>4</v>
      </c>
    </row>
    <row r="157" spans="1:12" ht="14.25" customHeight="1" x14ac:dyDescent="0.3">
      <c r="A157" s="109" t="s">
        <v>148</v>
      </c>
      <c r="B157" s="142">
        <f>(NPV(E150,C140:L140)+B140+ABS(B140))/ABS(B140)</f>
        <v>3.8070249161390106</v>
      </c>
    </row>
    <row r="158" spans="1:12" ht="14.25" customHeight="1" x14ac:dyDescent="0.3">
      <c r="B158" s="21"/>
    </row>
    <row r="159" spans="1:12" ht="14.25" customHeight="1" x14ac:dyDescent="0.3">
      <c r="B159" s="21"/>
    </row>
    <row r="160" spans="1:12" ht="14.25" customHeight="1" x14ac:dyDescent="0.3">
      <c r="A160" s="105"/>
      <c r="B160" s="113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</row>
    <row r="161" spans="1:12" ht="14.25" customHeight="1" x14ac:dyDescent="0.3">
      <c r="A161" s="105"/>
      <c r="B161" s="121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</row>
    <row r="162" spans="1:12" ht="14.25" customHeight="1" x14ac:dyDescent="0.3">
      <c r="A162" s="105"/>
      <c r="B162" s="121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</row>
    <row r="163" spans="1:12" ht="14.25" customHeight="1" x14ac:dyDescent="0.3">
      <c r="A163" s="105"/>
      <c r="B163" s="121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</row>
    <row r="164" spans="1:12" ht="14.25" customHeight="1" x14ac:dyDescent="0.3">
      <c r="B164" s="21"/>
    </row>
    <row r="165" spans="1:12" ht="14.25" customHeight="1" x14ac:dyDescent="0.3">
      <c r="B165" s="21"/>
    </row>
    <row r="166" spans="1:12" ht="14.25" customHeight="1" x14ac:dyDescent="0.3">
      <c r="B166" s="21"/>
    </row>
  </sheetData>
  <mergeCells count="6">
    <mergeCell ref="B105:C105"/>
    <mergeCell ref="A50:H50"/>
    <mergeCell ref="A55:H55"/>
    <mergeCell ref="A92:A93"/>
    <mergeCell ref="C92:L92"/>
    <mergeCell ref="A98:L9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66"/>
  <sheetViews>
    <sheetView showGridLines="0" topLeftCell="A129" zoomScaleNormal="100" workbookViewId="0">
      <selection activeCell="B157" sqref="B157"/>
    </sheetView>
  </sheetViews>
  <sheetFormatPr baseColWidth="10" defaultColWidth="8.6640625" defaultRowHeight="14.4" x14ac:dyDescent="0.3"/>
  <cols>
    <col min="1" max="1" width="42.44140625" style="1" customWidth="1"/>
    <col min="2" max="2" width="15.5546875" style="1" customWidth="1"/>
    <col min="3" max="3" width="16.109375" style="1" customWidth="1"/>
    <col min="4" max="8" width="15.44140625" style="1" customWidth="1"/>
    <col min="9" max="11" width="15.5546875" style="1" customWidth="1"/>
    <col min="12" max="12" width="15.44140625" style="1" customWidth="1"/>
    <col min="13" max="13" width="13.5546875" style="1" customWidth="1"/>
    <col min="14" max="14" width="13.33203125" style="1" customWidth="1"/>
    <col min="16" max="16" width="10.6640625" style="1" customWidth="1"/>
    <col min="18" max="18" width="25.109375" style="1" customWidth="1"/>
    <col min="19" max="19" width="11.6640625" style="1" customWidth="1"/>
    <col min="20" max="20" width="13.44140625" style="1" customWidth="1"/>
    <col min="21" max="21" width="8.44140625" style="1" customWidth="1"/>
    <col min="22" max="22" width="10.6640625" style="1" customWidth="1"/>
  </cols>
  <sheetData>
    <row r="1" spans="1:12" ht="15" customHeight="1" x14ac:dyDescent="0.3">
      <c r="A1" s="2" t="s">
        <v>0</v>
      </c>
    </row>
    <row r="3" spans="1:12" ht="14.25" customHeight="1" x14ac:dyDescent="0.3">
      <c r="A3" s="3" t="s">
        <v>1</v>
      </c>
    </row>
    <row r="4" spans="1:12" ht="14.25" customHeight="1" x14ac:dyDescent="0.3">
      <c r="A4" s="4" t="s">
        <v>2</v>
      </c>
      <c r="B4" s="4">
        <v>10</v>
      </c>
    </row>
    <row r="5" spans="1:12" ht="14.25" customHeight="1" x14ac:dyDescent="0.3">
      <c r="A5" s="4" t="s">
        <v>3</v>
      </c>
      <c r="B5" s="5">
        <v>0.05</v>
      </c>
    </row>
    <row r="6" spans="1:12" ht="14.25" customHeight="1" x14ac:dyDescent="0.3">
      <c r="A6" s="4" t="s">
        <v>4</v>
      </c>
      <c r="B6" s="5">
        <v>7.0000000000000007E-2</v>
      </c>
    </row>
    <row r="7" spans="1:12" ht="14.25" customHeight="1" x14ac:dyDescent="0.3"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</row>
    <row r="8" spans="1:12" ht="14.25" customHeight="1" x14ac:dyDescent="0.3">
      <c r="A8" s="4" t="s">
        <v>16</v>
      </c>
      <c r="B8" s="7"/>
      <c r="C8" s="8">
        <v>750</v>
      </c>
      <c r="D8" s="8">
        <v>900</v>
      </c>
      <c r="E8" s="8">
        <v>900</v>
      </c>
      <c r="F8" s="8">
        <v>900</v>
      </c>
      <c r="G8" s="8">
        <v>900</v>
      </c>
      <c r="H8" s="8">
        <v>900</v>
      </c>
      <c r="I8" s="8">
        <v>900</v>
      </c>
      <c r="J8" s="8">
        <v>900</v>
      </c>
      <c r="K8" s="8">
        <v>900</v>
      </c>
      <c r="L8" s="8">
        <v>900</v>
      </c>
    </row>
    <row r="9" spans="1:12" ht="14.25" customHeight="1" x14ac:dyDescent="0.3">
      <c r="A9" s="4" t="s">
        <v>17</v>
      </c>
      <c r="B9" s="7"/>
      <c r="C9" s="9">
        <f>1225</f>
        <v>1225</v>
      </c>
      <c r="D9" s="9">
        <f>1470</f>
        <v>1470</v>
      </c>
      <c r="E9" s="9">
        <f>1715</f>
        <v>1715</v>
      </c>
      <c r="F9" s="9">
        <f>1960</f>
        <v>1960</v>
      </c>
      <c r="G9" s="9">
        <f>2205</f>
        <v>2205</v>
      </c>
      <c r="H9" s="9">
        <f>2205</f>
        <v>2205</v>
      </c>
      <c r="I9" s="9">
        <f>2205</f>
        <v>2205</v>
      </c>
      <c r="J9" s="9">
        <f>2205</f>
        <v>2205</v>
      </c>
      <c r="K9" s="9">
        <f>2205</f>
        <v>2205</v>
      </c>
      <c r="L9" s="9">
        <f>2205</f>
        <v>2205</v>
      </c>
    </row>
    <row r="10" spans="1:12" ht="14.25" customHeight="1" x14ac:dyDescent="0.3">
      <c r="A10" s="4" t="s">
        <v>18</v>
      </c>
      <c r="B10" s="7"/>
      <c r="C10" s="9">
        <f t="shared" ref="C10:L10" si="0">C9*C8</f>
        <v>918750</v>
      </c>
      <c r="D10" s="9">
        <f t="shared" si="0"/>
        <v>1323000</v>
      </c>
      <c r="E10" s="9">
        <f t="shared" si="0"/>
        <v>1543500</v>
      </c>
      <c r="F10" s="9">
        <f t="shared" si="0"/>
        <v>1764000</v>
      </c>
      <c r="G10" s="9">
        <f t="shared" si="0"/>
        <v>1984500</v>
      </c>
      <c r="H10" s="9">
        <f t="shared" si="0"/>
        <v>1984500</v>
      </c>
      <c r="I10" s="9">
        <f t="shared" si="0"/>
        <v>1984500</v>
      </c>
      <c r="J10" s="9">
        <f t="shared" si="0"/>
        <v>1984500</v>
      </c>
      <c r="K10" s="9">
        <f t="shared" si="0"/>
        <v>1984500</v>
      </c>
      <c r="L10" s="9">
        <f t="shared" si="0"/>
        <v>1984500</v>
      </c>
    </row>
    <row r="11" spans="1:12" ht="14.25" customHeight="1" x14ac:dyDescent="0.3">
      <c r="A11" s="4" t="s">
        <v>19</v>
      </c>
      <c r="B11" s="7"/>
      <c r="C11" s="10">
        <v>1</v>
      </c>
      <c r="D11" s="10">
        <f t="shared" ref="D11:L11" si="1">C11+(C11*$B$5)</f>
        <v>1.05</v>
      </c>
      <c r="E11" s="10">
        <f t="shared" si="1"/>
        <v>1.1025</v>
      </c>
      <c r="F11" s="10">
        <f t="shared" si="1"/>
        <v>1.1576250000000001</v>
      </c>
      <c r="G11" s="10">
        <f t="shared" si="1"/>
        <v>1.2155062500000002</v>
      </c>
      <c r="H11" s="10">
        <f t="shared" si="1"/>
        <v>1.2762815625000004</v>
      </c>
      <c r="I11" s="10">
        <f t="shared" si="1"/>
        <v>1.3400956406250004</v>
      </c>
      <c r="J11" s="10">
        <f t="shared" si="1"/>
        <v>1.4071004226562505</v>
      </c>
      <c r="K11" s="10">
        <f t="shared" si="1"/>
        <v>1.477455443789063</v>
      </c>
      <c r="L11" s="10">
        <f t="shared" si="1"/>
        <v>1.5513282159785162</v>
      </c>
    </row>
    <row r="12" spans="1:12" ht="14.25" customHeight="1" x14ac:dyDescent="0.3">
      <c r="A12" s="4" t="s">
        <v>20</v>
      </c>
      <c r="B12" s="7"/>
      <c r="C12" s="11">
        <v>3</v>
      </c>
      <c r="D12" s="11">
        <f t="shared" ref="D12:L12" si="2">C12+(C12*$B$6)</f>
        <v>3.21</v>
      </c>
      <c r="E12" s="11">
        <f t="shared" si="2"/>
        <v>3.4346999999999999</v>
      </c>
      <c r="F12" s="11">
        <f t="shared" si="2"/>
        <v>3.6751290000000001</v>
      </c>
      <c r="G12" s="11">
        <f t="shared" si="2"/>
        <v>3.9323880300000003</v>
      </c>
      <c r="H12" s="11">
        <f t="shared" si="2"/>
        <v>4.2076551921000007</v>
      </c>
      <c r="I12" s="11">
        <f t="shared" si="2"/>
        <v>4.5021910555470006</v>
      </c>
      <c r="J12" s="11">
        <f t="shared" si="2"/>
        <v>4.8173444294352903</v>
      </c>
      <c r="K12" s="11">
        <f t="shared" si="2"/>
        <v>5.1545585394957607</v>
      </c>
      <c r="L12" s="11">
        <f t="shared" si="2"/>
        <v>5.5153776372604639</v>
      </c>
    </row>
    <row r="13" spans="1:12" ht="14.25" customHeight="1" x14ac:dyDescent="0.3">
      <c r="A13" s="4" t="s">
        <v>21</v>
      </c>
      <c r="B13" s="12"/>
      <c r="C13" s="13">
        <v>450000</v>
      </c>
      <c r="D13" s="13">
        <v>250000</v>
      </c>
      <c r="E13" s="13">
        <v>250000</v>
      </c>
      <c r="F13" s="13">
        <v>250000</v>
      </c>
      <c r="G13" s="13">
        <v>250000</v>
      </c>
      <c r="H13" s="13">
        <v>250000</v>
      </c>
      <c r="I13" s="13">
        <v>0</v>
      </c>
      <c r="J13" s="13">
        <v>0</v>
      </c>
      <c r="K13" s="13">
        <v>0</v>
      </c>
      <c r="L13" s="13">
        <v>0</v>
      </c>
    </row>
    <row r="14" spans="1:12" ht="14.25" customHeight="1" x14ac:dyDescent="0.3">
      <c r="A14" s="4" t="s">
        <v>22</v>
      </c>
      <c r="B14" s="12"/>
      <c r="C14" s="11">
        <f>1.45</f>
        <v>1.45</v>
      </c>
      <c r="D14" s="11">
        <f t="shared" ref="D14:L14" si="3">C14+(C14*$B$6)</f>
        <v>1.5514999999999999</v>
      </c>
      <c r="E14" s="11">
        <f t="shared" si="3"/>
        <v>1.6601049999999999</v>
      </c>
      <c r="F14" s="11">
        <f t="shared" si="3"/>
        <v>1.77631235</v>
      </c>
      <c r="G14" s="11">
        <f t="shared" si="3"/>
        <v>1.9006542145</v>
      </c>
      <c r="H14" s="11">
        <f t="shared" si="3"/>
        <v>2.033700009515</v>
      </c>
      <c r="I14" s="11">
        <f t="shared" si="3"/>
        <v>2.1760590101810502</v>
      </c>
      <c r="J14" s="11">
        <f t="shared" si="3"/>
        <v>2.3283831408937239</v>
      </c>
      <c r="K14" s="11">
        <f t="shared" si="3"/>
        <v>2.4913699607562845</v>
      </c>
      <c r="L14" s="11">
        <f t="shared" si="3"/>
        <v>2.6657658580092245</v>
      </c>
    </row>
    <row r="15" spans="1:12" ht="14.25" customHeight="1" x14ac:dyDescent="0.3">
      <c r="A15" s="4" t="s">
        <v>23</v>
      </c>
      <c r="B15" s="14"/>
      <c r="C15" s="15">
        <f t="shared" ref="C15:L15" si="4">C14*C10</f>
        <v>1332187.5</v>
      </c>
      <c r="D15" s="15">
        <f t="shared" si="4"/>
        <v>2052634.4999999998</v>
      </c>
      <c r="E15" s="15">
        <f t="shared" si="4"/>
        <v>2562372.0674999999</v>
      </c>
      <c r="F15" s="15">
        <f t="shared" si="4"/>
        <v>3133414.9854000001</v>
      </c>
      <c r="G15" s="15">
        <f t="shared" si="4"/>
        <v>3771848.28867525</v>
      </c>
      <c r="H15" s="15">
        <f t="shared" si="4"/>
        <v>4035877.6688825176</v>
      </c>
      <c r="I15" s="15">
        <f t="shared" si="4"/>
        <v>4318389.1057042945</v>
      </c>
      <c r="J15" s="15">
        <f t="shared" si="4"/>
        <v>4620676.3431035951</v>
      </c>
      <c r="K15" s="15">
        <f t="shared" si="4"/>
        <v>4944123.6871208465</v>
      </c>
      <c r="L15" s="15">
        <f t="shared" si="4"/>
        <v>5290212.3452193057</v>
      </c>
    </row>
    <row r="16" spans="1:12" ht="14.25" customHeight="1" x14ac:dyDescent="0.3">
      <c r="A16" s="4" t="s">
        <v>24</v>
      </c>
      <c r="B16" s="14"/>
      <c r="C16" s="15">
        <v>50000</v>
      </c>
      <c r="D16" s="15">
        <f t="shared" ref="D16:L16" si="5">C16+(C16*$B$6)</f>
        <v>53500</v>
      </c>
      <c r="E16" s="15">
        <f t="shared" si="5"/>
        <v>57245</v>
      </c>
      <c r="F16" s="15">
        <f t="shared" si="5"/>
        <v>61252.15</v>
      </c>
      <c r="G16" s="15">
        <f t="shared" si="5"/>
        <v>65539.800499999998</v>
      </c>
      <c r="H16" s="15">
        <f t="shared" si="5"/>
        <v>70127.586534999995</v>
      </c>
      <c r="I16" s="15">
        <f t="shared" si="5"/>
        <v>75036.517592449993</v>
      </c>
      <c r="J16" s="15">
        <f t="shared" si="5"/>
        <v>80289.073823921499</v>
      </c>
      <c r="K16" s="15">
        <f t="shared" si="5"/>
        <v>85909.308991596001</v>
      </c>
      <c r="L16" s="15">
        <f t="shared" si="5"/>
        <v>91922.960621007718</v>
      </c>
    </row>
    <row r="17" spans="1:12" ht="14.25" customHeight="1" x14ac:dyDescent="0.3">
      <c r="A17" s="4" t="s">
        <v>25</v>
      </c>
      <c r="B17" s="14"/>
      <c r="C17" s="15">
        <v>200000</v>
      </c>
      <c r="D17" s="15">
        <f t="shared" ref="D17:L17" si="6">C17+(C17*$B$6)</f>
        <v>214000</v>
      </c>
      <c r="E17" s="15">
        <f t="shared" si="6"/>
        <v>228980</v>
      </c>
      <c r="F17" s="15">
        <f t="shared" si="6"/>
        <v>245008.6</v>
      </c>
      <c r="G17" s="15">
        <f t="shared" si="6"/>
        <v>262159.20199999999</v>
      </c>
      <c r="H17" s="15">
        <f t="shared" si="6"/>
        <v>280510.34613999998</v>
      </c>
      <c r="I17" s="15">
        <f t="shared" si="6"/>
        <v>300146.07036979997</v>
      </c>
      <c r="J17" s="15">
        <f t="shared" si="6"/>
        <v>321156.295295686</v>
      </c>
      <c r="K17" s="15">
        <f t="shared" si="6"/>
        <v>343637.235966384</v>
      </c>
      <c r="L17" s="15">
        <f t="shared" si="6"/>
        <v>367691.84248403087</v>
      </c>
    </row>
    <row r="18" spans="1:12" ht="14.25" customHeight="1" x14ac:dyDescent="0.3">
      <c r="K18" s="16"/>
    </row>
    <row r="19" spans="1:12" ht="14.25" customHeight="1" x14ac:dyDescent="0.3">
      <c r="A19" s="4" t="s">
        <v>26</v>
      </c>
      <c r="B19" s="17">
        <v>1250000</v>
      </c>
      <c r="K19" s="16"/>
    </row>
    <row r="20" spans="1:12" ht="14.25" customHeight="1" x14ac:dyDescent="0.3">
      <c r="A20" s="4" t="s">
        <v>27</v>
      </c>
      <c r="B20" s="17">
        <v>1000000</v>
      </c>
      <c r="K20" s="16"/>
    </row>
    <row r="21" spans="1:12" ht="14.25" customHeight="1" x14ac:dyDescent="0.3">
      <c r="A21" s="4" t="s">
        <v>28</v>
      </c>
      <c r="B21" s="18">
        <v>50000</v>
      </c>
      <c r="K21" s="16"/>
    </row>
    <row r="22" spans="1:12" ht="14.25" customHeight="1" x14ac:dyDescent="0.3">
      <c r="A22" s="4" t="s">
        <v>29</v>
      </c>
      <c r="B22" s="5">
        <v>0.1</v>
      </c>
    </row>
    <row r="23" spans="1:12" ht="14.25" customHeight="1" x14ac:dyDescent="0.3">
      <c r="A23" s="4" t="s">
        <v>30</v>
      </c>
      <c r="B23" s="19">
        <v>7</v>
      </c>
    </row>
    <row r="24" spans="1:12" ht="14.25" customHeight="1" x14ac:dyDescent="0.3">
      <c r="A24" s="4" t="s">
        <v>31</v>
      </c>
      <c r="B24" s="20">
        <f>5400000*0.5</f>
        <v>2700000</v>
      </c>
    </row>
    <row r="25" spans="1:12" ht="14.25" customHeight="1" x14ac:dyDescent="0.3">
      <c r="A25" s="4" t="s">
        <v>32</v>
      </c>
      <c r="B25" s="5">
        <v>0.19</v>
      </c>
    </row>
    <row r="26" spans="1:12" ht="14.25" customHeight="1" x14ac:dyDescent="0.3">
      <c r="A26" s="4" t="s">
        <v>33</v>
      </c>
      <c r="B26" s="5">
        <v>0.3</v>
      </c>
    </row>
    <row r="27" spans="1:12" ht="14.25" customHeight="1" x14ac:dyDescent="0.3">
      <c r="B27" s="21"/>
    </row>
    <row r="28" spans="1:12" ht="14.25" customHeight="1" x14ac:dyDescent="0.3">
      <c r="A28" s="22" t="s">
        <v>34</v>
      </c>
      <c r="B28" s="21"/>
    </row>
    <row r="29" spans="1:12" ht="15.75" customHeight="1" x14ac:dyDescent="0.3">
      <c r="A29" s="23" t="s">
        <v>35</v>
      </c>
      <c r="B29" s="24"/>
    </row>
    <row r="30" spans="1:12" ht="14.25" customHeight="1" x14ac:dyDescent="0.3">
      <c r="A30" s="25" t="s">
        <v>36</v>
      </c>
      <c r="B30" s="26" t="s">
        <v>5</v>
      </c>
      <c r="C30" s="26" t="s">
        <v>6</v>
      </c>
      <c r="D30" s="26" t="s">
        <v>7</v>
      </c>
      <c r="E30" s="26" t="s">
        <v>8</v>
      </c>
      <c r="F30" s="26" t="s">
        <v>9</v>
      </c>
      <c r="G30" s="26" t="s">
        <v>10</v>
      </c>
      <c r="H30" s="26" t="s">
        <v>11</v>
      </c>
      <c r="I30" s="26" t="s">
        <v>12</v>
      </c>
      <c r="J30" s="26" t="s">
        <v>13</v>
      </c>
      <c r="K30" s="26" t="s">
        <v>14</v>
      </c>
      <c r="L30" s="27" t="s">
        <v>15</v>
      </c>
    </row>
    <row r="31" spans="1:12" ht="14.25" customHeight="1" x14ac:dyDescent="0.3">
      <c r="A31" s="28" t="s">
        <v>37</v>
      </c>
      <c r="B31" s="29"/>
      <c r="C31" s="30">
        <f t="shared" ref="C31:L31" si="7">C10</f>
        <v>918750</v>
      </c>
      <c r="D31" s="30">
        <f t="shared" si="7"/>
        <v>1323000</v>
      </c>
      <c r="E31" s="30">
        <f t="shared" si="7"/>
        <v>1543500</v>
      </c>
      <c r="F31" s="30">
        <f t="shared" si="7"/>
        <v>1764000</v>
      </c>
      <c r="G31" s="30">
        <f t="shared" si="7"/>
        <v>1984500</v>
      </c>
      <c r="H31" s="30">
        <f t="shared" si="7"/>
        <v>1984500</v>
      </c>
      <c r="I31" s="30">
        <f t="shared" si="7"/>
        <v>1984500</v>
      </c>
      <c r="J31" s="30">
        <f t="shared" si="7"/>
        <v>1984500</v>
      </c>
      <c r="K31" s="30">
        <f t="shared" si="7"/>
        <v>1984500</v>
      </c>
      <c r="L31" s="31">
        <f t="shared" si="7"/>
        <v>1984500</v>
      </c>
    </row>
    <row r="32" spans="1:12" ht="14.25" customHeight="1" x14ac:dyDescent="0.3">
      <c r="A32" s="28" t="s">
        <v>38</v>
      </c>
      <c r="B32" s="29"/>
      <c r="C32" s="32">
        <f t="shared" ref="C32:L32" si="8">C12</f>
        <v>3</v>
      </c>
      <c r="D32" s="32">
        <f t="shared" si="8"/>
        <v>3.21</v>
      </c>
      <c r="E32" s="32">
        <f t="shared" si="8"/>
        <v>3.4346999999999999</v>
      </c>
      <c r="F32" s="32">
        <f t="shared" si="8"/>
        <v>3.6751290000000001</v>
      </c>
      <c r="G32" s="32">
        <f t="shared" si="8"/>
        <v>3.9323880300000003</v>
      </c>
      <c r="H32" s="32">
        <f t="shared" si="8"/>
        <v>4.2076551921000007</v>
      </c>
      <c r="I32" s="32">
        <f t="shared" si="8"/>
        <v>4.5021910555470006</v>
      </c>
      <c r="J32" s="32">
        <f t="shared" si="8"/>
        <v>4.8173444294352903</v>
      </c>
      <c r="K32" s="32">
        <f t="shared" si="8"/>
        <v>5.1545585394957607</v>
      </c>
      <c r="L32" s="33">
        <f t="shared" si="8"/>
        <v>5.5153776372604639</v>
      </c>
    </row>
    <row r="33" spans="1:12" ht="15.75" customHeight="1" x14ac:dyDescent="0.3">
      <c r="A33" s="34" t="s">
        <v>39</v>
      </c>
      <c r="B33" s="35"/>
      <c r="C33" s="36">
        <f t="shared" ref="C33:L33" si="9">C32*C31</f>
        <v>2756250</v>
      </c>
      <c r="D33" s="36">
        <f t="shared" si="9"/>
        <v>4246830</v>
      </c>
      <c r="E33" s="36">
        <f t="shared" si="9"/>
        <v>5301459.45</v>
      </c>
      <c r="F33" s="36">
        <f t="shared" si="9"/>
        <v>6482927.5559999999</v>
      </c>
      <c r="G33" s="36">
        <f t="shared" si="9"/>
        <v>7803824.045535001</v>
      </c>
      <c r="H33" s="36">
        <f t="shared" si="9"/>
        <v>8350091.7287224513</v>
      </c>
      <c r="I33" s="36">
        <f t="shared" si="9"/>
        <v>8934598.1497330219</v>
      </c>
      <c r="J33" s="36">
        <f t="shared" si="9"/>
        <v>9560020.0202143341</v>
      </c>
      <c r="K33" s="36">
        <f t="shared" si="9"/>
        <v>10229221.421629338</v>
      </c>
      <c r="L33" s="37">
        <f t="shared" si="9"/>
        <v>10945266.92114339</v>
      </c>
    </row>
    <row r="34" spans="1:12" ht="14.25" customHeight="1" x14ac:dyDescent="0.3">
      <c r="B34" s="21"/>
    </row>
    <row r="35" spans="1:12" ht="14.25" customHeight="1" x14ac:dyDescent="0.3">
      <c r="A35" s="22" t="s">
        <v>40</v>
      </c>
      <c r="B35" s="24"/>
    </row>
    <row r="36" spans="1:12" ht="15.75" customHeight="1" x14ac:dyDescent="0.3">
      <c r="A36" s="23" t="s">
        <v>41</v>
      </c>
      <c r="B36" s="24"/>
    </row>
    <row r="37" spans="1:12" ht="14.25" customHeight="1" x14ac:dyDescent="0.3">
      <c r="A37" s="25" t="s">
        <v>36</v>
      </c>
      <c r="B37" s="26" t="s">
        <v>5</v>
      </c>
      <c r="C37" s="26" t="s">
        <v>6</v>
      </c>
      <c r="D37" s="26" t="s">
        <v>7</v>
      </c>
      <c r="E37" s="26" t="s">
        <v>8</v>
      </c>
      <c r="F37" s="26" t="s">
        <v>9</v>
      </c>
      <c r="G37" s="26" t="s">
        <v>10</v>
      </c>
      <c r="H37" s="26" t="s">
        <v>11</v>
      </c>
      <c r="I37" s="26" t="s">
        <v>12</v>
      </c>
      <c r="J37" s="26" t="s">
        <v>13</v>
      </c>
      <c r="K37" s="26" t="s">
        <v>14</v>
      </c>
      <c r="L37" s="27" t="s">
        <v>15</v>
      </c>
    </row>
    <row r="38" spans="1:12" ht="14.25" customHeight="1" x14ac:dyDescent="0.3">
      <c r="A38" s="28" t="s">
        <v>42</v>
      </c>
      <c r="B38" s="29"/>
      <c r="C38" s="38">
        <f t="shared" ref="C38:L38" si="10">C15</f>
        <v>1332187.5</v>
      </c>
      <c r="D38" s="38">
        <f t="shared" si="10"/>
        <v>2052634.4999999998</v>
      </c>
      <c r="E38" s="38">
        <f t="shared" si="10"/>
        <v>2562372.0674999999</v>
      </c>
      <c r="F38" s="38">
        <f t="shared" si="10"/>
        <v>3133414.9854000001</v>
      </c>
      <c r="G38" s="38">
        <f t="shared" si="10"/>
        <v>3771848.28867525</v>
      </c>
      <c r="H38" s="38">
        <f t="shared" si="10"/>
        <v>4035877.6688825176</v>
      </c>
      <c r="I38" s="38">
        <f t="shared" si="10"/>
        <v>4318389.1057042945</v>
      </c>
      <c r="J38" s="38">
        <f t="shared" si="10"/>
        <v>4620676.3431035951</v>
      </c>
      <c r="K38" s="38">
        <f t="shared" si="10"/>
        <v>4944123.6871208465</v>
      </c>
      <c r="L38" s="39">
        <f t="shared" si="10"/>
        <v>5290212.3452193057</v>
      </c>
    </row>
    <row r="39" spans="1:12" ht="15.75" customHeight="1" x14ac:dyDescent="0.3">
      <c r="A39" s="40" t="s">
        <v>43</v>
      </c>
      <c r="B39" s="41"/>
      <c r="C39" s="36">
        <f t="shared" ref="C39:L39" si="11">C38</f>
        <v>1332187.5</v>
      </c>
      <c r="D39" s="36">
        <f t="shared" si="11"/>
        <v>2052634.4999999998</v>
      </c>
      <c r="E39" s="36">
        <f t="shared" si="11"/>
        <v>2562372.0674999999</v>
      </c>
      <c r="F39" s="36">
        <f t="shared" si="11"/>
        <v>3133414.9854000001</v>
      </c>
      <c r="G39" s="36">
        <f t="shared" si="11"/>
        <v>3771848.28867525</v>
      </c>
      <c r="H39" s="36">
        <f t="shared" si="11"/>
        <v>4035877.6688825176</v>
      </c>
      <c r="I39" s="36">
        <f t="shared" si="11"/>
        <v>4318389.1057042945</v>
      </c>
      <c r="J39" s="36">
        <f t="shared" si="11"/>
        <v>4620676.3431035951</v>
      </c>
      <c r="K39" s="36">
        <f t="shared" si="11"/>
        <v>4944123.6871208465</v>
      </c>
      <c r="L39" s="37">
        <f t="shared" si="11"/>
        <v>5290212.3452193057</v>
      </c>
    </row>
    <row r="40" spans="1:12" ht="14.25" customHeight="1" x14ac:dyDescent="0.3">
      <c r="B40" s="21"/>
    </row>
    <row r="41" spans="1:12" ht="14.25" customHeight="1" x14ac:dyDescent="0.3">
      <c r="A41" s="22" t="s">
        <v>44</v>
      </c>
      <c r="B41" s="24"/>
    </row>
    <row r="42" spans="1:12" ht="15.75" customHeight="1" x14ac:dyDescent="0.3">
      <c r="A42" s="23" t="s">
        <v>45</v>
      </c>
      <c r="B42" s="24"/>
    </row>
    <row r="43" spans="1:12" ht="14.25" customHeight="1" x14ac:dyDescent="0.3">
      <c r="A43" s="25" t="s">
        <v>36</v>
      </c>
      <c r="B43" s="26" t="s">
        <v>5</v>
      </c>
      <c r="C43" s="26" t="s">
        <v>6</v>
      </c>
      <c r="D43" s="26" t="s">
        <v>7</v>
      </c>
      <c r="E43" s="26" t="s">
        <v>8</v>
      </c>
      <c r="F43" s="26" t="s">
        <v>9</v>
      </c>
      <c r="G43" s="26" t="s">
        <v>10</v>
      </c>
      <c r="H43" s="26" t="s">
        <v>11</v>
      </c>
      <c r="I43" s="26" t="s">
        <v>12</v>
      </c>
      <c r="J43" s="26" t="s">
        <v>13</v>
      </c>
      <c r="K43" s="26" t="s">
        <v>14</v>
      </c>
      <c r="L43" s="27" t="s">
        <v>15</v>
      </c>
    </row>
    <row r="44" spans="1:12" ht="14.25" customHeight="1" x14ac:dyDescent="0.3">
      <c r="A44" s="28" t="s">
        <v>24</v>
      </c>
      <c r="B44" s="29"/>
      <c r="C44" s="38">
        <f t="shared" ref="C44:L44" si="12">C16</f>
        <v>50000</v>
      </c>
      <c r="D44" s="38">
        <f t="shared" si="12"/>
        <v>53500</v>
      </c>
      <c r="E44" s="38">
        <f t="shared" si="12"/>
        <v>57245</v>
      </c>
      <c r="F44" s="38">
        <f t="shared" si="12"/>
        <v>61252.15</v>
      </c>
      <c r="G44" s="38">
        <f t="shared" si="12"/>
        <v>65539.800499999998</v>
      </c>
      <c r="H44" s="38">
        <f t="shared" si="12"/>
        <v>70127.586534999995</v>
      </c>
      <c r="I44" s="38">
        <f t="shared" si="12"/>
        <v>75036.517592449993</v>
      </c>
      <c r="J44" s="38">
        <f t="shared" si="12"/>
        <v>80289.073823921499</v>
      </c>
      <c r="K44" s="38">
        <f t="shared" si="12"/>
        <v>85909.308991596001</v>
      </c>
      <c r="L44" s="39">
        <f t="shared" si="12"/>
        <v>91922.960621007718</v>
      </c>
    </row>
    <row r="45" spans="1:12" ht="14.25" customHeight="1" x14ac:dyDescent="0.3">
      <c r="A45" s="28" t="s">
        <v>25</v>
      </c>
      <c r="B45" s="29"/>
      <c r="C45" s="38">
        <f t="shared" ref="C45:L45" si="13">C17</f>
        <v>200000</v>
      </c>
      <c r="D45" s="38">
        <f t="shared" si="13"/>
        <v>214000</v>
      </c>
      <c r="E45" s="38">
        <f t="shared" si="13"/>
        <v>228980</v>
      </c>
      <c r="F45" s="38">
        <f t="shared" si="13"/>
        <v>245008.6</v>
      </c>
      <c r="G45" s="38">
        <f t="shared" si="13"/>
        <v>262159.20199999999</v>
      </c>
      <c r="H45" s="38">
        <f t="shared" si="13"/>
        <v>280510.34613999998</v>
      </c>
      <c r="I45" s="38">
        <f t="shared" si="13"/>
        <v>300146.07036979997</v>
      </c>
      <c r="J45" s="38">
        <f t="shared" si="13"/>
        <v>321156.295295686</v>
      </c>
      <c r="K45" s="38">
        <f t="shared" si="13"/>
        <v>343637.235966384</v>
      </c>
      <c r="L45" s="39">
        <f t="shared" si="13"/>
        <v>367691.84248403087</v>
      </c>
    </row>
    <row r="46" spans="1:12" ht="15.75" customHeight="1" x14ac:dyDescent="0.3">
      <c r="A46" s="40" t="s">
        <v>46</v>
      </c>
      <c r="B46" s="41"/>
      <c r="C46" s="36">
        <f t="shared" ref="C46:L46" si="14">SUM(C44:C45)</f>
        <v>250000</v>
      </c>
      <c r="D46" s="36">
        <f t="shared" si="14"/>
        <v>267500</v>
      </c>
      <c r="E46" s="36">
        <f t="shared" si="14"/>
        <v>286225</v>
      </c>
      <c r="F46" s="36">
        <f t="shared" si="14"/>
        <v>306260.75</v>
      </c>
      <c r="G46" s="36">
        <f t="shared" si="14"/>
        <v>327699.0025</v>
      </c>
      <c r="H46" s="36">
        <f t="shared" si="14"/>
        <v>350637.93267499999</v>
      </c>
      <c r="I46" s="36">
        <f t="shared" si="14"/>
        <v>375182.58796224999</v>
      </c>
      <c r="J46" s="36">
        <f t="shared" si="14"/>
        <v>401445.36911960749</v>
      </c>
      <c r="K46" s="36">
        <f t="shared" si="14"/>
        <v>429546.54495797999</v>
      </c>
      <c r="L46" s="37">
        <f t="shared" si="14"/>
        <v>459614.80310503859</v>
      </c>
    </row>
    <row r="47" spans="1:12" ht="14.25" customHeight="1" x14ac:dyDescent="0.3">
      <c r="B47" s="21"/>
    </row>
    <row r="48" spans="1:12" ht="14.25" customHeight="1" x14ac:dyDescent="0.3">
      <c r="A48" s="22" t="s">
        <v>47</v>
      </c>
      <c r="B48" s="42"/>
      <c r="C48" s="43"/>
      <c r="D48" s="43"/>
      <c r="E48" s="43"/>
      <c r="F48" s="43"/>
      <c r="G48" s="43"/>
      <c r="H48" s="43"/>
    </row>
    <row r="49" spans="1:12" ht="14.25" customHeight="1" x14ac:dyDescent="0.3">
      <c r="A49" s="44" t="s">
        <v>21</v>
      </c>
      <c r="B49" s="42"/>
      <c r="C49" s="43"/>
      <c r="D49" s="43"/>
      <c r="E49" s="43"/>
      <c r="F49" s="43"/>
      <c r="G49" s="43"/>
      <c r="H49" s="43"/>
    </row>
    <row r="50" spans="1:12" ht="15.75" customHeight="1" x14ac:dyDescent="0.3">
      <c r="A50" s="160" t="s">
        <v>48</v>
      </c>
      <c r="B50" s="160"/>
      <c r="C50" s="160"/>
      <c r="D50" s="160"/>
      <c r="E50" s="160"/>
      <c r="F50" s="160"/>
      <c r="G50" s="160"/>
      <c r="H50" s="160"/>
    </row>
    <row r="51" spans="1:12" ht="14.25" customHeight="1" x14ac:dyDescent="0.3">
      <c r="A51" s="25" t="s">
        <v>36</v>
      </c>
      <c r="B51" s="26" t="s">
        <v>5</v>
      </c>
      <c r="C51" s="26" t="s">
        <v>6</v>
      </c>
      <c r="D51" s="26" t="s">
        <v>7</v>
      </c>
      <c r="E51" s="26" t="s">
        <v>8</v>
      </c>
      <c r="F51" s="26" t="s">
        <v>9</v>
      </c>
      <c r="G51" s="26" t="s">
        <v>10</v>
      </c>
      <c r="H51" s="26" t="s">
        <v>11</v>
      </c>
      <c r="I51" s="26" t="s">
        <v>12</v>
      </c>
      <c r="J51" s="26" t="s">
        <v>13</v>
      </c>
      <c r="K51" s="26" t="s">
        <v>14</v>
      </c>
      <c r="L51" s="27" t="s">
        <v>15</v>
      </c>
    </row>
    <row r="52" spans="1:12" ht="14.25" customHeight="1" x14ac:dyDescent="0.3">
      <c r="A52" s="28" t="s">
        <v>21</v>
      </c>
      <c r="B52" s="45"/>
      <c r="C52" s="38">
        <f t="shared" ref="C52:L52" si="15">C13+B52</f>
        <v>450000</v>
      </c>
      <c r="D52" s="38">
        <f t="shared" si="15"/>
        <v>700000</v>
      </c>
      <c r="E52" s="38">
        <f t="shared" si="15"/>
        <v>950000</v>
      </c>
      <c r="F52" s="38">
        <f t="shared" si="15"/>
        <v>1200000</v>
      </c>
      <c r="G52" s="38">
        <f t="shared" si="15"/>
        <v>1450000</v>
      </c>
      <c r="H52" s="38">
        <f t="shared" si="15"/>
        <v>1700000</v>
      </c>
      <c r="I52" s="38">
        <f t="shared" si="15"/>
        <v>1700000</v>
      </c>
      <c r="J52" s="38">
        <f t="shared" si="15"/>
        <v>1700000</v>
      </c>
      <c r="K52" s="38">
        <f t="shared" si="15"/>
        <v>1700000</v>
      </c>
      <c r="L52" s="38">
        <f t="shared" si="15"/>
        <v>1700000</v>
      </c>
    </row>
    <row r="53" spans="1:12" ht="15.75" customHeight="1" x14ac:dyDescent="0.3">
      <c r="A53" s="34" t="s">
        <v>49</v>
      </c>
      <c r="B53" s="46"/>
      <c r="C53" s="36">
        <f t="shared" ref="C53:L53" si="16">SUM(C52:C52)</f>
        <v>450000</v>
      </c>
      <c r="D53" s="36">
        <f t="shared" si="16"/>
        <v>700000</v>
      </c>
      <c r="E53" s="36">
        <f t="shared" si="16"/>
        <v>950000</v>
      </c>
      <c r="F53" s="36">
        <f t="shared" si="16"/>
        <v>1200000</v>
      </c>
      <c r="G53" s="36">
        <f t="shared" si="16"/>
        <v>1450000</v>
      </c>
      <c r="H53" s="36">
        <f t="shared" si="16"/>
        <v>1700000</v>
      </c>
      <c r="I53" s="36">
        <f t="shared" si="16"/>
        <v>1700000</v>
      </c>
      <c r="J53" s="36">
        <f t="shared" si="16"/>
        <v>1700000</v>
      </c>
      <c r="K53" s="36">
        <f t="shared" si="16"/>
        <v>1700000</v>
      </c>
      <c r="L53" s="37">
        <f t="shared" si="16"/>
        <v>1700000</v>
      </c>
    </row>
    <row r="54" spans="1:12" ht="14.25" customHeight="1" x14ac:dyDescent="0.3">
      <c r="A54" s="43"/>
      <c r="B54" s="42"/>
      <c r="C54" s="43"/>
      <c r="D54" s="43"/>
      <c r="E54" s="43"/>
      <c r="F54" s="43"/>
      <c r="G54" s="43"/>
      <c r="H54" s="43"/>
    </row>
    <row r="55" spans="1:12" ht="15.75" customHeight="1" x14ac:dyDescent="0.3">
      <c r="A55" s="160" t="s">
        <v>50</v>
      </c>
      <c r="B55" s="160"/>
      <c r="C55" s="160"/>
      <c r="D55" s="160"/>
      <c r="E55" s="160"/>
      <c r="F55" s="160"/>
      <c r="G55" s="160"/>
      <c r="H55" s="160"/>
    </row>
    <row r="56" spans="1:12" ht="14.25" customHeight="1" x14ac:dyDescent="0.3">
      <c r="A56" s="25" t="s">
        <v>36</v>
      </c>
      <c r="B56" s="26" t="s">
        <v>51</v>
      </c>
      <c r="C56" s="26" t="s">
        <v>6</v>
      </c>
      <c r="D56" s="26" t="s">
        <v>7</v>
      </c>
      <c r="E56" s="26" t="s">
        <v>8</v>
      </c>
      <c r="F56" s="26" t="s">
        <v>9</v>
      </c>
      <c r="G56" s="26" t="s">
        <v>10</v>
      </c>
      <c r="H56" s="26" t="s">
        <v>11</v>
      </c>
      <c r="I56" s="26" t="s">
        <v>12</v>
      </c>
      <c r="J56" s="26" t="s">
        <v>13</v>
      </c>
      <c r="K56" s="26" t="s">
        <v>14</v>
      </c>
      <c r="L56" s="27" t="s">
        <v>15</v>
      </c>
    </row>
    <row r="57" spans="1:12" ht="14.25" customHeight="1" x14ac:dyDescent="0.3">
      <c r="A57" s="47" t="s">
        <v>52</v>
      </c>
      <c r="B57" s="48"/>
      <c r="C57" s="49">
        <f t="shared" ref="C57:L57" si="17">C58</f>
        <v>450000</v>
      </c>
      <c r="D57" s="49">
        <f t="shared" si="17"/>
        <v>700000</v>
      </c>
      <c r="E57" s="49">
        <f t="shared" si="17"/>
        <v>950000</v>
      </c>
      <c r="F57" s="49">
        <f t="shared" si="17"/>
        <v>1200000</v>
      </c>
      <c r="G57" s="49">
        <f t="shared" si="17"/>
        <v>1450000</v>
      </c>
      <c r="H57" s="49">
        <f t="shared" si="17"/>
        <v>1700000</v>
      </c>
      <c r="I57" s="49">
        <f t="shared" si="17"/>
        <v>1700000</v>
      </c>
      <c r="J57" s="49">
        <f t="shared" si="17"/>
        <v>1700000</v>
      </c>
      <c r="K57" s="49">
        <f t="shared" si="17"/>
        <v>1700000</v>
      </c>
      <c r="L57" s="50">
        <f t="shared" si="17"/>
        <v>1700000</v>
      </c>
    </row>
    <row r="58" spans="1:12" ht="14.25" customHeight="1" x14ac:dyDescent="0.3">
      <c r="A58" s="28" t="s">
        <v>53</v>
      </c>
      <c r="B58" s="45"/>
      <c r="C58" s="38">
        <f t="shared" ref="C58:L58" si="18">C53</f>
        <v>450000</v>
      </c>
      <c r="D58" s="38">
        <f t="shared" si="18"/>
        <v>700000</v>
      </c>
      <c r="E58" s="38">
        <f t="shared" si="18"/>
        <v>950000</v>
      </c>
      <c r="F58" s="38">
        <f t="shared" si="18"/>
        <v>1200000</v>
      </c>
      <c r="G58" s="38">
        <f t="shared" si="18"/>
        <v>1450000</v>
      </c>
      <c r="H58" s="38">
        <f t="shared" si="18"/>
        <v>1700000</v>
      </c>
      <c r="I58" s="38">
        <f t="shared" si="18"/>
        <v>1700000</v>
      </c>
      <c r="J58" s="38">
        <f t="shared" si="18"/>
        <v>1700000</v>
      </c>
      <c r="K58" s="38">
        <f t="shared" si="18"/>
        <v>1700000</v>
      </c>
      <c r="L58" s="39">
        <f t="shared" si="18"/>
        <v>1700000</v>
      </c>
    </row>
    <row r="59" spans="1:12" ht="14.25" customHeight="1" x14ac:dyDescent="0.3">
      <c r="A59" s="47" t="s">
        <v>54</v>
      </c>
      <c r="B59" s="48"/>
      <c r="C59" s="49">
        <f t="shared" ref="C59:L59" si="19">SUM(C60:C61)</f>
        <v>0</v>
      </c>
      <c r="D59" s="49">
        <f t="shared" si="19"/>
        <v>0</v>
      </c>
      <c r="E59" s="49">
        <f t="shared" si="19"/>
        <v>0</v>
      </c>
      <c r="F59" s="49">
        <f t="shared" si="19"/>
        <v>0</v>
      </c>
      <c r="G59" s="49">
        <f t="shared" si="19"/>
        <v>0</v>
      </c>
      <c r="H59" s="49">
        <f t="shared" si="19"/>
        <v>0</v>
      </c>
      <c r="I59" s="49">
        <f t="shared" si="19"/>
        <v>0</v>
      </c>
      <c r="J59" s="49">
        <f t="shared" si="19"/>
        <v>0</v>
      </c>
      <c r="K59" s="49">
        <f t="shared" si="19"/>
        <v>0</v>
      </c>
      <c r="L59" s="50">
        <f t="shared" si="19"/>
        <v>0</v>
      </c>
    </row>
    <row r="60" spans="1:12" ht="14.25" customHeight="1" x14ac:dyDescent="0.3">
      <c r="A60" s="28" t="s">
        <v>55</v>
      </c>
      <c r="B60" s="45"/>
      <c r="C60" s="38">
        <v>0</v>
      </c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9">
        <v>0</v>
      </c>
    </row>
    <row r="61" spans="1:12" ht="14.25" customHeight="1" x14ac:dyDescent="0.3">
      <c r="A61" s="28" t="s">
        <v>56</v>
      </c>
      <c r="B61" s="45"/>
      <c r="C61" s="38">
        <v>0</v>
      </c>
      <c r="D61" s="38">
        <v>0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9">
        <v>0</v>
      </c>
    </row>
    <row r="62" spans="1:12" ht="14.25" customHeight="1" x14ac:dyDescent="0.3">
      <c r="A62" s="51" t="s">
        <v>57</v>
      </c>
      <c r="B62" s="52"/>
      <c r="C62" s="53">
        <f t="shared" ref="C62:L62" si="20">C57-C59</f>
        <v>450000</v>
      </c>
      <c r="D62" s="53">
        <f t="shared" si="20"/>
        <v>700000</v>
      </c>
      <c r="E62" s="53">
        <f t="shared" si="20"/>
        <v>950000</v>
      </c>
      <c r="F62" s="53">
        <f t="shared" si="20"/>
        <v>1200000</v>
      </c>
      <c r="G62" s="53">
        <f t="shared" si="20"/>
        <v>1450000</v>
      </c>
      <c r="H62" s="53">
        <f t="shared" si="20"/>
        <v>1700000</v>
      </c>
      <c r="I62" s="53">
        <f t="shared" si="20"/>
        <v>1700000</v>
      </c>
      <c r="J62" s="53">
        <f t="shared" si="20"/>
        <v>1700000</v>
      </c>
      <c r="K62" s="53">
        <f t="shared" si="20"/>
        <v>1700000</v>
      </c>
      <c r="L62" s="54">
        <f t="shared" si="20"/>
        <v>1700000</v>
      </c>
    </row>
    <row r="63" spans="1:12" ht="15.75" customHeight="1" x14ac:dyDescent="0.3">
      <c r="A63" s="34" t="s">
        <v>58</v>
      </c>
      <c r="B63" s="36">
        <f t="shared" ref="B63:L63" si="21">C62-B62</f>
        <v>450000</v>
      </c>
      <c r="C63" s="36">
        <f t="shared" si="21"/>
        <v>250000</v>
      </c>
      <c r="D63" s="36">
        <f t="shared" si="21"/>
        <v>250000</v>
      </c>
      <c r="E63" s="36">
        <f t="shared" si="21"/>
        <v>250000</v>
      </c>
      <c r="F63" s="36">
        <f t="shared" si="21"/>
        <v>250000</v>
      </c>
      <c r="G63" s="36">
        <f t="shared" si="21"/>
        <v>250000</v>
      </c>
      <c r="H63" s="36">
        <f t="shared" si="21"/>
        <v>0</v>
      </c>
      <c r="I63" s="36">
        <f t="shared" si="21"/>
        <v>0</v>
      </c>
      <c r="J63" s="36">
        <f t="shared" si="21"/>
        <v>0</v>
      </c>
      <c r="K63" s="36">
        <f t="shared" si="21"/>
        <v>0</v>
      </c>
      <c r="L63" s="37">
        <f t="shared" si="21"/>
        <v>-1700000</v>
      </c>
    </row>
    <row r="64" spans="1:12" ht="14.25" customHeight="1" x14ac:dyDescent="0.3">
      <c r="B64" s="24"/>
    </row>
    <row r="65" spans="1:12" ht="14.25" customHeight="1" x14ac:dyDescent="0.3">
      <c r="A65" s="22" t="s">
        <v>59</v>
      </c>
      <c r="B65" s="24"/>
    </row>
    <row r="66" spans="1:12" ht="15.75" customHeight="1" x14ac:dyDescent="0.3">
      <c r="A66" s="23" t="s">
        <v>60</v>
      </c>
      <c r="B66" s="24"/>
    </row>
    <row r="67" spans="1:12" ht="14.25" customHeight="1" x14ac:dyDescent="0.3">
      <c r="A67" s="25" t="s">
        <v>36</v>
      </c>
      <c r="B67" s="26" t="s">
        <v>5</v>
      </c>
      <c r="C67" s="26" t="s">
        <v>6</v>
      </c>
      <c r="D67" s="26" t="s">
        <v>7</v>
      </c>
      <c r="E67" s="26" t="s">
        <v>8</v>
      </c>
      <c r="F67" s="26" t="s">
        <v>9</v>
      </c>
      <c r="G67" s="26" t="s">
        <v>10</v>
      </c>
      <c r="H67" s="26" t="s">
        <v>11</v>
      </c>
      <c r="I67" s="26" t="s">
        <v>12</v>
      </c>
      <c r="J67" s="26" t="s">
        <v>13</v>
      </c>
      <c r="K67" s="26" t="s">
        <v>14</v>
      </c>
      <c r="L67" s="27" t="s">
        <v>15</v>
      </c>
    </row>
    <row r="68" spans="1:12" ht="14.25" customHeight="1" x14ac:dyDescent="0.3">
      <c r="A68" s="47" t="s">
        <v>61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6"/>
    </row>
    <row r="69" spans="1:12" ht="14.25" customHeight="1" x14ac:dyDescent="0.3">
      <c r="A69" s="28" t="s">
        <v>62</v>
      </c>
      <c r="B69" s="57">
        <v>100000</v>
      </c>
      <c r="C69" s="55"/>
      <c r="D69" s="55"/>
      <c r="E69" s="55"/>
      <c r="F69" s="55"/>
      <c r="G69" s="55"/>
      <c r="H69" s="55"/>
      <c r="I69" s="55"/>
      <c r="J69" s="55"/>
      <c r="K69" s="55"/>
      <c r="L69" s="56"/>
    </row>
    <row r="70" spans="1:12" ht="14.25" customHeight="1" x14ac:dyDescent="0.3">
      <c r="A70" s="28" t="s">
        <v>63</v>
      </c>
      <c r="B70" s="57">
        <f>3000000+200000+450000+50000</f>
        <v>3700000</v>
      </c>
      <c r="C70" s="55"/>
      <c r="D70" s="55"/>
      <c r="E70" s="55"/>
      <c r="F70" s="55"/>
      <c r="G70" s="55"/>
      <c r="H70" s="55"/>
      <c r="I70" s="55"/>
      <c r="J70" s="55"/>
      <c r="K70" s="55"/>
      <c r="L70" s="56"/>
    </row>
    <row r="71" spans="1:12" ht="14.25" customHeight="1" x14ac:dyDescent="0.3">
      <c r="A71" s="28" t="s">
        <v>64</v>
      </c>
      <c r="B71" s="57">
        <f>300000+100000</f>
        <v>400000</v>
      </c>
      <c r="C71" s="55"/>
      <c r="D71" s="55"/>
      <c r="E71" s="55"/>
      <c r="F71" s="55"/>
      <c r="G71" s="55"/>
      <c r="H71" s="55"/>
      <c r="I71" s="55"/>
      <c r="J71" s="55"/>
      <c r="K71" s="55"/>
      <c r="L71" s="56"/>
    </row>
    <row r="72" spans="1:12" ht="14.25" customHeight="1" x14ac:dyDescent="0.3">
      <c r="A72" s="28" t="s">
        <v>65</v>
      </c>
      <c r="B72" s="57">
        <v>750000</v>
      </c>
      <c r="C72" s="55"/>
      <c r="D72" s="55"/>
      <c r="E72" s="55"/>
      <c r="F72" s="55"/>
      <c r="G72" s="55"/>
      <c r="H72" s="55"/>
      <c r="I72" s="55"/>
      <c r="J72" s="55"/>
      <c r="K72" s="55"/>
      <c r="L72" s="56"/>
    </row>
    <row r="73" spans="1:12" ht="14.25" customHeight="1" x14ac:dyDescent="0.3">
      <c r="A73" s="47" t="s">
        <v>66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6"/>
    </row>
    <row r="74" spans="1:12" ht="14.25" customHeight="1" x14ac:dyDescent="0.3">
      <c r="A74" s="28" t="s">
        <v>67</v>
      </c>
      <c r="B74" s="57">
        <v>0</v>
      </c>
      <c r="C74" s="55"/>
      <c r="D74" s="55"/>
      <c r="E74" s="55"/>
      <c r="F74" s="55"/>
      <c r="G74" s="55"/>
      <c r="H74" s="55"/>
      <c r="I74" s="55"/>
      <c r="J74" s="55"/>
      <c r="K74" s="55"/>
      <c r="L74" s="56"/>
    </row>
    <row r="75" spans="1:12" ht="14.25" customHeight="1" x14ac:dyDescent="0.3">
      <c r="A75" s="47" t="s">
        <v>21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6"/>
    </row>
    <row r="76" spans="1:12" ht="14.25" customHeight="1" x14ac:dyDescent="0.3">
      <c r="A76" s="28" t="s">
        <v>68</v>
      </c>
      <c r="B76" s="57">
        <f t="shared" ref="B76:L76" si="22">B63</f>
        <v>450000</v>
      </c>
      <c r="C76" s="57">
        <f t="shared" si="22"/>
        <v>250000</v>
      </c>
      <c r="D76" s="57">
        <f t="shared" si="22"/>
        <v>250000</v>
      </c>
      <c r="E76" s="57">
        <f t="shared" si="22"/>
        <v>250000</v>
      </c>
      <c r="F76" s="57">
        <f t="shared" si="22"/>
        <v>250000</v>
      </c>
      <c r="G76" s="57">
        <f t="shared" si="22"/>
        <v>250000</v>
      </c>
      <c r="H76" s="57">
        <f t="shared" si="22"/>
        <v>0</v>
      </c>
      <c r="I76" s="57">
        <f t="shared" si="22"/>
        <v>0</v>
      </c>
      <c r="J76" s="57">
        <f t="shared" si="22"/>
        <v>0</v>
      </c>
      <c r="K76" s="57">
        <f t="shared" si="22"/>
        <v>0</v>
      </c>
      <c r="L76" s="58">
        <f t="shared" si="22"/>
        <v>-1700000</v>
      </c>
    </row>
    <row r="77" spans="1:12" ht="15.75" customHeight="1" x14ac:dyDescent="0.3">
      <c r="A77" s="40" t="s">
        <v>69</v>
      </c>
      <c r="B77" s="59">
        <f t="shared" ref="B77:L77" si="23">SUM(B68:B76)</f>
        <v>5400000</v>
      </c>
      <c r="C77" s="59">
        <f t="shared" si="23"/>
        <v>250000</v>
      </c>
      <c r="D77" s="59">
        <f t="shared" si="23"/>
        <v>250000</v>
      </c>
      <c r="E77" s="59">
        <f t="shared" si="23"/>
        <v>250000</v>
      </c>
      <c r="F77" s="59">
        <f t="shared" si="23"/>
        <v>250000</v>
      </c>
      <c r="G77" s="59">
        <f t="shared" si="23"/>
        <v>250000</v>
      </c>
      <c r="H77" s="59">
        <f t="shared" si="23"/>
        <v>0</v>
      </c>
      <c r="I77" s="59">
        <f t="shared" si="23"/>
        <v>0</v>
      </c>
      <c r="J77" s="59">
        <f t="shared" si="23"/>
        <v>0</v>
      </c>
      <c r="K77" s="59">
        <f t="shared" si="23"/>
        <v>0</v>
      </c>
      <c r="L77" s="60">
        <f t="shared" si="23"/>
        <v>-1700000</v>
      </c>
    </row>
    <row r="78" spans="1:12" ht="14.25" customHeight="1" x14ac:dyDescent="0.3">
      <c r="B78" s="21"/>
    </row>
    <row r="79" spans="1:12" ht="14.25" customHeight="1" x14ac:dyDescent="0.3">
      <c r="A79" s="22" t="s">
        <v>70</v>
      </c>
      <c r="B79" s="24"/>
    </row>
    <row r="80" spans="1:12" ht="15.75" customHeight="1" x14ac:dyDescent="0.3">
      <c r="A80" s="23" t="s">
        <v>71</v>
      </c>
      <c r="B80" s="24"/>
    </row>
    <row r="81" spans="1:22" ht="14.25" customHeight="1" x14ac:dyDescent="0.3">
      <c r="A81" s="25" t="s">
        <v>36</v>
      </c>
      <c r="B81" s="26" t="s">
        <v>5</v>
      </c>
      <c r="C81" s="26" t="s">
        <v>6</v>
      </c>
      <c r="D81" s="26" t="s">
        <v>7</v>
      </c>
      <c r="E81" s="26" t="s">
        <v>8</v>
      </c>
      <c r="F81" s="26" t="s">
        <v>9</v>
      </c>
      <c r="G81" s="26" t="s">
        <v>10</v>
      </c>
      <c r="H81" s="26" t="s">
        <v>11</v>
      </c>
      <c r="I81" s="26" t="s">
        <v>12</v>
      </c>
      <c r="J81" s="26" t="s">
        <v>13</v>
      </c>
      <c r="K81" s="26" t="s">
        <v>14</v>
      </c>
      <c r="L81" s="27" t="s">
        <v>15</v>
      </c>
      <c r="R81" s="61" t="s">
        <v>72</v>
      </c>
      <c r="S81" s="62" t="s">
        <v>73</v>
      </c>
      <c r="T81" s="62" t="s">
        <v>74</v>
      </c>
      <c r="U81" s="62" t="s">
        <v>75</v>
      </c>
      <c r="V81" s="62" t="s">
        <v>76</v>
      </c>
    </row>
    <row r="82" spans="1:22" ht="14.25" customHeight="1" x14ac:dyDescent="0.3">
      <c r="A82" s="28" t="s">
        <v>77</v>
      </c>
      <c r="B82" s="55"/>
      <c r="C82" s="57">
        <f t="shared" ref="C82:L82" si="24">$V$82</f>
        <v>2500</v>
      </c>
      <c r="D82" s="57">
        <f t="shared" si="24"/>
        <v>2500</v>
      </c>
      <c r="E82" s="57">
        <f t="shared" si="24"/>
        <v>2500</v>
      </c>
      <c r="F82" s="57">
        <f t="shared" si="24"/>
        <v>2500</v>
      </c>
      <c r="G82" s="57">
        <f t="shared" si="24"/>
        <v>2500</v>
      </c>
      <c r="H82" s="57">
        <f t="shared" si="24"/>
        <v>2500</v>
      </c>
      <c r="I82" s="57">
        <f t="shared" si="24"/>
        <v>2500</v>
      </c>
      <c r="J82" s="57">
        <f t="shared" si="24"/>
        <v>2500</v>
      </c>
      <c r="K82" s="57">
        <f t="shared" si="24"/>
        <v>2500</v>
      </c>
      <c r="L82" s="57">
        <f t="shared" si="24"/>
        <v>2500</v>
      </c>
      <c r="R82" s="63" t="s">
        <v>78</v>
      </c>
      <c r="S82" s="15">
        <f>B69</f>
        <v>100000</v>
      </c>
      <c r="T82" s="64">
        <v>50000</v>
      </c>
      <c r="U82" s="65">
        <v>20</v>
      </c>
      <c r="V82" s="15">
        <f>(S82-T82)/U82</f>
        <v>2500</v>
      </c>
    </row>
    <row r="83" spans="1:22" ht="14.25" customHeight="1" x14ac:dyDescent="0.3">
      <c r="A83" s="28" t="s">
        <v>79</v>
      </c>
      <c r="B83" s="55"/>
      <c r="C83" s="57">
        <f t="shared" ref="C83:L83" si="25">$V$83+$V$84</f>
        <v>270000</v>
      </c>
      <c r="D83" s="57">
        <f t="shared" si="25"/>
        <v>270000</v>
      </c>
      <c r="E83" s="57">
        <f t="shared" si="25"/>
        <v>270000</v>
      </c>
      <c r="F83" s="57">
        <f t="shared" si="25"/>
        <v>270000</v>
      </c>
      <c r="G83" s="57">
        <f t="shared" si="25"/>
        <v>270000</v>
      </c>
      <c r="H83" s="57">
        <f t="shared" si="25"/>
        <v>270000</v>
      </c>
      <c r="I83" s="57">
        <f t="shared" si="25"/>
        <v>270000</v>
      </c>
      <c r="J83" s="57">
        <f t="shared" si="25"/>
        <v>270000</v>
      </c>
      <c r="K83" s="57">
        <f t="shared" si="25"/>
        <v>270000</v>
      </c>
      <c r="L83" s="57">
        <f t="shared" si="25"/>
        <v>270000</v>
      </c>
      <c r="R83" s="63" t="s">
        <v>80</v>
      </c>
      <c r="S83" s="15">
        <v>3000000</v>
      </c>
      <c r="T83" s="64">
        <v>1000000</v>
      </c>
      <c r="U83" s="66">
        <v>10</v>
      </c>
      <c r="V83" s="15">
        <f>(S83-T83)/U83</f>
        <v>200000</v>
      </c>
    </row>
    <row r="84" spans="1:22" ht="14.25" customHeight="1" x14ac:dyDescent="0.3">
      <c r="A84" s="28" t="s">
        <v>81</v>
      </c>
      <c r="B84" s="55"/>
      <c r="C84" s="57">
        <f>$V$85</f>
        <v>80000</v>
      </c>
      <c r="D84" s="57">
        <f>$V$85</f>
        <v>80000</v>
      </c>
      <c r="E84" s="57">
        <f>$V$85</f>
        <v>80000</v>
      </c>
      <c r="F84" s="57">
        <f>$V$85</f>
        <v>80000</v>
      </c>
      <c r="G84" s="57">
        <f>$V$85</f>
        <v>80000</v>
      </c>
      <c r="H84" s="57">
        <v>0</v>
      </c>
      <c r="I84" s="57">
        <v>0</v>
      </c>
      <c r="J84" s="57">
        <v>0</v>
      </c>
      <c r="K84" s="57">
        <v>0</v>
      </c>
      <c r="L84" s="57">
        <v>0</v>
      </c>
      <c r="R84" s="63" t="s">
        <v>82</v>
      </c>
      <c r="S84" s="67">
        <f>B70-S83</f>
        <v>700000</v>
      </c>
      <c r="T84" s="63">
        <v>0</v>
      </c>
      <c r="U84" s="65">
        <v>10</v>
      </c>
      <c r="V84" s="15">
        <f>(S84-T84)/U84</f>
        <v>70000</v>
      </c>
    </row>
    <row r="85" spans="1:22" ht="14.25" customHeight="1" x14ac:dyDescent="0.3">
      <c r="A85" s="68" t="s">
        <v>83</v>
      </c>
      <c r="B85" s="69"/>
      <c r="C85" s="70">
        <f t="shared" ref="C85:L85" si="26">SUM(C82:C84)</f>
        <v>352500</v>
      </c>
      <c r="D85" s="70">
        <f t="shared" si="26"/>
        <v>352500</v>
      </c>
      <c r="E85" s="70">
        <f t="shared" si="26"/>
        <v>352500</v>
      </c>
      <c r="F85" s="70">
        <f t="shared" si="26"/>
        <v>352500</v>
      </c>
      <c r="G85" s="70">
        <f t="shared" si="26"/>
        <v>352500</v>
      </c>
      <c r="H85" s="70">
        <f t="shared" si="26"/>
        <v>272500</v>
      </c>
      <c r="I85" s="70">
        <f t="shared" si="26"/>
        <v>272500</v>
      </c>
      <c r="J85" s="70">
        <f t="shared" si="26"/>
        <v>272500</v>
      </c>
      <c r="K85" s="70">
        <f t="shared" si="26"/>
        <v>272500</v>
      </c>
      <c r="L85" s="70">
        <f t="shared" si="26"/>
        <v>272500</v>
      </c>
      <c r="R85" s="63" t="s">
        <v>84</v>
      </c>
      <c r="S85" s="15">
        <f>B71</f>
        <v>400000</v>
      </c>
      <c r="T85" s="64">
        <v>0</v>
      </c>
      <c r="U85" s="66">
        <v>5</v>
      </c>
      <c r="V85" s="15">
        <f>(S85-T85)/U85</f>
        <v>80000</v>
      </c>
    </row>
    <row r="86" spans="1:22" ht="14.25" customHeight="1" x14ac:dyDescent="0.3">
      <c r="A86" s="71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6"/>
      <c r="S86" s="72">
        <f>SUM(S82:S85)</f>
        <v>4200000</v>
      </c>
    </row>
    <row r="87" spans="1:22" ht="14.25" customHeight="1" x14ac:dyDescent="0.3">
      <c r="A87" s="28" t="s">
        <v>85</v>
      </c>
      <c r="B87" s="55"/>
      <c r="C87" s="57">
        <f t="shared" ref="C87:L87" si="27">$B$74/10</f>
        <v>0</v>
      </c>
      <c r="D87" s="57">
        <f t="shared" si="27"/>
        <v>0</v>
      </c>
      <c r="E87" s="57">
        <f t="shared" si="27"/>
        <v>0</v>
      </c>
      <c r="F87" s="57">
        <f t="shared" si="27"/>
        <v>0</v>
      </c>
      <c r="G87" s="57">
        <f t="shared" si="27"/>
        <v>0</v>
      </c>
      <c r="H87" s="57">
        <f t="shared" si="27"/>
        <v>0</v>
      </c>
      <c r="I87" s="57">
        <f t="shared" si="27"/>
        <v>0</v>
      </c>
      <c r="J87" s="57">
        <f t="shared" si="27"/>
        <v>0</v>
      </c>
      <c r="K87" s="57">
        <f t="shared" si="27"/>
        <v>0</v>
      </c>
      <c r="L87" s="73">
        <f t="shared" si="27"/>
        <v>0</v>
      </c>
      <c r="O87" s="74"/>
    </row>
    <row r="88" spans="1:22" ht="15.75" customHeight="1" x14ac:dyDescent="0.3">
      <c r="A88" s="40" t="s">
        <v>86</v>
      </c>
      <c r="B88" s="75"/>
      <c r="C88" s="59">
        <f t="shared" ref="C88:L88" si="28">SUM(C87)</f>
        <v>0</v>
      </c>
      <c r="D88" s="59">
        <f t="shared" si="28"/>
        <v>0</v>
      </c>
      <c r="E88" s="59">
        <f t="shared" si="28"/>
        <v>0</v>
      </c>
      <c r="F88" s="59">
        <f t="shared" si="28"/>
        <v>0</v>
      </c>
      <c r="G88" s="59">
        <f t="shared" si="28"/>
        <v>0</v>
      </c>
      <c r="H88" s="59">
        <f t="shared" si="28"/>
        <v>0</v>
      </c>
      <c r="I88" s="59">
        <f t="shared" si="28"/>
        <v>0</v>
      </c>
      <c r="J88" s="59">
        <f t="shared" si="28"/>
        <v>0</v>
      </c>
      <c r="K88" s="59">
        <f t="shared" si="28"/>
        <v>0</v>
      </c>
      <c r="L88" s="60">
        <f t="shared" si="28"/>
        <v>0</v>
      </c>
      <c r="O88" s="74"/>
    </row>
    <row r="89" spans="1:22" ht="14.25" customHeight="1" x14ac:dyDescent="0.3">
      <c r="B89" s="21"/>
    </row>
    <row r="90" spans="1:22" ht="14.25" customHeight="1" x14ac:dyDescent="0.3">
      <c r="A90" s="22" t="s">
        <v>87</v>
      </c>
      <c r="B90" s="24"/>
    </row>
    <row r="91" spans="1:22" ht="15.75" customHeight="1" x14ac:dyDescent="0.3">
      <c r="A91" s="23" t="s">
        <v>88</v>
      </c>
      <c r="B91" s="24"/>
    </row>
    <row r="92" spans="1:22" ht="14.25" customHeight="1" x14ac:dyDescent="0.3">
      <c r="A92" s="161" t="s">
        <v>36</v>
      </c>
      <c r="B92" s="76" t="s">
        <v>89</v>
      </c>
      <c r="C92" s="162" t="s">
        <v>90</v>
      </c>
      <c r="D92" s="162"/>
      <c r="E92" s="162"/>
      <c r="F92" s="162"/>
      <c r="G92" s="162"/>
      <c r="H92" s="162"/>
      <c r="I92" s="162"/>
      <c r="J92" s="162"/>
      <c r="K92" s="162"/>
      <c r="L92" s="162"/>
      <c r="M92" s="77" t="s">
        <v>91</v>
      </c>
    </row>
    <row r="93" spans="1:22" ht="14.25" customHeight="1" x14ac:dyDescent="0.3">
      <c r="A93" s="161"/>
      <c r="B93" s="62" t="s">
        <v>92</v>
      </c>
      <c r="C93" s="78" t="s">
        <v>6</v>
      </c>
      <c r="D93" s="78" t="s">
        <v>7</v>
      </c>
      <c r="E93" s="78" t="s">
        <v>8</v>
      </c>
      <c r="F93" s="78" t="s">
        <v>9</v>
      </c>
      <c r="G93" s="78" t="s">
        <v>10</v>
      </c>
      <c r="H93" s="78" t="s">
        <v>11</v>
      </c>
      <c r="I93" s="78" t="s">
        <v>12</v>
      </c>
      <c r="J93" s="78" t="s">
        <v>13</v>
      </c>
      <c r="K93" s="78" t="s">
        <v>14</v>
      </c>
      <c r="L93" s="78" t="s">
        <v>15</v>
      </c>
      <c r="M93" s="79" t="s">
        <v>93</v>
      </c>
    </row>
    <row r="94" spans="1:22" ht="14.25" customHeight="1" x14ac:dyDescent="0.3">
      <c r="A94" s="28" t="s">
        <v>77</v>
      </c>
      <c r="B94" s="57">
        <f>B69</f>
        <v>100000</v>
      </c>
      <c r="C94" s="57">
        <f t="shared" ref="C94:L94" si="29">C82</f>
        <v>2500</v>
      </c>
      <c r="D94" s="57">
        <f t="shared" si="29"/>
        <v>2500</v>
      </c>
      <c r="E94" s="57">
        <f t="shared" si="29"/>
        <v>2500</v>
      </c>
      <c r="F94" s="57">
        <f t="shared" si="29"/>
        <v>2500</v>
      </c>
      <c r="G94" s="57">
        <f t="shared" si="29"/>
        <v>2500</v>
      </c>
      <c r="H94" s="57">
        <f t="shared" si="29"/>
        <v>2500</v>
      </c>
      <c r="I94" s="57">
        <f t="shared" si="29"/>
        <v>2500</v>
      </c>
      <c r="J94" s="57">
        <f t="shared" si="29"/>
        <v>2500</v>
      </c>
      <c r="K94" s="57">
        <f t="shared" si="29"/>
        <v>2500</v>
      </c>
      <c r="L94" s="57">
        <f t="shared" si="29"/>
        <v>2500</v>
      </c>
      <c r="M94" s="73">
        <f>B94-SUM(C94:L94)</f>
        <v>75000</v>
      </c>
    </row>
    <row r="95" spans="1:22" ht="14.25" customHeight="1" x14ac:dyDescent="0.3">
      <c r="A95" s="28" t="s">
        <v>79</v>
      </c>
      <c r="B95" s="57">
        <f>B70</f>
        <v>3700000</v>
      </c>
      <c r="C95" s="57">
        <f t="shared" ref="C95:L95" si="30">C83</f>
        <v>270000</v>
      </c>
      <c r="D95" s="57">
        <f t="shared" si="30"/>
        <v>270000</v>
      </c>
      <c r="E95" s="57">
        <f t="shared" si="30"/>
        <v>270000</v>
      </c>
      <c r="F95" s="57">
        <f t="shared" si="30"/>
        <v>270000</v>
      </c>
      <c r="G95" s="57">
        <f t="shared" si="30"/>
        <v>270000</v>
      </c>
      <c r="H95" s="57">
        <f t="shared" si="30"/>
        <v>270000</v>
      </c>
      <c r="I95" s="57">
        <f t="shared" si="30"/>
        <v>270000</v>
      </c>
      <c r="J95" s="57">
        <f t="shared" si="30"/>
        <v>270000</v>
      </c>
      <c r="K95" s="57">
        <f t="shared" si="30"/>
        <v>270000</v>
      </c>
      <c r="L95" s="57">
        <f t="shared" si="30"/>
        <v>270000</v>
      </c>
      <c r="M95" s="73">
        <f>B95-SUM(C95:L95)</f>
        <v>1000000</v>
      </c>
    </row>
    <row r="96" spans="1:22" ht="14.25" customHeight="1" x14ac:dyDescent="0.3">
      <c r="A96" s="28" t="s">
        <v>81</v>
      </c>
      <c r="B96" s="57">
        <f>B71</f>
        <v>400000</v>
      </c>
      <c r="C96" s="57">
        <f t="shared" ref="C96:L96" si="31">C84</f>
        <v>80000</v>
      </c>
      <c r="D96" s="57">
        <f t="shared" si="31"/>
        <v>80000</v>
      </c>
      <c r="E96" s="57">
        <f t="shared" si="31"/>
        <v>80000</v>
      </c>
      <c r="F96" s="57">
        <f t="shared" si="31"/>
        <v>80000</v>
      </c>
      <c r="G96" s="57">
        <f t="shared" si="31"/>
        <v>80000</v>
      </c>
      <c r="H96" s="57">
        <f t="shared" si="31"/>
        <v>0</v>
      </c>
      <c r="I96" s="57">
        <f t="shared" si="31"/>
        <v>0</v>
      </c>
      <c r="J96" s="57">
        <f t="shared" si="31"/>
        <v>0</v>
      </c>
      <c r="K96" s="57">
        <f t="shared" si="31"/>
        <v>0</v>
      </c>
      <c r="L96" s="57">
        <f t="shared" si="31"/>
        <v>0</v>
      </c>
      <c r="M96" s="73">
        <f>B96-SUM(C96:L96)</f>
        <v>0</v>
      </c>
    </row>
    <row r="97" spans="1:13" ht="15.75" customHeight="1" x14ac:dyDescent="0.3">
      <c r="A97" s="80" t="s">
        <v>85</v>
      </c>
      <c r="B97" s="81">
        <f>B74</f>
        <v>0</v>
      </c>
      <c r="C97" s="81">
        <f t="shared" ref="C97:L97" si="32">C87</f>
        <v>0</v>
      </c>
      <c r="D97" s="81">
        <f t="shared" si="32"/>
        <v>0</v>
      </c>
      <c r="E97" s="81">
        <f t="shared" si="32"/>
        <v>0</v>
      </c>
      <c r="F97" s="81">
        <f t="shared" si="32"/>
        <v>0</v>
      </c>
      <c r="G97" s="81">
        <f t="shared" si="32"/>
        <v>0</v>
      </c>
      <c r="H97" s="81">
        <f t="shared" si="32"/>
        <v>0</v>
      </c>
      <c r="I97" s="81">
        <f t="shared" si="32"/>
        <v>0</v>
      </c>
      <c r="J97" s="81">
        <f t="shared" si="32"/>
        <v>0</v>
      </c>
      <c r="K97" s="81">
        <f t="shared" si="32"/>
        <v>0</v>
      </c>
      <c r="L97" s="81">
        <f t="shared" si="32"/>
        <v>0</v>
      </c>
      <c r="M97" s="82">
        <f>B97-SUM(C97:L97)</f>
        <v>0</v>
      </c>
    </row>
    <row r="98" spans="1:13" ht="15.75" customHeight="1" x14ac:dyDescent="0.3">
      <c r="A98" s="163" t="s">
        <v>94</v>
      </c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83">
        <f>SUM(M94:M97)</f>
        <v>1075000</v>
      </c>
    </row>
    <row r="99" spans="1:13" ht="14.25" customHeight="1" x14ac:dyDescent="0.3">
      <c r="B99" s="21"/>
    </row>
    <row r="100" spans="1:13" ht="14.25" customHeight="1" x14ac:dyDescent="0.3">
      <c r="A100" s="22" t="s">
        <v>95</v>
      </c>
      <c r="B100" s="24"/>
    </row>
    <row r="101" spans="1:13" ht="15.75" customHeight="1" x14ac:dyDescent="0.3">
      <c r="A101" s="44" t="s">
        <v>96</v>
      </c>
      <c r="B101" s="42"/>
      <c r="C101" s="43"/>
      <c r="D101" s="43"/>
      <c r="E101" s="43"/>
    </row>
    <row r="102" spans="1:13" ht="14.25" customHeight="1" x14ac:dyDescent="0.3">
      <c r="A102" s="84" t="s">
        <v>97</v>
      </c>
      <c r="B102" s="85">
        <f>B77*E102</f>
        <v>2700000</v>
      </c>
      <c r="C102" s="86"/>
      <c r="D102" s="43"/>
      <c r="E102" s="87">
        <v>0.5</v>
      </c>
    </row>
    <row r="103" spans="1:13" ht="14.25" customHeight="1" x14ac:dyDescent="0.3">
      <c r="A103" s="28" t="s">
        <v>98</v>
      </c>
      <c r="B103" s="88">
        <f>B22</f>
        <v>0.1</v>
      </c>
      <c r="C103" s="89"/>
      <c r="D103" s="43"/>
      <c r="E103" s="43"/>
    </row>
    <row r="104" spans="1:13" ht="14.25" customHeight="1" x14ac:dyDescent="0.3">
      <c r="A104" s="28" t="s">
        <v>99</v>
      </c>
      <c r="B104" s="90">
        <v>7</v>
      </c>
      <c r="C104" s="91" t="s">
        <v>100</v>
      </c>
      <c r="D104" s="43"/>
      <c r="E104" s="43"/>
    </row>
    <row r="105" spans="1:13" ht="15.75" customHeight="1" x14ac:dyDescent="0.3">
      <c r="A105" s="92" t="s">
        <v>101</v>
      </c>
      <c r="B105" s="159" t="s">
        <v>102</v>
      </c>
      <c r="C105" s="159"/>
      <c r="D105" s="43"/>
      <c r="E105" s="43"/>
    </row>
    <row r="106" spans="1:13" ht="15.75" customHeight="1" x14ac:dyDescent="0.3">
      <c r="A106" s="43"/>
      <c r="B106" s="42"/>
      <c r="C106" s="43"/>
      <c r="D106" s="43"/>
      <c r="E106" s="43"/>
    </row>
    <row r="107" spans="1:13" ht="14.25" customHeight="1" x14ac:dyDescent="0.3">
      <c r="A107" s="25" t="s">
        <v>36</v>
      </c>
      <c r="B107" s="26" t="s">
        <v>5</v>
      </c>
      <c r="C107" s="26" t="s">
        <v>6</v>
      </c>
      <c r="D107" s="26" t="s">
        <v>7</v>
      </c>
      <c r="E107" s="26" t="s">
        <v>8</v>
      </c>
      <c r="F107" s="26" t="s">
        <v>9</v>
      </c>
      <c r="G107" s="26" t="s">
        <v>10</v>
      </c>
      <c r="H107" s="26" t="s">
        <v>11</v>
      </c>
      <c r="I107" s="26" t="s">
        <v>12</v>
      </c>
    </row>
    <row r="108" spans="1:13" ht="14.25" customHeight="1" x14ac:dyDescent="0.3">
      <c r="A108" s="28" t="s">
        <v>103</v>
      </c>
      <c r="B108" s="57">
        <f>B102</f>
        <v>2700000</v>
      </c>
      <c r="C108" s="57">
        <f t="shared" ref="C108:I108" si="33">B108-C111</f>
        <v>2700000</v>
      </c>
      <c r="D108" s="57">
        <f t="shared" si="33"/>
        <v>2700000</v>
      </c>
      <c r="E108" s="57">
        <f t="shared" si="33"/>
        <v>2700000</v>
      </c>
      <c r="F108" s="57">
        <f t="shared" si="33"/>
        <v>2700000</v>
      </c>
      <c r="G108" s="57">
        <f t="shared" si="33"/>
        <v>2700000</v>
      </c>
      <c r="H108" s="57">
        <f t="shared" si="33"/>
        <v>2700000</v>
      </c>
      <c r="I108" s="57">
        <f t="shared" si="33"/>
        <v>0</v>
      </c>
    </row>
    <row r="109" spans="1:13" ht="14.25" customHeight="1" x14ac:dyDescent="0.3">
      <c r="A109" s="28" t="s">
        <v>104</v>
      </c>
      <c r="B109" s="55"/>
      <c r="C109" s="57">
        <f t="shared" ref="C109:H109" si="34">C110</f>
        <v>270000</v>
      </c>
      <c r="D109" s="57">
        <f t="shared" si="34"/>
        <v>270000</v>
      </c>
      <c r="E109" s="57">
        <f t="shared" si="34"/>
        <v>270000</v>
      </c>
      <c r="F109" s="57">
        <f t="shared" si="34"/>
        <v>270000</v>
      </c>
      <c r="G109" s="57">
        <f t="shared" si="34"/>
        <v>270000</v>
      </c>
      <c r="H109" s="57">
        <f t="shared" si="34"/>
        <v>270000</v>
      </c>
      <c r="I109" s="57">
        <f>H108+(H108*B103)</f>
        <v>2970000</v>
      </c>
    </row>
    <row r="110" spans="1:13" ht="14.25" customHeight="1" x14ac:dyDescent="0.3">
      <c r="A110" s="28" t="s">
        <v>105</v>
      </c>
      <c r="B110" s="55"/>
      <c r="C110" s="57">
        <f t="shared" ref="C110:I110" si="35">B108*$B$103</f>
        <v>270000</v>
      </c>
      <c r="D110" s="57">
        <f t="shared" si="35"/>
        <v>270000</v>
      </c>
      <c r="E110" s="57">
        <f t="shared" si="35"/>
        <v>270000</v>
      </c>
      <c r="F110" s="57">
        <f t="shared" si="35"/>
        <v>270000</v>
      </c>
      <c r="G110" s="57">
        <f t="shared" si="35"/>
        <v>270000</v>
      </c>
      <c r="H110" s="57">
        <f t="shared" si="35"/>
        <v>270000</v>
      </c>
      <c r="I110" s="57">
        <f t="shared" si="35"/>
        <v>270000</v>
      </c>
    </row>
    <row r="111" spans="1:13" ht="15.75" customHeight="1" x14ac:dyDescent="0.3">
      <c r="A111" s="92" t="s">
        <v>106</v>
      </c>
      <c r="B111" s="93"/>
      <c r="C111" s="81">
        <f t="shared" ref="C111:I111" si="36">C109-C110</f>
        <v>0</v>
      </c>
      <c r="D111" s="81">
        <f t="shared" si="36"/>
        <v>0</v>
      </c>
      <c r="E111" s="81">
        <f t="shared" si="36"/>
        <v>0</v>
      </c>
      <c r="F111" s="81">
        <f t="shared" si="36"/>
        <v>0</v>
      </c>
      <c r="G111" s="81">
        <f t="shared" si="36"/>
        <v>0</v>
      </c>
      <c r="H111" s="81">
        <f t="shared" si="36"/>
        <v>0</v>
      </c>
      <c r="I111" s="81">
        <f t="shared" si="36"/>
        <v>2700000</v>
      </c>
    </row>
    <row r="112" spans="1:13" ht="14.25" customHeight="1" x14ac:dyDescent="0.3">
      <c r="B112" s="21"/>
    </row>
    <row r="113" spans="1:12" ht="14.25" customHeight="1" x14ac:dyDescent="0.3">
      <c r="A113" s="22" t="s">
        <v>107</v>
      </c>
      <c r="B113" s="24"/>
    </row>
    <row r="114" spans="1:12" ht="15.75" customHeight="1" x14ac:dyDescent="0.3">
      <c r="A114" s="4" t="s">
        <v>108</v>
      </c>
      <c r="B114" s="24"/>
    </row>
    <row r="115" spans="1:12" ht="14.25" customHeight="1" x14ac:dyDescent="0.3">
      <c r="A115" s="25" t="s">
        <v>36</v>
      </c>
      <c r="B115" s="26" t="s">
        <v>5</v>
      </c>
      <c r="C115" s="26" t="s">
        <v>6</v>
      </c>
      <c r="D115" s="26" t="s">
        <v>7</v>
      </c>
      <c r="E115" s="26" t="s">
        <v>8</v>
      </c>
      <c r="F115" s="26" t="s">
        <v>9</v>
      </c>
      <c r="G115" s="26" t="s">
        <v>10</v>
      </c>
      <c r="H115" s="26" t="s">
        <v>11</v>
      </c>
      <c r="I115" s="26" t="s">
        <v>12</v>
      </c>
      <c r="J115" s="26" t="s">
        <v>13</v>
      </c>
      <c r="K115" s="26" t="s">
        <v>14</v>
      </c>
      <c r="L115" s="27" t="s">
        <v>15</v>
      </c>
    </row>
    <row r="116" spans="1:12" ht="14.25" customHeight="1" x14ac:dyDescent="0.3">
      <c r="A116" s="94" t="s">
        <v>109</v>
      </c>
      <c r="B116" s="95"/>
      <c r="C116" s="96">
        <f t="shared" ref="C116:L116" si="37">C33</f>
        <v>2756250</v>
      </c>
      <c r="D116" s="96">
        <f t="shared" si="37"/>
        <v>4246830</v>
      </c>
      <c r="E116" s="96">
        <f t="shared" si="37"/>
        <v>5301459.45</v>
      </c>
      <c r="F116" s="96">
        <f t="shared" si="37"/>
        <v>6482927.5559999999</v>
      </c>
      <c r="G116" s="96">
        <f t="shared" si="37"/>
        <v>7803824.045535001</v>
      </c>
      <c r="H116" s="96">
        <f t="shared" si="37"/>
        <v>8350091.7287224513</v>
      </c>
      <c r="I116" s="96">
        <f t="shared" si="37"/>
        <v>8934598.1497330219</v>
      </c>
      <c r="J116" s="96">
        <f t="shared" si="37"/>
        <v>9560020.0202143341</v>
      </c>
      <c r="K116" s="96">
        <f t="shared" si="37"/>
        <v>10229221.421629338</v>
      </c>
      <c r="L116" s="97">
        <f t="shared" si="37"/>
        <v>10945266.92114339</v>
      </c>
    </row>
    <row r="117" spans="1:12" ht="14.25" customHeight="1" x14ac:dyDescent="0.3">
      <c r="A117" s="98" t="s">
        <v>110</v>
      </c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7">
        <f>B19</f>
        <v>1250000</v>
      </c>
    </row>
    <row r="118" spans="1:12" ht="14.25" customHeight="1" x14ac:dyDescent="0.3">
      <c r="A118" s="94" t="s">
        <v>111</v>
      </c>
      <c r="B118" s="95"/>
      <c r="C118" s="96">
        <f t="shared" ref="C118:L118" si="38">SUM(C119:C121)</f>
        <v>1852187.5</v>
      </c>
      <c r="D118" s="96">
        <f t="shared" si="38"/>
        <v>2590134.5</v>
      </c>
      <c r="E118" s="96">
        <f t="shared" si="38"/>
        <v>3118597.0674999999</v>
      </c>
      <c r="F118" s="96">
        <f t="shared" si="38"/>
        <v>3709675.7354000001</v>
      </c>
      <c r="G118" s="96">
        <f t="shared" si="38"/>
        <v>4369547.29117525</v>
      </c>
      <c r="H118" s="96">
        <f t="shared" si="38"/>
        <v>4656515.6015575174</v>
      </c>
      <c r="I118" s="96">
        <f t="shared" si="38"/>
        <v>4963571.6936665447</v>
      </c>
      <c r="J118" s="96">
        <f t="shared" si="38"/>
        <v>5022121.7122232029</v>
      </c>
      <c r="K118" s="96">
        <f t="shared" si="38"/>
        <v>5373670.2320788261</v>
      </c>
      <c r="L118" s="97">
        <f t="shared" si="38"/>
        <v>5749827.1483243443</v>
      </c>
    </row>
    <row r="119" spans="1:12" ht="14.25" customHeight="1" x14ac:dyDescent="0.3">
      <c r="A119" s="99" t="s">
        <v>112</v>
      </c>
      <c r="B119" s="100"/>
      <c r="C119" s="15">
        <f t="shared" ref="C119:L119" si="39">C39</f>
        <v>1332187.5</v>
      </c>
      <c r="D119" s="15">
        <f t="shared" si="39"/>
        <v>2052634.4999999998</v>
      </c>
      <c r="E119" s="15">
        <f t="shared" si="39"/>
        <v>2562372.0674999999</v>
      </c>
      <c r="F119" s="15">
        <f t="shared" si="39"/>
        <v>3133414.9854000001</v>
      </c>
      <c r="G119" s="15">
        <f t="shared" si="39"/>
        <v>3771848.28867525</v>
      </c>
      <c r="H119" s="15">
        <f t="shared" si="39"/>
        <v>4035877.6688825176</v>
      </c>
      <c r="I119" s="15">
        <f t="shared" si="39"/>
        <v>4318389.1057042945</v>
      </c>
      <c r="J119" s="15">
        <f t="shared" si="39"/>
        <v>4620676.3431035951</v>
      </c>
      <c r="K119" s="15">
        <f t="shared" si="39"/>
        <v>4944123.6871208465</v>
      </c>
      <c r="L119" s="101">
        <f t="shared" si="39"/>
        <v>5290212.3452193057</v>
      </c>
    </row>
    <row r="120" spans="1:12" ht="14.25" customHeight="1" x14ac:dyDescent="0.3">
      <c r="A120" s="99" t="s">
        <v>113</v>
      </c>
      <c r="B120" s="100"/>
      <c r="C120" s="15">
        <f t="shared" ref="C120:L120" si="40">C46</f>
        <v>250000</v>
      </c>
      <c r="D120" s="15">
        <f t="shared" si="40"/>
        <v>267500</v>
      </c>
      <c r="E120" s="15">
        <f t="shared" si="40"/>
        <v>286225</v>
      </c>
      <c r="F120" s="15">
        <f t="shared" si="40"/>
        <v>306260.75</v>
      </c>
      <c r="G120" s="15">
        <f t="shared" si="40"/>
        <v>327699.0025</v>
      </c>
      <c r="H120" s="15">
        <f t="shared" si="40"/>
        <v>350637.93267499999</v>
      </c>
      <c r="I120" s="15">
        <f t="shared" si="40"/>
        <v>375182.58796224999</v>
      </c>
      <c r="J120" s="15">
        <f t="shared" si="40"/>
        <v>401445.36911960749</v>
      </c>
      <c r="K120" s="15">
        <f t="shared" si="40"/>
        <v>429546.54495797999</v>
      </c>
      <c r="L120" s="101">
        <f t="shared" si="40"/>
        <v>459614.80310503859</v>
      </c>
    </row>
    <row r="121" spans="1:12" ht="14.25" customHeight="1" x14ac:dyDescent="0.3">
      <c r="A121" s="99" t="s">
        <v>114</v>
      </c>
      <c r="B121" s="100"/>
      <c r="C121" s="15">
        <f t="shared" ref="C121:L121" si="41">C110</f>
        <v>270000</v>
      </c>
      <c r="D121" s="15">
        <f t="shared" si="41"/>
        <v>270000</v>
      </c>
      <c r="E121" s="15">
        <f t="shared" si="41"/>
        <v>270000</v>
      </c>
      <c r="F121" s="15">
        <f t="shared" si="41"/>
        <v>270000</v>
      </c>
      <c r="G121" s="15">
        <f t="shared" si="41"/>
        <v>270000</v>
      </c>
      <c r="H121" s="15">
        <f t="shared" si="41"/>
        <v>270000</v>
      </c>
      <c r="I121" s="15">
        <f t="shared" si="41"/>
        <v>270000</v>
      </c>
      <c r="J121" s="15">
        <f t="shared" si="41"/>
        <v>0</v>
      </c>
      <c r="K121" s="15">
        <f t="shared" si="41"/>
        <v>0</v>
      </c>
      <c r="L121" s="101">
        <f t="shared" si="41"/>
        <v>0</v>
      </c>
    </row>
    <row r="122" spans="1:12" ht="14.25" customHeight="1" x14ac:dyDescent="0.3">
      <c r="A122" s="94" t="s">
        <v>115</v>
      </c>
      <c r="B122" s="95"/>
      <c r="C122" s="96">
        <f t="shared" ref="C122:L122" si="42">SUM(C123:C124)</f>
        <v>352500</v>
      </c>
      <c r="D122" s="96">
        <f t="shared" si="42"/>
        <v>352500</v>
      </c>
      <c r="E122" s="96">
        <f t="shared" si="42"/>
        <v>352500</v>
      </c>
      <c r="F122" s="96">
        <f t="shared" si="42"/>
        <v>352500</v>
      </c>
      <c r="G122" s="96">
        <f t="shared" si="42"/>
        <v>352500</v>
      </c>
      <c r="H122" s="96">
        <f t="shared" si="42"/>
        <v>272500</v>
      </c>
      <c r="I122" s="96">
        <f t="shared" si="42"/>
        <v>272500</v>
      </c>
      <c r="J122" s="96">
        <f t="shared" si="42"/>
        <v>272500</v>
      </c>
      <c r="K122" s="96">
        <f t="shared" si="42"/>
        <v>272500</v>
      </c>
      <c r="L122" s="97">
        <f t="shared" si="42"/>
        <v>272500</v>
      </c>
    </row>
    <row r="123" spans="1:12" ht="14.25" customHeight="1" x14ac:dyDescent="0.3">
      <c r="A123" s="99" t="s">
        <v>116</v>
      </c>
      <c r="B123" s="100"/>
      <c r="C123" s="15">
        <f t="shared" ref="C123:L123" si="43">C85</f>
        <v>352500</v>
      </c>
      <c r="D123" s="15">
        <f t="shared" si="43"/>
        <v>352500</v>
      </c>
      <c r="E123" s="15">
        <f t="shared" si="43"/>
        <v>352500</v>
      </c>
      <c r="F123" s="15">
        <f t="shared" si="43"/>
        <v>352500</v>
      </c>
      <c r="G123" s="15">
        <f t="shared" si="43"/>
        <v>352500</v>
      </c>
      <c r="H123" s="15">
        <f t="shared" si="43"/>
        <v>272500</v>
      </c>
      <c r="I123" s="15">
        <f t="shared" si="43"/>
        <v>272500</v>
      </c>
      <c r="J123" s="15">
        <f t="shared" si="43"/>
        <v>272500</v>
      </c>
      <c r="K123" s="15">
        <f t="shared" si="43"/>
        <v>272500</v>
      </c>
      <c r="L123" s="101">
        <f t="shared" si="43"/>
        <v>272500</v>
      </c>
    </row>
    <row r="124" spans="1:12" ht="14.25" customHeight="1" x14ac:dyDescent="0.3">
      <c r="A124" s="99" t="s">
        <v>117</v>
      </c>
      <c r="B124" s="100"/>
      <c r="C124" s="15">
        <f t="shared" ref="C124:L124" si="44">C87</f>
        <v>0</v>
      </c>
      <c r="D124" s="15">
        <f t="shared" si="44"/>
        <v>0</v>
      </c>
      <c r="E124" s="15">
        <f t="shared" si="44"/>
        <v>0</v>
      </c>
      <c r="F124" s="15">
        <f t="shared" si="44"/>
        <v>0</v>
      </c>
      <c r="G124" s="15">
        <f t="shared" si="44"/>
        <v>0</v>
      </c>
      <c r="H124" s="15">
        <f t="shared" si="44"/>
        <v>0</v>
      </c>
      <c r="I124" s="15">
        <f t="shared" si="44"/>
        <v>0</v>
      </c>
      <c r="J124" s="15">
        <f t="shared" si="44"/>
        <v>0</v>
      </c>
      <c r="K124" s="15">
        <f t="shared" si="44"/>
        <v>0</v>
      </c>
      <c r="L124" s="101">
        <f t="shared" si="44"/>
        <v>0</v>
      </c>
    </row>
    <row r="125" spans="1:12" ht="14.25" customHeight="1" x14ac:dyDescent="0.3">
      <c r="A125" s="94" t="s">
        <v>118</v>
      </c>
      <c r="B125" s="95"/>
      <c r="C125" s="96">
        <f t="shared" ref="C125:L125" si="45">C116+C117-C118-C122</f>
        <v>551562.5</v>
      </c>
      <c r="D125" s="96">
        <f t="shared" si="45"/>
        <v>1304195.5</v>
      </c>
      <c r="E125" s="96">
        <f t="shared" si="45"/>
        <v>1830362.3825000003</v>
      </c>
      <c r="F125" s="96">
        <f t="shared" si="45"/>
        <v>2420751.8205999997</v>
      </c>
      <c r="G125" s="96">
        <f t="shared" si="45"/>
        <v>3081776.754359751</v>
      </c>
      <c r="H125" s="96">
        <f t="shared" si="45"/>
        <v>3421076.1271649338</v>
      </c>
      <c r="I125" s="96">
        <f t="shared" si="45"/>
        <v>3698526.4560664771</v>
      </c>
      <c r="J125" s="96">
        <f t="shared" si="45"/>
        <v>4265398.3079911312</v>
      </c>
      <c r="K125" s="96">
        <f t="shared" si="45"/>
        <v>4583051.1895505115</v>
      </c>
      <c r="L125" s="96">
        <f t="shared" si="45"/>
        <v>6172939.7728190459</v>
      </c>
    </row>
    <row r="126" spans="1:12" ht="14.25" customHeight="1" x14ac:dyDescent="0.3">
      <c r="A126" s="99" t="s">
        <v>119</v>
      </c>
      <c r="B126" s="100"/>
      <c r="C126" s="10">
        <f t="shared" ref="C126:L126" si="46">C125*$B$26</f>
        <v>165468.75</v>
      </c>
      <c r="D126" s="15">
        <f t="shared" si="46"/>
        <v>391258.64999999997</v>
      </c>
      <c r="E126" s="15">
        <f t="shared" si="46"/>
        <v>549108.71475000004</v>
      </c>
      <c r="F126" s="15">
        <f t="shared" si="46"/>
        <v>726225.54617999995</v>
      </c>
      <c r="G126" s="15">
        <f t="shared" si="46"/>
        <v>924533.02630792523</v>
      </c>
      <c r="H126" s="15">
        <f t="shared" si="46"/>
        <v>1026322.8381494801</v>
      </c>
      <c r="I126" s="15">
        <f t="shared" si="46"/>
        <v>1109557.9368199431</v>
      </c>
      <c r="J126" s="15">
        <f t="shared" si="46"/>
        <v>1279619.4923973393</v>
      </c>
      <c r="K126" s="15">
        <f t="shared" si="46"/>
        <v>1374915.3568651534</v>
      </c>
      <c r="L126" s="101">
        <f t="shared" si="46"/>
        <v>1851881.9318457136</v>
      </c>
    </row>
    <row r="127" spans="1:12" ht="14.25" customHeight="1" x14ac:dyDescent="0.3">
      <c r="A127" s="94" t="s">
        <v>120</v>
      </c>
      <c r="B127" s="95"/>
      <c r="C127" s="96">
        <f t="shared" ref="C127:L127" si="47">C125-C126</f>
        <v>386093.75</v>
      </c>
      <c r="D127" s="96">
        <f t="shared" si="47"/>
        <v>912936.85000000009</v>
      </c>
      <c r="E127" s="96">
        <f t="shared" si="47"/>
        <v>1281253.6677500003</v>
      </c>
      <c r="F127" s="96">
        <f t="shared" si="47"/>
        <v>1694526.2744199997</v>
      </c>
      <c r="G127" s="96">
        <f t="shared" si="47"/>
        <v>2157243.7280518259</v>
      </c>
      <c r="H127" s="96">
        <f t="shared" si="47"/>
        <v>2394753.2890154538</v>
      </c>
      <c r="I127" s="96">
        <f t="shared" si="47"/>
        <v>2588968.519246534</v>
      </c>
      <c r="J127" s="96">
        <f t="shared" si="47"/>
        <v>2985778.8155937921</v>
      </c>
      <c r="K127" s="96">
        <f t="shared" si="47"/>
        <v>3208135.8326853579</v>
      </c>
      <c r="L127" s="97">
        <f t="shared" si="47"/>
        <v>4321057.8409733325</v>
      </c>
    </row>
    <row r="128" spans="1:12" ht="14.25" customHeight="1" x14ac:dyDescent="0.3">
      <c r="A128" s="98" t="s">
        <v>121</v>
      </c>
      <c r="B128" s="95"/>
      <c r="C128" s="96">
        <f t="shared" ref="C128:L128" si="48">SUM(C129:C130)</f>
        <v>352500</v>
      </c>
      <c r="D128" s="96">
        <f t="shared" si="48"/>
        <v>352500</v>
      </c>
      <c r="E128" s="96">
        <f t="shared" si="48"/>
        <v>352500</v>
      </c>
      <c r="F128" s="96">
        <f t="shared" si="48"/>
        <v>352500</v>
      </c>
      <c r="G128" s="96">
        <f t="shared" si="48"/>
        <v>352500</v>
      </c>
      <c r="H128" s="96">
        <f t="shared" si="48"/>
        <v>272500</v>
      </c>
      <c r="I128" s="96">
        <f t="shared" si="48"/>
        <v>272500</v>
      </c>
      <c r="J128" s="96">
        <f t="shared" si="48"/>
        <v>272500</v>
      </c>
      <c r="K128" s="96">
        <f t="shared" si="48"/>
        <v>272500</v>
      </c>
      <c r="L128" s="97">
        <f t="shared" si="48"/>
        <v>272500</v>
      </c>
    </row>
    <row r="129" spans="1:12" ht="14.25" customHeight="1" x14ac:dyDescent="0.3">
      <c r="A129" s="99" t="s">
        <v>116</v>
      </c>
      <c r="B129" s="100"/>
      <c r="C129" s="15">
        <f t="shared" ref="C129:L129" si="49">C123</f>
        <v>352500</v>
      </c>
      <c r="D129" s="15">
        <f t="shared" si="49"/>
        <v>352500</v>
      </c>
      <c r="E129" s="15">
        <f t="shared" si="49"/>
        <v>352500</v>
      </c>
      <c r="F129" s="15">
        <f t="shared" si="49"/>
        <v>352500</v>
      </c>
      <c r="G129" s="15">
        <f t="shared" si="49"/>
        <v>352500</v>
      </c>
      <c r="H129" s="15">
        <f t="shared" si="49"/>
        <v>272500</v>
      </c>
      <c r="I129" s="15">
        <f t="shared" si="49"/>
        <v>272500</v>
      </c>
      <c r="J129" s="15">
        <f t="shared" si="49"/>
        <v>272500</v>
      </c>
      <c r="K129" s="15">
        <f t="shared" si="49"/>
        <v>272500</v>
      </c>
      <c r="L129" s="101">
        <f t="shared" si="49"/>
        <v>272500</v>
      </c>
    </row>
    <row r="130" spans="1:12" ht="14.25" customHeight="1" x14ac:dyDescent="0.3">
      <c r="A130" s="99" t="s">
        <v>117</v>
      </c>
      <c r="B130" s="100"/>
      <c r="C130" s="15">
        <f t="shared" ref="C130:L130" si="50">C124</f>
        <v>0</v>
      </c>
      <c r="D130" s="15">
        <f t="shared" si="50"/>
        <v>0</v>
      </c>
      <c r="E130" s="15">
        <f t="shared" si="50"/>
        <v>0</v>
      </c>
      <c r="F130" s="15">
        <f t="shared" si="50"/>
        <v>0</v>
      </c>
      <c r="G130" s="15">
        <f t="shared" si="50"/>
        <v>0</v>
      </c>
      <c r="H130" s="15">
        <f t="shared" si="50"/>
        <v>0</v>
      </c>
      <c r="I130" s="15">
        <f t="shared" si="50"/>
        <v>0</v>
      </c>
      <c r="J130" s="15">
        <f t="shared" si="50"/>
        <v>0</v>
      </c>
      <c r="K130" s="15">
        <f t="shared" si="50"/>
        <v>0</v>
      </c>
      <c r="L130" s="101">
        <f t="shared" si="50"/>
        <v>0</v>
      </c>
    </row>
    <row r="131" spans="1:12" ht="14.25" customHeight="1" x14ac:dyDescent="0.3">
      <c r="A131" s="94" t="s">
        <v>122</v>
      </c>
      <c r="B131" s="96">
        <f t="shared" ref="B131:L131" si="51">SUM(B132:B134)</f>
        <v>2700000</v>
      </c>
      <c r="C131" s="96">
        <f t="shared" si="51"/>
        <v>0</v>
      </c>
      <c r="D131" s="96">
        <f t="shared" si="51"/>
        <v>0</v>
      </c>
      <c r="E131" s="96">
        <f t="shared" si="51"/>
        <v>0</v>
      </c>
      <c r="F131" s="96">
        <f t="shared" si="51"/>
        <v>0</v>
      </c>
      <c r="G131" s="96">
        <f t="shared" si="51"/>
        <v>0</v>
      </c>
      <c r="H131" s="96">
        <f t="shared" si="51"/>
        <v>0</v>
      </c>
      <c r="I131" s="96">
        <f t="shared" si="51"/>
        <v>0</v>
      </c>
      <c r="J131" s="96">
        <f t="shared" si="51"/>
        <v>0</v>
      </c>
      <c r="K131" s="96">
        <f t="shared" si="51"/>
        <v>0</v>
      </c>
      <c r="L131" s="97">
        <f t="shared" si="51"/>
        <v>2775000</v>
      </c>
    </row>
    <row r="132" spans="1:12" ht="14.25" customHeight="1" x14ac:dyDescent="0.3">
      <c r="A132" s="99" t="s">
        <v>123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1">
        <f>M98</f>
        <v>1075000</v>
      </c>
    </row>
    <row r="133" spans="1:12" ht="14.25" customHeight="1" x14ac:dyDescent="0.3">
      <c r="A133" s="99" t="s">
        <v>124</v>
      </c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1">
        <f>-L77</f>
        <v>1700000</v>
      </c>
    </row>
    <row r="134" spans="1:12" ht="14.25" customHeight="1" x14ac:dyDescent="0.3">
      <c r="A134" s="99" t="s">
        <v>125</v>
      </c>
      <c r="B134" s="15">
        <f>B102</f>
        <v>2700000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2"/>
    </row>
    <row r="135" spans="1:12" ht="14.25" customHeight="1" x14ac:dyDescent="0.3">
      <c r="A135" s="94" t="s">
        <v>126</v>
      </c>
      <c r="B135" s="96">
        <f t="shared" ref="B135:L135" si="52">SUM(B136:B139)</f>
        <v>5400000</v>
      </c>
      <c r="C135" s="96">
        <f t="shared" si="52"/>
        <v>250000</v>
      </c>
      <c r="D135" s="96">
        <f t="shared" si="52"/>
        <v>250000</v>
      </c>
      <c r="E135" s="96">
        <f t="shared" si="52"/>
        <v>250000</v>
      </c>
      <c r="F135" s="96">
        <f t="shared" si="52"/>
        <v>250000</v>
      </c>
      <c r="G135" s="96">
        <f t="shared" si="52"/>
        <v>250000</v>
      </c>
      <c r="H135" s="96">
        <f t="shared" si="52"/>
        <v>0</v>
      </c>
      <c r="I135" s="96">
        <f t="shared" si="52"/>
        <v>2700000</v>
      </c>
      <c r="J135" s="96">
        <f t="shared" si="52"/>
        <v>0</v>
      </c>
      <c r="K135" s="96">
        <f t="shared" si="52"/>
        <v>0</v>
      </c>
      <c r="L135" s="97">
        <f t="shared" si="52"/>
        <v>0</v>
      </c>
    </row>
    <row r="136" spans="1:12" ht="14.25" customHeight="1" x14ac:dyDescent="0.3">
      <c r="A136" s="99" t="s">
        <v>127</v>
      </c>
      <c r="B136" s="96">
        <f>SUM(B69:B72)</f>
        <v>4950000</v>
      </c>
      <c r="C136" s="95"/>
      <c r="D136" s="95"/>
      <c r="E136" s="95"/>
      <c r="F136" s="95"/>
      <c r="G136" s="96">
        <f>G69</f>
        <v>0</v>
      </c>
      <c r="H136" s="95"/>
      <c r="I136" s="95"/>
      <c r="J136" s="95"/>
      <c r="K136" s="95"/>
      <c r="L136" s="103"/>
    </row>
    <row r="137" spans="1:12" ht="14.25" customHeight="1" x14ac:dyDescent="0.3">
      <c r="A137" s="99" t="s">
        <v>128</v>
      </c>
      <c r="B137" s="15">
        <f>B74</f>
        <v>0</v>
      </c>
      <c r="C137" s="100"/>
      <c r="D137" s="100"/>
      <c r="E137" s="100"/>
      <c r="F137" s="100"/>
      <c r="G137" s="100"/>
      <c r="H137" s="100"/>
      <c r="I137" s="100"/>
      <c r="J137" s="100"/>
      <c r="K137" s="100"/>
      <c r="L137" s="102"/>
    </row>
    <row r="138" spans="1:12" ht="14.25" customHeight="1" x14ac:dyDescent="0.3">
      <c r="A138" s="99" t="s">
        <v>129</v>
      </c>
      <c r="B138" s="15">
        <f t="shared" ref="B138:K138" si="53">B76</f>
        <v>450000</v>
      </c>
      <c r="C138" s="15">
        <f t="shared" si="53"/>
        <v>250000</v>
      </c>
      <c r="D138" s="15">
        <f t="shared" si="53"/>
        <v>250000</v>
      </c>
      <c r="E138" s="15">
        <f t="shared" si="53"/>
        <v>250000</v>
      </c>
      <c r="F138" s="15">
        <f t="shared" si="53"/>
        <v>250000</v>
      </c>
      <c r="G138" s="15">
        <f t="shared" si="53"/>
        <v>250000</v>
      </c>
      <c r="H138" s="15">
        <f t="shared" si="53"/>
        <v>0</v>
      </c>
      <c r="I138" s="15">
        <f t="shared" si="53"/>
        <v>0</v>
      </c>
      <c r="J138" s="15">
        <f t="shared" si="53"/>
        <v>0</v>
      </c>
      <c r="K138" s="15">
        <f t="shared" si="53"/>
        <v>0</v>
      </c>
      <c r="L138" s="100"/>
    </row>
    <row r="139" spans="1:12" ht="14.25" customHeight="1" x14ac:dyDescent="0.3">
      <c r="A139" s="99" t="s">
        <v>130</v>
      </c>
      <c r="B139" s="100"/>
      <c r="C139" s="15">
        <f t="shared" ref="C139:L139" si="54">C111</f>
        <v>0</v>
      </c>
      <c r="D139" s="15">
        <f t="shared" si="54"/>
        <v>0</v>
      </c>
      <c r="E139" s="15">
        <f t="shared" si="54"/>
        <v>0</v>
      </c>
      <c r="F139" s="15">
        <f t="shared" si="54"/>
        <v>0</v>
      </c>
      <c r="G139" s="15">
        <f t="shared" si="54"/>
        <v>0</v>
      </c>
      <c r="H139" s="15">
        <f t="shared" si="54"/>
        <v>0</v>
      </c>
      <c r="I139" s="15">
        <f t="shared" si="54"/>
        <v>2700000</v>
      </c>
      <c r="J139" s="15">
        <f t="shared" si="54"/>
        <v>0</v>
      </c>
      <c r="K139" s="15">
        <f t="shared" si="54"/>
        <v>0</v>
      </c>
      <c r="L139" s="101">
        <f t="shared" si="54"/>
        <v>0</v>
      </c>
    </row>
    <row r="140" spans="1:12" ht="14.25" customHeight="1" x14ac:dyDescent="0.3">
      <c r="A140" s="104" t="s">
        <v>131</v>
      </c>
      <c r="B140" s="53">
        <f t="shared" ref="B140:K140" si="55">B127+B128+B131-B135</f>
        <v>-2700000</v>
      </c>
      <c r="C140" s="53">
        <f t="shared" si="55"/>
        <v>488593.75</v>
      </c>
      <c r="D140" s="53">
        <f t="shared" si="55"/>
        <v>1015436.8500000001</v>
      </c>
      <c r="E140" s="53">
        <f t="shared" si="55"/>
        <v>1383753.6677500003</v>
      </c>
      <c r="F140" s="53">
        <f t="shared" si="55"/>
        <v>1797026.2744199997</v>
      </c>
      <c r="G140" s="53">
        <f t="shared" si="55"/>
        <v>2259743.7280518259</v>
      </c>
      <c r="H140" s="53">
        <f t="shared" si="55"/>
        <v>2667253.2890154538</v>
      </c>
      <c r="I140" s="53">
        <f t="shared" si="55"/>
        <v>161468.51924653398</v>
      </c>
      <c r="J140" s="53">
        <f t="shared" si="55"/>
        <v>3258278.8155937921</v>
      </c>
      <c r="K140" s="53">
        <f t="shared" si="55"/>
        <v>3480635.8326853579</v>
      </c>
      <c r="L140" s="54">
        <f>L127+L128+L131+L135</f>
        <v>7368557.8409733325</v>
      </c>
    </row>
    <row r="141" spans="1:12" ht="14.25" customHeight="1" x14ac:dyDescent="0.3">
      <c r="A141" s="105" t="s">
        <v>132</v>
      </c>
    </row>
    <row r="142" spans="1:12" ht="14.25" customHeight="1" x14ac:dyDescent="0.3">
      <c r="A142" s="145" t="s">
        <v>133</v>
      </c>
      <c r="B142" s="53">
        <f>B140</f>
        <v>-2700000</v>
      </c>
      <c r="C142" s="53">
        <f t="shared" ref="C142:L142" si="56">B142+C140</f>
        <v>-2211406.25</v>
      </c>
      <c r="D142" s="53">
        <f t="shared" si="56"/>
        <v>-1195969.3999999999</v>
      </c>
      <c r="E142" s="53">
        <f t="shared" si="56"/>
        <v>187784.26775000035</v>
      </c>
      <c r="F142" s="53">
        <f t="shared" si="56"/>
        <v>1984810.54217</v>
      </c>
      <c r="G142" s="53">
        <f t="shared" si="56"/>
        <v>4244554.2702218257</v>
      </c>
      <c r="H142" s="53">
        <f t="shared" si="56"/>
        <v>6911807.559237279</v>
      </c>
      <c r="I142" s="53">
        <f t="shared" si="56"/>
        <v>7073276.0784838125</v>
      </c>
      <c r="J142" s="53">
        <f t="shared" si="56"/>
        <v>10331554.894077605</v>
      </c>
      <c r="K142" s="53">
        <f t="shared" si="56"/>
        <v>13812190.726762962</v>
      </c>
      <c r="L142" s="54">
        <f t="shared" si="56"/>
        <v>21180748.567736294</v>
      </c>
    </row>
    <row r="143" spans="1:12" ht="14.25" customHeight="1" x14ac:dyDescent="0.3">
      <c r="A143" s="105" t="s">
        <v>134</v>
      </c>
    </row>
    <row r="144" spans="1:12" ht="14.25" customHeight="1" x14ac:dyDescent="0.3">
      <c r="A144" s="145" t="s">
        <v>135</v>
      </c>
      <c r="B144" s="53">
        <f>B140</f>
        <v>-2700000</v>
      </c>
      <c r="C144" s="53">
        <f>B144+C140/(1+E150)^1</f>
        <v>-2267616.1504424778</v>
      </c>
      <c r="D144" s="53">
        <f>C144+D140/(1+E150)^2</f>
        <v>-1472380.1491894429</v>
      </c>
      <c r="E144" s="53">
        <f>D144+E140/(1+E150)^3</f>
        <v>-513369.44520294853</v>
      </c>
      <c r="F144" s="53">
        <f>E144+F140/(1+E150)^4</f>
        <v>588780.42303073639</v>
      </c>
      <c r="G144" s="53">
        <f>F144+G140/(1+E150)^5</f>
        <v>1815278.7842433008</v>
      </c>
      <c r="H144" s="53">
        <f>G144+H140/(1+E150)^6</f>
        <v>3096409.956314404</v>
      </c>
      <c r="I144" s="53">
        <f>H144+I140/(1+E150)^7</f>
        <v>3165043.869050072</v>
      </c>
      <c r="J144" s="53">
        <f>I144+J140/(1+E150)^8</f>
        <v>4390677.5777763678</v>
      </c>
      <c r="K144" s="53">
        <f>J144+K140/(1+E150)^9</f>
        <v>5549328.4570050687</v>
      </c>
      <c r="L144" s="54">
        <f>K144+L140/(1+E150)^10</f>
        <v>7720019.7394492123</v>
      </c>
    </row>
    <row r="145" spans="1:12" ht="14.25" customHeight="1" x14ac:dyDescent="0.3">
      <c r="B145" s="21"/>
      <c r="F145" s="106"/>
    </row>
    <row r="146" spans="1:12" ht="14.25" customHeight="1" x14ac:dyDescent="0.3">
      <c r="A146" s="22" t="s">
        <v>136</v>
      </c>
    </row>
    <row r="147" spans="1:12" ht="14.25" customHeight="1" x14ac:dyDescent="0.3">
      <c r="B147" s="107" t="s">
        <v>137</v>
      </c>
      <c r="C147" s="107" t="s">
        <v>138</v>
      </c>
      <c r="D147" s="107" t="s">
        <v>139</v>
      </c>
      <c r="E147" s="107" t="s">
        <v>140</v>
      </c>
    </row>
    <row r="148" spans="1:12" ht="14.25" customHeight="1" x14ac:dyDescent="0.3">
      <c r="A148" s="4" t="s">
        <v>141</v>
      </c>
      <c r="B148" s="147">
        <f>B102</f>
        <v>2700000</v>
      </c>
      <c r="C148" s="149">
        <f>E102</f>
        <v>0.5</v>
      </c>
      <c r="D148" s="149">
        <f>B103*(1-B26)</f>
        <v>6.9999999999999993E-2</v>
      </c>
      <c r="E148" s="149">
        <f>C148*D148</f>
        <v>3.4999999999999996E-2</v>
      </c>
    </row>
    <row r="149" spans="1:12" ht="18" customHeight="1" x14ac:dyDescent="0.3">
      <c r="A149" s="4" t="s">
        <v>142</v>
      </c>
      <c r="B149" s="148">
        <f>B77-B148</f>
        <v>2700000</v>
      </c>
      <c r="C149" s="150">
        <f>1-C148</f>
        <v>0.5</v>
      </c>
      <c r="D149" s="149">
        <f>B25</f>
        <v>0.19</v>
      </c>
      <c r="E149" s="150">
        <f>C149*D149</f>
        <v>9.5000000000000001E-2</v>
      </c>
    </row>
    <row r="150" spans="1:12" ht="14.25" customHeight="1" x14ac:dyDescent="0.3">
      <c r="B150" s="147">
        <f>B148+B149</f>
        <v>5400000</v>
      </c>
      <c r="C150" s="149">
        <f>C148+C149</f>
        <v>1</v>
      </c>
      <c r="D150" s="108"/>
      <c r="E150" s="149">
        <f>E148+E149</f>
        <v>0.13</v>
      </c>
    </row>
    <row r="152" spans="1:12" ht="14.25" customHeight="1" x14ac:dyDescent="0.3">
      <c r="A152" s="22" t="s">
        <v>143</v>
      </c>
    </row>
    <row r="153" spans="1:12" ht="14.25" customHeight="1" x14ac:dyDescent="0.3">
      <c r="A153" s="109" t="s">
        <v>149</v>
      </c>
      <c r="B153" s="110">
        <f>NPV(E150,C140:L140)+B140</f>
        <v>7720019.7394492123</v>
      </c>
    </row>
    <row r="154" spans="1:12" ht="14.25" customHeight="1" x14ac:dyDescent="0.3">
      <c r="A154" s="109" t="s">
        <v>145</v>
      </c>
      <c r="B154" s="151">
        <f>IRR(B140:L140)</f>
        <v>0.4624443197271022</v>
      </c>
    </row>
    <row r="155" spans="1:12" ht="14.25" customHeight="1" x14ac:dyDescent="0.3">
      <c r="A155" s="109" t="s">
        <v>146</v>
      </c>
      <c r="B155" s="112">
        <f>IFERROR(MATCH(1,INDEX((C142:L142&gt;=0)*1,0),0),"&gt;10")</f>
        <v>3</v>
      </c>
    </row>
    <row r="156" spans="1:12" ht="14.25" customHeight="1" x14ac:dyDescent="0.3">
      <c r="A156" s="109" t="s">
        <v>147</v>
      </c>
      <c r="B156" s="112">
        <f>IFERROR(MATCH(1,INDEX((C144:L144&gt;=0)*1,0),0),"&gt;10")</f>
        <v>4</v>
      </c>
    </row>
    <row r="157" spans="1:12" ht="14.25" customHeight="1" x14ac:dyDescent="0.3">
      <c r="A157" s="109" t="s">
        <v>148</v>
      </c>
      <c r="B157" s="142">
        <f>(NPV(E150,C140:L140)+B140+ABS(B140))/ABS(B140)</f>
        <v>3.8592665701663749</v>
      </c>
    </row>
    <row r="158" spans="1:12" ht="14.25" customHeight="1" x14ac:dyDescent="0.3">
      <c r="B158" s="21"/>
    </row>
    <row r="159" spans="1:12" ht="14.25" customHeight="1" x14ac:dyDescent="0.3">
      <c r="B159" s="21"/>
    </row>
    <row r="160" spans="1:12" ht="14.25" customHeight="1" x14ac:dyDescent="0.3">
      <c r="A160" s="105"/>
      <c r="B160" s="113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</row>
    <row r="161" spans="1:12" ht="14.25" customHeight="1" x14ac:dyDescent="0.3">
      <c r="A161" s="105"/>
      <c r="B161" s="113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</row>
    <row r="162" spans="1:12" ht="14.25" customHeight="1" x14ac:dyDescent="0.3">
      <c r="A162" s="105"/>
      <c r="B162" s="113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</row>
    <row r="163" spans="1:12" ht="14.25" customHeight="1" x14ac:dyDescent="0.3">
      <c r="A163" s="105"/>
      <c r="B163" s="113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</row>
    <row r="164" spans="1:12" ht="14.25" customHeight="1" x14ac:dyDescent="0.3">
      <c r="B164" s="21"/>
    </row>
    <row r="165" spans="1:12" ht="14.25" customHeight="1" x14ac:dyDescent="0.3">
      <c r="B165" s="21"/>
    </row>
    <row r="166" spans="1:12" ht="14.25" customHeight="1" x14ac:dyDescent="0.3">
      <c r="B166" s="21"/>
    </row>
  </sheetData>
  <mergeCells count="6">
    <mergeCell ref="B105:C105"/>
    <mergeCell ref="A50:H50"/>
    <mergeCell ref="A55:H55"/>
    <mergeCell ref="A92:A93"/>
    <mergeCell ref="C92:L92"/>
    <mergeCell ref="A98:L9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66"/>
  <sheetViews>
    <sheetView showGridLines="0" tabSelected="1" topLeftCell="A93" zoomScaleNormal="100" workbookViewId="0">
      <selection activeCell="B157" sqref="B157"/>
    </sheetView>
  </sheetViews>
  <sheetFormatPr baseColWidth="10" defaultColWidth="8.6640625" defaultRowHeight="14.4" x14ac:dyDescent="0.3"/>
  <cols>
    <col min="1" max="1" width="42.44140625" style="1" customWidth="1"/>
    <col min="2" max="2" width="15.5546875" style="1" customWidth="1"/>
    <col min="3" max="3" width="16.109375" style="1" customWidth="1"/>
    <col min="4" max="8" width="15.44140625" style="1" customWidth="1"/>
    <col min="9" max="11" width="15.5546875" style="1" customWidth="1"/>
    <col min="12" max="12" width="15.44140625" style="1" customWidth="1"/>
    <col min="13" max="13" width="13.5546875" style="1" customWidth="1"/>
    <col min="14" max="14" width="13.33203125" style="1" customWidth="1"/>
    <col min="16" max="16" width="10.6640625" style="1" customWidth="1"/>
    <col min="18" max="18" width="25.109375" style="1" customWidth="1"/>
    <col min="19" max="19" width="11.6640625" style="1" customWidth="1"/>
    <col min="20" max="20" width="13.44140625" style="1" customWidth="1"/>
    <col min="21" max="21" width="8.44140625" style="1" customWidth="1"/>
    <col min="22" max="22" width="10.6640625" style="1" customWidth="1"/>
  </cols>
  <sheetData>
    <row r="1" spans="1:12" ht="15" customHeight="1" x14ac:dyDescent="0.3">
      <c r="A1" s="2" t="s">
        <v>0</v>
      </c>
    </row>
    <row r="3" spans="1:12" ht="14.25" customHeight="1" x14ac:dyDescent="0.3">
      <c r="A3" s="3" t="s">
        <v>1</v>
      </c>
    </row>
    <row r="4" spans="1:12" ht="14.25" customHeight="1" x14ac:dyDescent="0.3">
      <c r="A4" s="4" t="s">
        <v>2</v>
      </c>
      <c r="B4" s="4">
        <v>10</v>
      </c>
    </row>
    <row r="5" spans="1:12" ht="14.25" customHeight="1" x14ac:dyDescent="0.3">
      <c r="A5" s="4" t="s">
        <v>3</v>
      </c>
      <c r="B5" s="5">
        <v>0.05</v>
      </c>
    </row>
    <row r="6" spans="1:12" ht="14.25" customHeight="1" x14ac:dyDescent="0.3">
      <c r="A6" s="4" t="s">
        <v>4</v>
      </c>
      <c r="B6" s="5">
        <v>7.0000000000000007E-2</v>
      </c>
    </row>
    <row r="7" spans="1:12" ht="14.25" customHeight="1" x14ac:dyDescent="0.3"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</row>
    <row r="8" spans="1:12" ht="14.25" customHeight="1" x14ac:dyDescent="0.3">
      <c r="A8" s="4" t="s">
        <v>16</v>
      </c>
      <c r="B8" s="7"/>
      <c r="C8" s="8">
        <v>750</v>
      </c>
      <c r="D8" s="8">
        <v>900</v>
      </c>
      <c r="E8" s="8">
        <v>900</v>
      </c>
      <c r="F8" s="8">
        <v>900</v>
      </c>
      <c r="G8" s="8">
        <v>900</v>
      </c>
      <c r="H8" s="8">
        <v>900</v>
      </c>
      <c r="I8" s="8">
        <v>900</v>
      </c>
      <c r="J8" s="8">
        <v>900</v>
      </c>
      <c r="K8" s="8">
        <v>900</v>
      </c>
      <c r="L8" s="8">
        <v>900</v>
      </c>
    </row>
    <row r="9" spans="1:12" ht="14.25" customHeight="1" x14ac:dyDescent="0.3">
      <c r="A9" s="4" t="s">
        <v>17</v>
      </c>
      <c r="B9" s="7"/>
      <c r="C9" s="9">
        <f>1225</f>
        <v>1225</v>
      </c>
      <c r="D9" s="9">
        <f>1470</f>
        <v>1470</v>
      </c>
      <c r="E9" s="9">
        <f>1715</f>
        <v>1715</v>
      </c>
      <c r="F9" s="9">
        <f>1960</f>
        <v>1960</v>
      </c>
      <c r="G9" s="9">
        <f>2205</f>
        <v>2205</v>
      </c>
      <c r="H9" s="9">
        <f>2205</f>
        <v>2205</v>
      </c>
      <c r="I9" s="9">
        <f>2205</f>
        <v>2205</v>
      </c>
      <c r="J9" s="9">
        <f>2205</f>
        <v>2205</v>
      </c>
      <c r="K9" s="9">
        <f>2205</f>
        <v>2205</v>
      </c>
      <c r="L9" s="9">
        <f>2205</f>
        <v>2205</v>
      </c>
    </row>
    <row r="10" spans="1:12" ht="14.25" customHeight="1" x14ac:dyDescent="0.3">
      <c r="A10" s="4" t="s">
        <v>18</v>
      </c>
      <c r="B10" s="7"/>
      <c r="C10" s="9">
        <f t="shared" ref="C10:L10" si="0">C9*C8</f>
        <v>918750</v>
      </c>
      <c r="D10" s="9">
        <f t="shared" si="0"/>
        <v>1323000</v>
      </c>
      <c r="E10" s="9">
        <f t="shared" si="0"/>
        <v>1543500</v>
      </c>
      <c r="F10" s="9">
        <f t="shared" si="0"/>
        <v>1764000</v>
      </c>
      <c r="G10" s="9">
        <f t="shared" si="0"/>
        <v>1984500</v>
      </c>
      <c r="H10" s="9">
        <f t="shared" si="0"/>
        <v>1984500</v>
      </c>
      <c r="I10" s="9">
        <f t="shared" si="0"/>
        <v>1984500</v>
      </c>
      <c r="J10" s="9">
        <f t="shared" si="0"/>
        <v>1984500</v>
      </c>
      <c r="K10" s="9">
        <f t="shared" si="0"/>
        <v>1984500</v>
      </c>
      <c r="L10" s="9">
        <f t="shared" si="0"/>
        <v>1984500</v>
      </c>
    </row>
    <row r="11" spans="1:12" ht="14.25" customHeight="1" x14ac:dyDescent="0.3">
      <c r="A11" s="4" t="s">
        <v>19</v>
      </c>
      <c r="B11" s="7"/>
      <c r="C11" s="10">
        <v>1</v>
      </c>
      <c r="D11" s="10">
        <f t="shared" ref="D11:L11" si="1">C11+(C11*$B$5)</f>
        <v>1.05</v>
      </c>
      <c r="E11" s="10">
        <f t="shared" si="1"/>
        <v>1.1025</v>
      </c>
      <c r="F11" s="10">
        <f t="shared" si="1"/>
        <v>1.1576250000000001</v>
      </c>
      <c r="G11" s="10">
        <f t="shared" si="1"/>
        <v>1.2155062500000002</v>
      </c>
      <c r="H11" s="10">
        <f t="shared" si="1"/>
        <v>1.2762815625000004</v>
      </c>
      <c r="I11" s="10">
        <f t="shared" si="1"/>
        <v>1.3400956406250004</v>
      </c>
      <c r="J11" s="10">
        <f t="shared" si="1"/>
        <v>1.4071004226562505</v>
      </c>
      <c r="K11" s="10">
        <f t="shared" si="1"/>
        <v>1.477455443789063</v>
      </c>
      <c r="L11" s="10">
        <f t="shared" si="1"/>
        <v>1.5513282159785162</v>
      </c>
    </row>
    <row r="12" spans="1:12" ht="14.25" customHeight="1" x14ac:dyDescent="0.3">
      <c r="A12" s="4" t="s">
        <v>20</v>
      </c>
      <c r="B12" s="7"/>
      <c r="C12" s="11">
        <v>3</v>
      </c>
      <c r="D12" s="11">
        <f t="shared" ref="D12:L12" si="2">C12+(C12*$B$6)</f>
        <v>3.21</v>
      </c>
      <c r="E12" s="11">
        <f t="shared" si="2"/>
        <v>3.4346999999999999</v>
      </c>
      <c r="F12" s="11">
        <f t="shared" si="2"/>
        <v>3.6751290000000001</v>
      </c>
      <c r="G12" s="11">
        <f t="shared" si="2"/>
        <v>3.9323880300000003</v>
      </c>
      <c r="H12" s="11">
        <f t="shared" si="2"/>
        <v>4.2076551921000007</v>
      </c>
      <c r="I12" s="11">
        <f t="shared" si="2"/>
        <v>4.5021910555470006</v>
      </c>
      <c r="J12" s="11">
        <f t="shared" si="2"/>
        <v>4.8173444294352903</v>
      </c>
      <c r="K12" s="11">
        <f t="shared" si="2"/>
        <v>5.1545585394957607</v>
      </c>
      <c r="L12" s="11">
        <f t="shared" si="2"/>
        <v>5.5153776372604639</v>
      </c>
    </row>
    <row r="13" spans="1:12" ht="14.25" customHeight="1" x14ac:dyDescent="0.3">
      <c r="A13" s="4" t="s">
        <v>21</v>
      </c>
      <c r="B13" s="12"/>
      <c r="C13" s="13">
        <v>450000</v>
      </c>
      <c r="D13" s="13">
        <v>250000</v>
      </c>
      <c r="E13" s="13">
        <v>250000</v>
      </c>
      <c r="F13" s="13">
        <v>250000</v>
      </c>
      <c r="G13" s="13">
        <v>250000</v>
      </c>
      <c r="H13" s="13">
        <v>250000</v>
      </c>
      <c r="I13" s="13">
        <v>0</v>
      </c>
      <c r="J13" s="13">
        <v>0</v>
      </c>
      <c r="K13" s="13">
        <v>0</v>
      </c>
      <c r="L13" s="13">
        <v>0</v>
      </c>
    </row>
    <row r="14" spans="1:12" ht="14.25" customHeight="1" x14ac:dyDescent="0.3">
      <c r="A14" s="4" t="s">
        <v>22</v>
      </c>
      <c r="B14" s="12"/>
      <c r="C14" s="11">
        <f>1.45</f>
        <v>1.45</v>
      </c>
      <c r="D14" s="11">
        <f t="shared" ref="D14:L14" si="3">C14+(C14*$B$6)</f>
        <v>1.5514999999999999</v>
      </c>
      <c r="E14" s="11">
        <f t="shared" si="3"/>
        <v>1.6601049999999999</v>
      </c>
      <c r="F14" s="11">
        <f t="shared" si="3"/>
        <v>1.77631235</v>
      </c>
      <c r="G14" s="11">
        <f t="shared" si="3"/>
        <v>1.9006542145</v>
      </c>
      <c r="H14" s="11">
        <f t="shared" si="3"/>
        <v>2.033700009515</v>
      </c>
      <c r="I14" s="11">
        <f t="shared" si="3"/>
        <v>2.1760590101810502</v>
      </c>
      <c r="J14" s="11">
        <f t="shared" si="3"/>
        <v>2.3283831408937239</v>
      </c>
      <c r="K14" s="11">
        <f t="shared" si="3"/>
        <v>2.4913699607562845</v>
      </c>
      <c r="L14" s="11">
        <f t="shared" si="3"/>
        <v>2.6657658580092245</v>
      </c>
    </row>
    <row r="15" spans="1:12" ht="14.25" customHeight="1" x14ac:dyDescent="0.3">
      <c r="A15" s="4" t="s">
        <v>23</v>
      </c>
      <c r="B15" s="14"/>
      <c r="C15" s="15">
        <f t="shared" ref="C15:L15" si="4">C14*C10</f>
        <v>1332187.5</v>
      </c>
      <c r="D15" s="15">
        <f t="shared" si="4"/>
        <v>2052634.4999999998</v>
      </c>
      <c r="E15" s="15">
        <f t="shared" si="4"/>
        <v>2562372.0674999999</v>
      </c>
      <c r="F15" s="15">
        <f t="shared" si="4"/>
        <v>3133414.9854000001</v>
      </c>
      <c r="G15" s="15">
        <f t="shared" si="4"/>
        <v>3771848.28867525</v>
      </c>
      <c r="H15" s="15">
        <f t="shared" si="4"/>
        <v>4035877.6688825176</v>
      </c>
      <c r="I15" s="15">
        <f t="shared" si="4"/>
        <v>4318389.1057042945</v>
      </c>
      <c r="J15" s="15">
        <f t="shared" si="4"/>
        <v>4620676.3431035951</v>
      </c>
      <c r="K15" s="15">
        <f t="shared" si="4"/>
        <v>4944123.6871208465</v>
      </c>
      <c r="L15" s="15">
        <f t="shared" si="4"/>
        <v>5290212.3452193057</v>
      </c>
    </row>
    <row r="16" spans="1:12" ht="14.25" customHeight="1" x14ac:dyDescent="0.3">
      <c r="A16" s="4" t="s">
        <v>24</v>
      </c>
      <c r="B16" s="14"/>
      <c r="C16" s="15">
        <v>50000</v>
      </c>
      <c r="D16" s="15">
        <f t="shared" ref="D16:L16" si="5">C16+(C16*$B$6)</f>
        <v>53500</v>
      </c>
      <c r="E16" s="15">
        <f t="shared" si="5"/>
        <v>57245</v>
      </c>
      <c r="F16" s="15">
        <f t="shared" si="5"/>
        <v>61252.15</v>
      </c>
      <c r="G16" s="15">
        <f t="shared" si="5"/>
        <v>65539.800499999998</v>
      </c>
      <c r="H16" s="15">
        <f t="shared" si="5"/>
        <v>70127.586534999995</v>
      </c>
      <c r="I16" s="15">
        <f t="shared" si="5"/>
        <v>75036.517592449993</v>
      </c>
      <c r="J16" s="15">
        <f t="shared" si="5"/>
        <v>80289.073823921499</v>
      </c>
      <c r="K16" s="15">
        <f t="shared" si="5"/>
        <v>85909.308991596001</v>
      </c>
      <c r="L16" s="15">
        <f t="shared" si="5"/>
        <v>91922.960621007718</v>
      </c>
    </row>
    <row r="17" spans="1:12" ht="14.25" customHeight="1" x14ac:dyDescent="0.3">
      <c r="A17" s="4" t="s">
        <v>25</v>
      </c>
      <c r="B17" s="14"/>
      <c r="C17" s="15">
        <v>200000</v>
      </c>
      <c r="D17" s="15">
        <f t="shared" ref="D17:L17" si="6">C17+(C17*$B$6)</f>
        <v>214000</v>
      </c>
      <c r="E17" s="15">
        <f t="shared" si="6"/>
        <v>228980</v>
      </c>
      <c r="F17" s="15">
        <f t="shared" si="6"/>
        <v>245008.6</v>
      </c>
      <c r="G17" s="15">
        <f t="shared" si="6"/>
        <v>262159.20199999999</v>
      </c>
      <c r="H17" s="15">
        <f t="shared" si="6"/>
        <v>280510.34613999998</v>
      </c>
      <c r="I17" s="15">
        <f t="shared" si="6"/>
        <v>300146.07036979997</v>
      </c>
      <c r="J17" s="15">
        <f t="shared" si="6"/>
        <v>321156.295295686</v>
      </c>
      <c r="K17" s="15">
        <f t="shared" si="6"/>
        <v>343637.235966384</v>
      </c>
      <c r="L17" s="15">
        <f t="shared" si="6"/>
        <v>367691.84248403087</v>
      </c>
    </row>
    <row r="18" spans="1:12" ht="14.25" customHeight="1" x14ac:dyDescent="0.3">
      <c r="K18" s="16"/>
    </row>
    <row r="19" spans="1:12" ht="14.25" customHeight="1" x14ac:dyDescent="0.3">
      <c r="A19" s="4" t="s">
        <v>26</v>
      </c>
      <c r="B19" s="17">
        <v>1250000</v>
      </c>
      <c r="K19" s="16"/>
    </row>
    <row r="20" spans="1:12" ht="14.25" customHeight="1" x14ac:dyDescent="0.3">
      <c r="A20" s="4" t="s">
        <v>27</v>
      </c>
      <c r="B20" s="17">
        <v>1000000</v>
      </c>
      <c r="K20" s="16"/>
    </row>
    <row r="21" spans="1:12" ht="14.25" customHeight="1" x14ac:dyDescent="0.3">
      <c r="A21" s="4" t="s">
        <v>28</v>
      </c>
      <c r="B21" s="18">
        <v>50000</v>
      </c>
      <c r="K21" s="16"/>
    </row>
    <row r="22" spans="1:12" ht="14.25" customHeight="1" x14ac:dyDescent="0.3">
      <c r="A22" s="4" t="s">
        <v>29</v>
      </c>
      <c r="B22" s="5">
        <v>0.1</v>
      </c>
    </row>
    <row r="23" spans="1:12" ht="14.25" customHeight="1" x14ac:dyDescent="0.3">
      <c r="A23" s="4" t="s">
        <v>30</v>
      </c>
      <c r="B23" s="19">
        <v>7</v>
      </c>
    </row>
    <row r="24" spans="1:12" ht="14.25" customHeight="1" x14ac:dyDescent="0.3">
      <c r="A24" s="4" t="s">
        <v>31</v>
      </c>
      <c r="B24" s="20">
        <f>5400000*0.5</f>
        <v>2700000</v>
      </c>
    </row>
    <row r="25" spans="1:12" ht="14.25" customHeight="1" x14ac:dyDescent="0.3">
      <c r="A25" s="4" t="s">
        <v>32</v>
      </c>
      <c r="B25" s="5">
        <v>0.19</v>
      </c>
    </row>
    <row r="26" spans="1:12" ht="14.25" customHeight="1" x14ac:dyDescent="0.3">
      <c r="A26" s="4" t="s">
        <v>33</v>
      </c>
      <c r="B26" s="5">
        <v>0.3</v>
      </c>
    </row>
    <row r="27" spans="1:12" ht="14.25" customHeight="1" x14ac:dyDescent="0.3">
      <c r="B27" s="21"/>
    </row>
    <row r="28" spans="1:12" ht="14.25" customHeight="1" x14ac:dyDescent="0.3">
      <c r="A28" s="22" t="s">
        <v>34</v>
      </c>
      <c r="B28" s="21"/>
    </row>
    <row r="29" spans="1:12" ht="15.75" customHeight="1" x14ac:dyDescent="0.3">
      <c r="A29" s="23" t="s">
        <v>35</v>
      </c>
      <c r="B29" s="24"/>
    </row>
    <row r="30" spans="1:12" ht="14.25" customHeight="1" x14ac:dyDescent="0.3">
      <c r="A30" s="25" t="s">
        <v>36</v>
      </c>
      <c r="B30" s="26" t="s">
        <v>5</v>
      </c>
      <c r="C30" s="26" t="s">
        <v>6</v>
      </c>
      <c r="D30" s="26" t="s">
        <v>7</v>
      </c>
      <c r="E30" s="26" t="s">
        <v>8</v>
      </c>
      <c r="F30" s="26" t="s">
        <v>9</v>
      </c>
      <c r="G30" s="26" t="s">
        <v>10</v>
      </c>
      <c r="H30" s="26" t="s">
        <v>11</v>
      </c>
      <c r="I30" s="26" t="s">
        <v>12</v>
      </c>
      <c r="J30" s="26" t="s">
        <v>13</v>
      </c>
      <c r="K30" s="26" t="s">
        <v>14</v>
      </c>
      <c r="L30" s="27" t="s">
        <v>15</v>
      </c>
    </row>
    <row r="31" spans="1:12" ht="14.25" customHeight="1" x14ac:dyDescent="0.3">
      <c r="A31" s="28" t="s">
        <v>37</v>
      </c>
      <c r="B31" s="29"/>
      <c r="C31" s="30">
        <f t="shared" ref="C31:L31" si="7">C10</f>
        <v>918750</v>
      </c>
      <c r="D31" s="30">
        <f t="shared" si="7"/>
        <v>1323000</v>
      </c>
      <c r="E31" s="30">
        <f t="shared" si="7"/>
        <v>1543500</v>
      </c>
      <c r="F31" s="30">
        <f t="shared" si="7"/>
        <v>1764000</v>
      </c>
      <c r="G31" s="30">
        <f t="shared" si="7"/>
        <v>1984500</v>
      </c>
      <c r="H31" s="30">
        <f t="shared" si="7"/>
        <v>1984500</v>
      </c>
      <c r="I31" s="30">
        <f t="shared" si="7"/>
        <v>1984500</v>
      </c>
      <c r="J31" s="30">
        <f t="shared" si="7"/>
        <v>1984500</v>
      </c>
      <c r="K31" s="30">
        <f t="shared" si="7"/>
        <v>1984500</v>
      </c>
      <c r="L31" s="31">
        <f t="shared" si="7"/>
        <v>1984500</v>
      </c>
    </row>
    <row r="32" spans="1:12" ht="14.25" customHeight="1" x14ac:dyDescent="0.3">
      <c r="A32" s="28" t="s">
        <v>38</v>
      </c>
      <c r="B32" s="29"/>
      <c r="C32" s="32">
        <f t="shared" ref="C32:L32" si="8">C12</f>
        <v>3</v>
      </c>
      <c r="D32" s="32">
        <f t="shared" si="8"/>
        <v>3.21</v>
      </c>
      <c r="E32" s="32">
        <f t="shared" si="8"/>
        <v>3.4346999999999999</v>
      </c>
      <c r="F32" s="32">
        <f t="shared" si="8"/>
        <v>3.6751290000000001</v>
      </c>
      <c r="G32" s="32">
        <f t="shared" si="8"/>
        <v>3.9323880300000003</v>
      </c>
      <c r="H32" s="32">
        <f t="shared" si="8"/>
        <v>4.2076551921000007</v>
      </c>
      <c r="I32" s="32">
        <f t="shared" si="8"/>
        <v>4.5021910555470006</v>
      </c>
      <c r="J32" s="32">
        <f t="shared" si="8"/>
        <v>4.8173444294352903</v>
      </c>
      <c r="K32" s="32">
        <f t="shared" si="8"/>
        <v>5.1545585394957607</v>
      </c>
      <c r="L32" s="33">
        <f t="shared" si="8"/>
        <v>5.5153776372604639</v>
      </c>
    </row>
    <row r="33" spans="1:12" ht="15.75" customHeight="1" x14ac:dyDescent="0.3">
      <c r="A33" s="34" t="s">
        <v>39</v>
      </c>
      <c r="B33" s="35"/>
      <c r="C33" s="36">
        <f t="shared" ref="C33:L33" si="9">C32*C31</f>
        <v>2756250</v>
      </c>
      <c r="D33" s="36">
        <f t="shared" si="9"/>
        <v>4246830</v>
      </c>
      <c r="E33" s="36">
        <f t="shared" si="9"/>
        <v>5301459.45</v>
      </c>
      <c r="F33" s="36">
        <f t="shared" si="9"/>
        <v>6482927.5559999999</v>
      </c>
      <c r="G33" s="36">
        <f t="shared" si="9"/>
        <v>7803824.045535001</v>
      </c>
      <c r="H33" s="36">
        <f t="shared" si="9"/>
        <v>8350091.7287224513</v>
      </c>
      <c r="I33" s="36">
        <f t="shared" si="9"/>
        <v>8934598.1497330219</v>
      </c>
      <c r="J33" s="36">
        <f t="shared" si="9"/>
        <v>9560020.0202143341</v>
      </c>
      <c r="K33" s="36">
        <f t="shared" si="9"/>
        <v>10229221.421629338</v>
      </c>
      <c r="L33" s="37">
        <f t="shared" si="9"/>
        <v>10945266.92114339</v>
      </c>
    </row>
    <row r="34" spans="1:12" ht="14.25" customHeight="1" x14ac:dyDescent="0.3">
      <c r="B34" s="21"/>
    </row>
    <row r="35" spans="1:12" ht="14.25" customHeight="1" x14ac:dyDescent="0.3">
      <c r="A35" s="22" t="s">
        <v>40</v>
      </c>
      <c r="B35" s="24"/>
    </row>
    <row r="36" spans="1:12" ht="15.75" customHeight="1" x14ac:dyDescent="0.3">
      <c r="A36" s="23" t="s">
        <v>41</v>
      </c>
      <c r="B36" s="24"/>
    </row>
    <row r="37" spans="1:12" ht="14.25" customHeight="1" x14ac:dyDescent="0.3">
      <c r="A37" s="25" t="s">
        <v>36</v>
      </c>
      <c r="B37" s="26" t="s">
        <v>5</v>
      </c>
      <c r="C37" s="26" t="s">
        <v>6</v>
      </c>
      <c r="D37" s="26" t="s">
        <v>7</v>
      </c>
      <c r="E37" s="26" t="s">
        <v>8</v>
      </c>
      <c r="F37" s="26" t="s">
        <v>9</v>
      </c>
      <c r="G37" s="26" t="s">
        <v>10</v>
      </c>
      <c r="H37" s="26" t="s">
        <v>11</v>
      </c>
      <c r="I37" s="26" t="s">
        <v>12</v>
      </c>
      <c r="J37" s="26" t="s">
        <v>13</v>
      </c>
      <c r="K37" s="26" t="s">
        <v>14</v>
      </c>
      <c r="L37" s="27" t="s">
        <v>15</v>
      </c>
    </row>
    <row r="38" spans="1:12" ht="14.25" customHeight="1" x14ac:dyDescent="0.3">
      <c r="A38" s="28" t="s">
        <v>42</v>
      </c>
      <c r="B38" s="29"/>
      <c r="C38" s="38">
        <f t="shared" ref="C38:L38" si="10">C15</f>
        <v>1332187.5</v>
      </c>
      <c r="D38" s="38">
        <f t="shared" si="10"/>
        <v>2052634.4999999998</v>
      </c>
      <c r="E38" s="38">
        <f t="shared" si="10"/>
        <v>2562372.0674999999</v>
      </c>
      <c r="F38" s="38">
        <f t="shared" si="10"/>
        <v>3133414.9854000001</v>
      </c>
      <c r="G38" s="38">
        <f t="shared" si="10"/>
        <v>3771848.28867525</v>
      </c>
      <c r="H38" s="38">
        <f t="shared" si="10"/>
        <v>4035877.6688825176</v>
      </c>
      <c r="I38" s="38">
        <f t="shared" si="10"/>
        <v>4318389.1057042945</v>
      </c>
      <c r="J38" s="38">
        <f t="shared" si="10"/>
        <v>4620676.3431035951</v>
      </c>
      <c r="K38" s="38">
        <f t="shared" si="10"/>
        <v>4944123.6871208465</v>
      </c>
      <c r="L38" s="39">
        <f t="shared" si="10"/>
        <v>5290212.3452193057</v>
      </c>
    </row>
    <row r="39" spans="1:12" ht="15.75" customHeight="1" x14ac:dyDescent="0.3">
      <c r="A39" s="40" t="s">
        <v>43</v>
      </c>
      <c r="B39" s="41"/>
      <c r="C39" s="36">
        <f t="shared" ref="C39:L39" si="11">C38</f>
        <v>1332187.5</v>
      </c>
      <c r="D39" s="36">
        <f t="shared" si="11"/>
        <v>2052634.4999999998</v>
      </c>
      <c r="E39" s="36">
        <f t="shared" si="11"/>
        <v>2562372.0674999999</v>
      </c>
      <c r="F39" s="36">
        <f t="shared" si="11"/>
        <v>3133414.9854000001</v>
      </c>
      <c r="G39" s="36">
        <f t="shared" si="11"/>
        <v>3771848.28867525</v>
      </c>
      <c r="H39" s="36">
        <f t="shared" si="11"/>
        <v>4035877.6688825176</v>
      </c>
      <c r="I39" s="36">
        <f t="shared" si="11"/>
        <v>4318389.1057042945</v>
      </c>
      <c r="J39" s="36">
        <f t="shared" si="11"/>
        <v>4620676.3431035951</v>
      </c>
      <c r="K39" s="36">
        <f t="shared" si="11"/>
        <v>4944123.6871208465</v>
      </c>
      <c r="L39" s="37">
        <f t="shared" si="11"/>
        <v>5290212.3452193057</v>
      </c>
    </row>
    <row r="40" spans="1:12" ht="14.25" customHeight="1" x14ac:dyDescent="0.3">
      <c r="B40" s="21"/>
    </row>
    <row r="41" spans="1:12" ht="14.25" customHeight="1" x14ac:dyDescent="0.3">
      <c r="A41" s="22" t="s">
        <v>44</v>
      </c>
      <c r="B41" s="24"/>
    </row>
    <row r="42" spans="1:12" ht="15.75" customHeight="1" x14ac:dyDescent="0.3">
      <c r="A42" s="23" t="s">
        <v>45</v>
      </c>
      <c r="B42" s="24"/>
    </row>
    <row r="43" spans="1:12" ht="14.25" customHeight="1" x14ac:dyDescent="0.3">
      <c r="A43" s="25" t="s">
        <v>36</v>
      </c>
      <c r="B43" s="26" t="s">
        <v>5</v>
      </c>
      <c r="C43" s="26" t="s">
        <v>6</v>
      </c>
      <c r="D43" s="26" t="s">
        <v>7</v>
      </c>
      <c r="E43" s="26" t="s">
        <v>8</v>
      </c>
      <c r="F43" s="26" t="s">
        <v>9</v>
      </c>
      <c r="G43" s="26" t="s">
        <v>10</v>
      </c>
      <c r="H43" s="26" t="s">
        <v>11</v>
      </c>
      <c r="I43" s="26" t="s">
        <v>12</v>
      </c>
      <c r="J43" s="26" t="s">
        <v>13</v>
      </c>
      <c r="K43" s="26" t="s">
        <v>14</v>
      </c>
      <c r="L43" s="27" t="s">
        <v>15</v>
      </c>
    </row>
    <row r="44" spans="1:12" ht="14.25" customHeight="1" x14ac:dyDescent="0.3">
      <c r="A44" s="28" t="s">
        <v>24</v>
      </c>
      <c r="B44" s="29"/>
      <c r="C44" s="38">
        <f t="shared" ref="C44:L44" si="12">C16</f>
        <v>50000</v>
      </c>
      <c r="D44" s="38">
        <f t="shared" si="12"/>
        <v>53500</v>
      </c>
      <c r="E44" s="38">
        <f t="shared" si="12"/>
        <v>57245</v>
      </c>
      <c r="F44" s="38">
        <f t="shared" si="12"/>
        <v>61252.15</v>
      </c>
      <c r="G44" s="38">
        <f t="shared" si="12"/>
        <v>65539.800499999998</v>
      </c>
      <c r="H44" s="38">
        <f t="shared" si="12"/>
        <v>70127.586534999995</v>
      </c>
      <c r="I44" s="38">
        <f t="shared" si="12"/>
        <v>75036.517592449993</v>
      </c>
      <c r="J44" s="38">
        <f t="shared" si="12"/>
        <v>80289.073823921499</v>
      </c>
      <c r="K44" s="38">
        <f t="shared" si="12"/>
        <v>85909.308991596001</v>
      </c>
      <c r="L44" s="39">
        <f t="shared" si="12"/>
        <v>91922.960621007718</v>
      </c>
    </row>
    <row r="45" spans="1:12" ht="14.25" customHeight="1" x14ac:dyDescent="0.3">
      <c r="A45" s="28" t="s">
        <v>25</v>
      </c>
      <c r="B45" s="29"/>
      <c r="C45" s="38">
        <f t="shared" ref="C45:L45" si="13">C17</f>
        <v>200000</v>
      </c>
      <c r="D45" s="38">
        <f t="shared" si="13"/>
        <v>214000</v>
      </c>
      <c r="E45" s="38">
        <f t="shared" si="13"/>
        <v>228980</v>
      </c>
      <c r="F45" s="38">
        <f t="shared" si="13"/>
        <v>245008.6</v>
      </c>
      <c r="G45" s="38">
        <f t="shared" si="13"/>
        <v>262159.20199999999</v>
      </c>
      <c r="H45" s="38">
        <f t="shared" si="13"/>
        <v>280510.34613999998</v>
      </c>
      <c r="I45" s="38">
        <f t="shared" si="13"/>
        <v>300146.07036979997</v>
      </c>
      <c r="J45" s="38">
        <f t="shared" si="13"/>
        <v>321156.295295686</v>
      </c>
      <c r="K45" s="38">
        <f t="shared" si="13"/>
        <v>343637.235966384</v>
      </c>
      <c r="L45" s="39">
        <f t="shared" si="13"/>
        <v>367691.84248403087</v>
      </c>
    </row>
    <row r="46" spans="1:12" ht="15.75" customHeight="1" x14ac:dyDescent="0.3">
      <c r="A46" s="40" t="s">
        <v>46</v>
      </c>
      <c r="B46" s="41"/>
      <c r="C46" s="36">
        <f t="shared" ref="C46:L46" si="14">SUM(C44:C45)</f>
        <v>250000</v>
      </c>
      <c r="D46" s="36">
        <f t="shared" si="14"/>
        <v>267500</v>
      </c>
      <c r="E46" s="36">
        <f t="shared" si="14"/>
        <v>286225</v>
      </c>
      <c r="F46" s="36">
        <f t="shared" si="14"/>
        <v>306260.75</v>
      </c>
      <c r="G46" s="36">
        <f t="shared" si="14"/>
        <v>327699.0025</v>
      </c>
      <c r="H46" s="36">
        <f t="shared" si="14"/>
        <v>350637.93267499999</v>
      </c>
      <c r="I46" s="36">
        <f t="shared" si="14"/>
        <v>375182.58796224999</v>
      </c>
      <c r="J46" s="36">
        <f t="shared" si="14"/>
        <v>401445.36911960749</v>
      </c>
      <c r="K46" s="36">
        <f t="shared" si="14"/>
        <v>429546.54495797999</v>
      </c>
      <c r="L46" s="37">
        <f t="shared" si="14"/>
        <v>459614.80310503859</v>
      </c>
    </row>
    <row r="47" spans="1:12" ht="14.25" customHeight="1" x14ac:dyDescent="0.3">
      <c r="B47" s="21"/>
    </row>
    <row r="48" spans="1:12" ht="14.25" customHeight="1" x14ac:dyDescent="0.3">
      <c r="A48" s="22" t="s">
        <v>47</v>
      </c>
      <c r="B48" s="42"/>
      <c r="C48" s="43"/>
      <c r="D48" s="43"/>
      <c r="E48" s="43"/>
      <c r="F48" s="43"/>
      <c r="G48" s="43"/>
      <c r="H48" s="43"/>
    </row>
    <row r="49" spans="1:12" ht="14.25" customHeight="1" x14ac:dyDescent="0.3">
      <c r="A49" s="44" t="s">
        <v>21</v>
      </c>
      <c r="B49" s="42"/>
      <c r="C49" s="43"/>
      <c r="D49" s="43"/>
      <c r="E49" s="43"/>
      <c r="F49" s="43"/>
      <c r="G49" s="43"/>
      <c r="H49" s="43"/>
    </row>
    <row r="50" spans="1:12" ht="15.75" customHeight="1" x14ac:dyDescent="0.3">
      <c r="A50" s="160" t="s">
        <v>48</v>
      </c>
      <c r="B50" s="160"/>
      <c r="C50" s="160"/>
      <c r="D50" s="160"/>
      <c r="E50" s="160"/>
      <c r="F50" s="160"/>
      <c r="G50" s="160"/>
      <c r="H50" s="160"/>
    </row>
    <row r="51" spans="1:12" ht="14.25" customHeight="1" x14ac:dyDescent="0.3">
      <c r="A51" s="25" t="s">
        <v>36</v>
      </c>
      <c r="B51" s="26" t="s">
        <v>5</v>
      </c>
      <c r="C51" s="26" t="s">
        <v>6</v>
      </c>
      <c r="D51" s="26" t="s">
        <v>7</v>
      </c>
      <c r="E51" s="26" t="s">
        <v>8</v>
      </c>
      <c r="F51" s="26" t="s">
        <v>9</v>
      </c>
      <c r="G51" s="26" t="s">
        <v>10</v>
      </c>
      <c r="H51" s="26" t="s">
        <v>11</v>
      </c>
      <c r="I51" s="26" t="s">
        <v>12</v>
      </c>
      <c r="J51" s="26" t="s">
        <v>13</v>
      </c>
      <c r="K51" s="26" t="s">
        <v>14</v>
      </c>
      <c r="L51" s="27" t="s">
        <v>15</v>
      </c>
    </row>
    <row r="52" spans="1:12" ht="14.25" customHeight="1" x14ac:dyDescent="0.3">
      <c r="A52" s="28" t="s">
        <v>21</v>
      </c>
      <c r="B52" s="45"/>
      <c r="C52" s="38">
        <f t="shared" ref="C52:L52" si="15">C13+B52</f>
        <v>450000</v>
      </c>
      <c r="D52" s="38">
        <f t="shared" si="15"/>
        <v>700000</v>
      </c>
      <c r="E52" s="38">
        <f t="shared" si="15"/>
        <v>950000</v>
      </c>
      <c r="F52" s="38">
        <f t="shared" si="15"/>
        <v>1200000</v>
      </c>
      <c r="G52" s="38">
        <f t="shared" si="15"/>
        <v>1450000</v>
      </c>
      <c r="H52" s="38">
        <f t="shared" si="15"/>
        <v>1700000</v>
      </c>
      <c r="I52" s="38">
        <f t="shared" si="15"/>
        <v>1700000</v>
      </c>
      <c r="J52" s="38">
        <f t="shared" si="15"/>
        <v>1700000</v>
      </c>
      <c r="K52" s="38">
        <f t="shared" si="15"/>
        <v>1700000</v>
      </c>
      <c r="L52" s="38">
        <f t="shared" si="15"/>
        <v>1700000</v>
      </c>
    </row>
    <row r="53" spans="1:12" ht="15.75" customHeight="1" x14ac:dyDescent="0.3">
      <c r="A53" s="34" t="s">
        <v>49</v>
      </c>
      <c r="B53" s="46"/>
      <c r="C53" s="36">
        <f t="shared" ref="C53:L53" si="16">SUM(C52:C52)</f>
        <v>450000</v>
      </c>
      <c r="D53" s="36">
        <f t="shared" si="16"/>
        <v>700000</v>
      </c>
      <c r="E53" s="36">
        <f t="shared" si="16"/>
        <v>950000</v>
      </c>
      <c r="F53" s="36">
        <f t="shared" si="16"/>
        <v>1200000</v>
      </c>
      <c r="G53" s="36">
        <f t="shared" si="16"/>
        <v>1450000</v>
      </c>
      <c r="H53" s="36">
        <f t="shared" si="16"/>
        <v>1700000</v>
      </c>
      <c r="I53" s="36">
        <f t="shared" si="16"/>
        <v>1700000</v>
      </c>
      <c r="J53" s="36">
        <f t="shared" si="16"/>
        <v>1700000</v>
      </c>
      <c r="K53" s="36">
        <f t="shared" si="16"/>
        <v>1700000</v>
      </c>
      <c r="L53" s="37">
        <f t="shared" si="16"/>
        <v>1700000</v>
      </c>
    </row>
    <row r="54" spans="1:12" ht="14.25" customHeight="1" x14ac:dyDescent="0.3">
      <c r="A54" s="43"/>
      <c r="B54" s="42"/>
      <c r="C54" s="43"/>
      <c r="D54" s="43"/>
      <c r="E54" s="43"/>
      <c r="F54" s="43"/>
      <c r="G54" s="43"/>
      <c r="H54" s="43"/>
    </row>
    <row r="55" spans="1:12" ht="15.75" customHeight="1" x14ac:dyDescent="0.3">
      <c r="A55" s="160" t="s">
        <v>50</v>
      </c>
      <c r="B55" s="160"/>
      <c r="C55" s="160"/>
      <c r="D55" s="160"/>
      <c r="E55" s="160"/>
      <c r="F55" s="160"/>
      <c r="G55" s="160"/>
      <c r="H55" s="160"/>
    </row>
    <row r="56" spans="1:12" ht="14.25" customHeight="1" x14ac:dyDescent="0.3">
      <c r="A56" s="25" t="s">
        <v>36</v>
      </c>
      <c r="B56" s="26" t="s">
        <v>51</v>
      </c>
      <c r="C56" s="26" t="s">
        <v>6</v>
      </c>
      <c r="D56" s="26" t="s">
        <v>7</v>
      </c>
      <c r="E56" s="26" t="s">
        <v>8</v>
      </c>
      <c r="F56" s="26" t="s">
        <v>9</v>
      </c>
      <c r="G56" s="26" t="s">
        <v>10</v>
      </c>
      <c r="H56" s="26" t="s">
        <v>11</v>
      </c>
      <c r="I56" s="26" t="s">
        <v>12</v>
      </c>
      <c r="J56" s="26" t="s">
        <v>13</v>
      </c>
      <c r="K56" s="26" t="s">
        <v>14</v>
      </c>
      <c r="L56" s="27" t="s">
        <v>15</v>
      </c>
    </row>
    <row r="57" spans="1:12" ht="14.25" customHeight="1" x14ac:dyDescent="0.3">
      <c r="A57" s="47" t="s">
        <v>52</v>
      </c>
      <c r="B57" s="48"/>
      <c r="C57" s="49">
        <f t="shared" ref="C57:L57" si="17">C58</f>
        <v>450000</v>
      </c>
      <c r="D57" s="49">
        <f t="shared" si="17"/>
        <v>700000</v>
      </c>
      <c r="E57" s="49">
        <f t="shared" si="17"/>
        <v>950000</v>
      </c>
      <c r="F57" s="49">
        <f t="shared" si="17"/>
        <v>1200000</v>
      </c>
      <c r="G57" s="49">
        <f t="shared" si="17"/>
        <v>1450000</v>
      </c>
      <c r="H57" s="49">
        <f t="shared" si="17"/>
        <v>1700000</v>
      </c>
      <c r="I57" s="49">
        <f t="shared" si="17"/>
        <v>1700000</v>
      </c>
      <c r="J57" s="49">
        <f t="shared" si="17"/>
        <v>1700000</v>
      </c>
      <c r="K57" s="49">
        <f t="shared" si="17"/>
        <v>1700000</v>
      </c>
      <c r="L57" s="50">
        <f t="shared" si="17"/>
        <v>1700000</v>
      </c>
    </row>
    <row r="58" spans="1:12" ht="14.25" customHeight="1" x14ac:dyDescent="0.3">
      <c r="A58" s="28" t="s">
        <v>53</v>
      </c>
      <c r="B58" s="45"/>
      <c r="C58" s="38">
        <f t="shared" ref="C58:L58" si="18">C53</f>
        <v>450000</v>
      </c>
      <c r="D58" s="38">
        <f t="shared" si="18"/>
        <v>700000</v>
      </c>
      <c r="E58" s="38">
        <f t="shared" si="18"/>
        <v>950000</v>
      </c>
      <c r="F58" s="38">
        <f t="shared" si="18"/>
        <v>1200000</v>
      </c>
      <c r="G58" s="38">
        <f t="shared" si="18"/>
        <v>1450000</v>
      </c>
      <c r="H58" s="38">
        <f t="shared" si="18"/>
        <v>1700000</v>
      </c>
      <c r="I58" s="38">
        <f t="shared" si="18"/>
        <v>1700000</v>
      </c>
      <c r="J58" s="38">
        <f t="shared" si="18"/>
        <v>1700000</v>
      </c>
      <c r="K58" s="38">
        <f t="shared" si="18"/>
        <v>1700000</v>
      </c>
      <c r="L58" s="39">
        <f t="shared" si="18"/>
        <v>1700000</v>
      </c>
    </row>
    <row r="59" spans="1:12" ht="14.25" customHeight="1" x14ac:dyDescent="0.3">
      <c r="A59" s="47" t="s">
        <v>54</v>
      </c>
      <c r="B59" s="48"/>
      <c r="C59" s="49">
        <f t="shared" ref="C59:L59" si="19">SUM(C60:C61)</f>
        <v>0</v>
      </c>
      <c r="D59" s="49">
        <f t="shared" si="19"/>
        <v>0</v>
      </c>
      <c r="E59" s="49">
        <f t="shared" si="19"/>
        <v>0</v>
      </c>
      <c r="F59" s="49">
        <f t="shared" si="19"/>
        <v>0</v>
      </c>
      <c r="G59" s="49">
        <f t="shared" si="19"/>
        <v>0</v>
      </c>
      <c r="H59" s="49">
        <f t="shared" si="19"/>
        <v>0</v>
      </c>
      <c r="I59" s="49">
        <f t="shared" si="19"/>
        <v>0</v>
      </c>
      <c r="J59" s="49">
        <f t="shared" si="19"/>
        <v>0</v>
      </c>
      <c r="K59" s="49">
        <f t="shared" si="19"/>
        <v>0</v>
      </c>
      <c r="L59" s="50">
        <f t="shared" si="19"/>
        <v>0</v>
      </c>
    </row>
    <row r="60" spans="1:12" ht="14.25" customHeight="1" x14ac:dyDescent="0.3">
      <c r="A60" s="28" t="s">
        <v>55</v>
      </c>
      <c r="B60" s="45"/>
      <c r="C60" s="38">
        <v>0</v>
      </c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9">
        <v>0</v>
      </c>
    </row>
    <row r="61" spans="1:12" ht="14.25" customHeight="1" x14ac:dyDescent="0.3">
      <c r="A61" s="28" t="s">
        <v>56</v>
      </c>
      <c r="B61" s="45"/>
      <c r="C61" s="38">
        <v>0</v>
      </c>
      <c r="D61" s="38">
        <v>0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9">
        <v>0</v>
      </c>
    </row>
    <row r="62" spans="1:12" ht="14.25" customHeight="1" x14ac:dyDescent="0.3">
      <c r="A62" s="51" t="s">
        <v>57</v>
      </c>
      <c r="B62" s="52"/>
      <c r="C62" s="53">
        <f t="shared" ref="C62:L62" si="20">C57-C59</f>
        <v>450000</v>
      </c>
      <c r="D62" s="53">
        <f t="shared" si="20"/>
        <v>700000</v>
      </c>
      <c r="E62" s="53">
        <f t="shared" si="20"/>
        <v>950000</v>
      </c>
      <c r="F62" s="53">
        <f t="shared" si="20"/>
        <v>1200000</v>
      </c>
      <c r="G62" s="53">
        <f t="shared" si="20"/>
        <v>1450000</v>
      </c>
      <c r="H62" s="53">
        <f t="shared" si="20"/>
        <v>1700000</v>
      </c>
      <c r="I62" s="53">
        <f t="shared" si="20"/>
        <v>1700000</v>
      </c>
      <c r="J62" s="53">
        <f t="shared" si="20"/>
        <v>1700000</v>
      </c>
      <c r="K62" s="53">
        <f t="shared" si="20"/>
        <v>1700000</v>
      </c>
      <c r="L62" s="54">
        <f t="shared" si="20"/>
        <v>1700000</v>
      </c>
    </row>
    <row r="63" spans="1:12" ht="15.75" customHeight="1" x14ac:dyDescent="0.3">
      <c r="A63" s="34" t="s">
        <v>58</v>
      </c>
      <c r="B63" s="36">
        <f t="shared" ref="B63:L63" si="21">C62-B62</f>
        <v>450000</v>
      </c>
      <c r="C63" s="36">
        <f t="shared" si="21"/>
        <v>250000</v>
      </c>
      <c r="D63" s="36">
        <f t="shared" si="21"/>
        <v>250000</v>
      </c>
      <c r="E63" s="36">
        <f t="shared" si="21"/>
        <v>250000</v>
      </c>
      <c r="F63" s="36">
        <f t="shared" si="21"/>
        <v>250000</v>
      </c>
      <c r="G63" s="36">
        <f t="shared" si="21"/>
        <v>250000</v>
      </c>
      <c r="H63" s="36">
        <f t="shared" si="21"/>
        <v>0</v>
      </c>
      <c r="I63" s="36">
        <f t="shared" si="21"/>
        <v>0</v>
      </c>
      <c r="J63" s="36">
        <f t="shared" si="21"/>
        <v>0</v>
      </c>
      <c r="K63" s="36">
        <f t="shared" si="21"/>
        <v>0</v>
      </c>
      <c r="L63" s="37">
        <f t="shared" si="21"/>
        <v>-1700000</v>
      </c>
    </row>
    <row r="64" spans="1:12" ht="14.25" customHeight="1" x14ac:dyDescent="0.3">
      <c r="B64" s="24"/>
    </row>
    <row r="65" spans="1:12" ht="14.25" customHeight="1" x14ac:dyDescent="0.3">
      <c r="A65" s="22" t="s">
        <v>59</v>
      </c>
      <c r="B65" s="24"/>
    </row>
    <row r="66" spans="1:12" ht="15.75" customHeight="1" x14ac:dyDescent="0.3">
      <c r="A66" s="23" t="s">
        <v>60</v>
      </c>
      <c r="B66" s="24"/>
    </row>
    <row r="67" spans="1:12" ht="14.25" customHeight="1" x14ac:dyDescent="0.3">
      <c r="A67" s="25" t="s">
        <v>36</v>
      </c>
      <c r="B67" s="26" t="s">
        <v>5</v>
      </c>
      <c r="C67" s="26" t="s">
        <v>6</v>
      </c>
      <c r="D67" s="26" t="s">
        <v>7</v>
      </c>
      <c r="E67" s="26" t="s">
        <v>8</v>
      </c>
      <c r="F67" s="26" t="s">
        <v>9</v>
      </c>
      <c r="G67" s="26" t="s">
        <v>10</v>
      </c>
      <c r="H67" s="26" t="s">
        <v>11</v>
      </c>
      <c r="I67" s="26" t="s">
        <v>12</v>
      </c>
      <c r="J67" s="26" t="s">
        <v>13</v>
      </c>
      <c r="K67" s="26" t="s">
        <v>14</v>
      </c>
      <c r="L67" s="27" t="s">
        <v>15</v>
      </c>
    </row>
    <row r="68" spans="1:12" ht="14.25" customHeight="1" x14ac:dyDescent="0.3">
      <c r="A68" s="47" t="s">
        <v>61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6"/>
    </row>
    <row r="69" spans="1:12" ht="14.25" customHeight="1" x14ac:dyDescent="0.3">
      <c r="A69" s="28" t="s">
        <v>62</v>
      </c>
      <c r="B69" s="57">
        <v>100000</v>
      </c>
      <c r="C69" s="55"/>
      <c r="D69" s="55"/>
      <c r="E69" s="55"/>
      <c r="F69" s="55"/>
      <c r="G69" s="55"/>
      <c r="H69" s="55"/>
      <c r="I69" s="55"/>
      <c r="J69" s="55"/>
      <c r="K69" s="55"/>
      <c r="L69" s="56"/>
    </row>
    <row r="70" spans="1:12" ht="14.25" customHeight="1" x14ac:dyDescent="0.3">
      <c r="A70" s="28" t="s">
        <v>63</v>
      </c>
      <c r="B70" s="57">
        <f>3000000+200000+450000+50000</f>
        <v>3700000</v>
      </c>
      <c r="C70" s="55"/>
      <c r="D70" s="55"/>
      <c r="E70" s="55"/>
      <c r="F70" s="55"/>
      <c r="G70" s="55"/>
      <c r="H70" s="55"/>
      <c r="I70" s="55"/>
      <c r="J70" s="55"/>
      <c r="K70" s="55"/>
      <c r="L70" s="56"/>
    </row>
    <row r="71" spans="1:12" ht="14.25" customHeight="1" x14ac:dyDescent="0.3">
      <c r="A71" s="28" t="s">
        <v>64</v>
      </c>
      <c r="B71" s="57">
        <f>300000+100000</f>
        <v>400000</v>
      </c>
      <c r="C71" s="55"/>
      <c r="D71" s="55"/>
      <c r="E71" s="55"/>
      <c r="F71" s="55"/>
      <c r="G71" s="55"/>
      <c r="H71" s="55"/>
      <c r="I71" s="55"/>
      <c r="J71" s="55"/>
      <c r="K71" s="55"/>
      <c r="L71" s="56"/>
    </row>
    <row r="72" spans="1:12" ht="14.25" customHeight="1" x14ac:dyDescent="0.3">
      <c r="A72" s="28" t="s">
        <v>65</v>
      </c>
      <c r="B72" s="57">
        <v>750000</v>
      </c>
      <c r="C72" s="55"/>
      <c r="D72" s="55"/>
      <c r="E72" s="55"/>
      <c r="F72" s="55"/>
      <c r="G72" s="55"/>
      <c r="H72" s="55"/>
      <c r="I72" s="55"/>
      <c r="J72" s="55"/>
      <c r="K72" s="55"/>
      <c r="L72" s="56"/>
    </row>
    <row r="73" spans="1:12" ht="14.25" customHeight="1" x14ac:dyDescent="0.3">
      <c r="A73" s="47" t="s">
        <v>66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6"/>
    </row>
    <row r="74" spans="1:12" ht="14.25" customHeight="1" x14ac:dyDescent="0.3">
      <c r="A74" s="28" t="s">
        <v>67</v>
      </c>
      <c r="B74" s="57">
        <v>0</v>
      </c>
      <c r="C74" s="55"/>
      <c r="D74" s="55"/>
      <c r="E74" s="55"/>
      <c r="F74" s="55"/>
      <c r="G74" s="55"/>
      <c r="H74" s="55"/>
      <c r="I74" s="55"/>
      <c r="J74" s="55"/>
      <c r="K74" s="55"/>
      <c r="L74" s="56"/>
    </row>
    <row r="75" spans="1:12" ht="14.25" customHeight="1" x14ac:dyDescent="0.3">
      <c r="A75" s="47" t="s">
        <v>21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6"/>
    </row>
    <row r="76" spans="1:12" ht="14.25" customHeight="1" x14ac:dyDescent="0.3">
      <c r="A76" s="28" t="s">
        <v>68</v>
      </c>
      <c r="B76" s="57">
        <f t="shared" ref="B76:L76" si="22">B63</f>
        <v>450000</v>
      </c>
      <c r="C76" s="57">
        <f t="shared" si="22"/>
        <v>250000</v>
      </c>
      <c r="D76" s="57">
        <f t="shared" si="22"/>
        <v>250000</v>
      </c>
      <c r="E76" s="57">
        <f t="shared" si="22"/>
        <v>250000</v>
      </c>
      <c r="F76" s="57">
        <f t="shared" si="22"/>
        <v>250000</v>
      </c>
      <c r="G76" s="57">
        <f t="shared" si="22"/>
        <v>250000</v>
      </c>
      <c r="H76" s="57">
        <f t="shared" si="22"/>
        <v>0</v>
      </c>
      <c r="I76" s="57">
        <f t="shared" si="22"/>
        <v>0</v>
      </c>
      <c r="J76" s="57">
        <f t="shared" si="22"/>
        <v>0</v>
      </c>
      <c r="K76" s="57">
        <f t="shared" si="22"/>
        <v>0</v>
      </c>
      <c r="L76" s="58">
        <f t="shared" si="22"/>
        <v>-1700000</v>
      </c>
    </row>
    <row r="77" spans="1:12" ht="15.75" customHeight="1" x14ac:dyDescent="0.3">
      <c r="A77" s="40" t="s">
        <v>69</v>
      </c>
      <c r="B77" s="59">
        <f t="shared" ref="B77:L77" si="23">SUM(B68:B76)</f>
        <v>5400000</v>
      </c>
      <c r="C77" s="59">
        <f t="shared" si="23"/>
        <v>250000</v>
      </c>
      <c r="D77" s="59">
        <f t="shared" si="23"/>
        <v>250000</v>
      </c>
      <c r="E77" s="59">
        <f t="shared" si="23"/>
        <v>250000</v>
      </c>
      <c r="F77" s="59">
        <f t="shared" si="23"/>
        <v>250000</v>
      </c>
      <c r="G77" s="59">
        <f t="shared" si="23"/>
        <v>250000</v>
      </c>
      <c r="H77" s="59">
        <f t="shared" si="23"/>
        <v>0</v>
      </c>
      <c r="I77" s="59">
        <f t="shared" si="23"/>
        <v>0</v>
      </c>
      <c r="J77" s="59">
        <f t="shared" si="23"/>
        <v>0</v>
      </c>
      <c r="K77" s="59">
        <f t="shared" si="23"/>
        <v>0</v>
      </c>
      <c r="L77" s="60">
        <f t="shared" si="23"/>
        <v>-1700000</v>
      </c>
    </row>
    <row r="78" spans="1:12" ht="14.25" customHeight="1" x14ac:dyDescent="0.3">
      <c r="B78" s="21"/>
    </row>
    <row r="79" spans="1:12" ht="14.25" customHeight="1" x14ac:dyDescent="0.3">
      <c r="A79" s="22" t="s">
        <v>70</v>
      </c>
      <c r="B79" s="24"/>
    </row>
    <row r="80" spans="1:12" ht="15.75" customHeight="1" x14ac:dyDescent="0.3">
      <c r="A80" s="23" t="s">
        <v>71</v>
      </c>
      <c r="B80" s="24"/>
    </row>
    <row r="81" spans="1:22" ht="14.25" customHeight="1" x14ac:dyDescent="0.3">
      <c r="A81" s="25" t="s">
        <v>36</v>
      </c>
      <c r="B81" s="26" t="s">
        <v>5</v>
      </c>
      <c r="C81" s="26" t="s">
        <v>6</v>
      </c>
      <c r="D81" s="26" t="s">
        <v>7</v>
      </c>
      <c r="E81" s="26" t="s">
        <v>8</v>
      </c>
      <c r="F81" s="26" t="s">
        <v>9</v>
      </c>
      <c r="G81" s="26" t="s">
        <v>10</v>
      </c>
      <c r="H81" s="26" t="s">
        <v>11</v>
      </c>
      <c r="I81" s="26" t="s">
        <v>12</v>
      </c>
      <c r="J81" s="26" t="s">
        <v>13</v>
      </c>
      <c r="K81" s="26" t="s">
        <v>14</v>
      </c>
      <c r="L81" s="27" t="s">
        <v>15</v>
      </c>
      <c r="R81" s="61" t="s">
        <v>72</v>
      </c>
      <c r="S81" s="62" t="s">
        <v>73</v>
      </c>
      <c r="T81" s="62" t="s">
        <v>74</v>
      </c>
      <c r="U81" s="62" t="s">
        <v>75</v>
      </c>
      <c r="V81" s="62" t="s">
        <v>76</v>
      </c>
    </row>
    <row r="82" spans="1:22" ht="14.25" customHeight="1" x14ac:dyDescent="0.3">
      <c r="A82" s="28" t="s">
        <v>77</v>
      </c>
      <c r="B82" s="55"/>
      <c r="C82" s="57">
        <f t="shared" ref="C82:L82" si="24">$V$82</f>
        <v>2500</v>
      </c>
      <c r="D82" s="57">
        <f t="shared" si="24"/>
        <v>2500</v>
      </c>
      <c r="E82" s="57">
        <f t="shared" si="24"/>
        <v>2500</v>
      </c>
      <c r="F82" s="57">
        <f t="shared" si="24"/>
        <v>2500</v>
      </c>
      <c r="G82" s="57">
        <f t="shared" si="24"/>
        <v>2500</v>
      </c>
      <c r="H82" s="57">
        <f t="shared" si="24"/>
        <v>2500</v>
      </c>
      <c r="I82" s="57">
        <f t="shared" si="24"/>
        <v>2500</v>
      </c>
      <c r="J82" s="57">
        <f t="shared" si="24"/>
        <v>2500</v>
      </c>
      <c r="K82" s="57">
        <f t="shared" si="24"/>
        <v>2500</v>
      </c>
      <c r="L82" s="57">
        <f t="shared" si="24"/>
        <v>2500</v>
      </c>
      <c r="R82" s="63" t="s">
        <v>78</v>
      </c>
      <c r="S82" s="15">
        <f>B69</f>
        <v>100000</v>
      </c>
      <c r="T82" s="64">
        <v>50000</v>
      </c>
      <c r="U82" s="65">
        <v>20</v>
      </c>
      <c r="V82" s="15">
        <f>(S82-T82)/U82</f>
        <v>2500</v>
      </c>
    </row>
    <row r="83" spans="1:22" ht="14.25" customHeight="1" x14ac:dyDescent="0.3">
      <c r="A83" s="28" t="s">
        <v>79</v>
      </c>
      <c r="B83" s="55"/>
      <c r="C83" s="57">
        <f t="shared" ref="C83:L83" si="25">$V$83+$V$84</f>
        <v>270000</v>
      </c>
      <c r="D83" s="57">
        <f t="shared" si="25"/>
        <v>270000</v>
      </c>
      <c r="E83" s="57">
        <f t="shared" si="25"/>
        <v>270000</v>
      </c>
      <c r="F83" s="57">
        <f t="shared" si="25"/>
        <v>270000</v>
      </c>
      <c r="G83" s="57">
        <f t="shared" si="25"/>
        <v>270000</v>
      </c>
      <c r="H83" s="57">
        <f t="shared" si="25"/>
        <v>270000</v>
      </c>
      <c r="I83" s="57">
        <f t="shared" si="25"/>
        <v>270000</v>
      </c>
      <c r="J83" s="57">
        <f t="shared" si="25"/>
        <v>270000</v>
      </c>
      <c r="K83" s="57">
        <f t="shared" si="25"/>
        <v>270000</v>
      </c>
      <c r="L83" s="57">
        <f t="shared" si="25"/>
        <v>270000</v>
      </c>
      <c r="R83" s="63" t="s">
        <v>80</v>
      </c>
      <c r="S83" s="15">
        <v>3000000</v>
      </c>
      <c r="T83" s="64">
        <v>1000000</v>
      </c>
      <c r="U83" s="66">
        <v>10</v>
      </c>
      <c r="V83" s="15">
        <f>(S83-T83)/U83</f>
        <v>200000</v>
      </c>
    </row>
    <row r="84" spans="1:22" ht="14.25" customHeight="1" x14ac:dyDescent="0.3">
      <c r="A84" s="28" t="s">
        <v>81</v>
      </c>
      <c r="B84" s="55"/>
      <c r="C84" s="57">
        <f>$V$85</f>
        <v>80000</v>
      </c>
      <c r="D84" s="57">
        <f>$V$85</f>
        <v>80000</v>
      </c>
      <c r="E84" s="57">
        <f>$V$85</f>
        <v>80000</v>
      </c>
      <c r="F84" s="57">
        <f>$V$85</f>
        <v>80000</v>
      </c>
      <c r="G84" s="57">
        <f>$V$85</f>
        <v>80000</v>
      </c>
      <c r="H84" s="57">
        <v>0</v>
      </c>
      <c r="I84" s="57">
        <v>0</v>
      </c>
      <c r="J84" s="57">
        <v>0</v>
      </c>
      <c r="K84" s="57">
        <v>0</v>
      </c>
      <c r="L84" s="57">
        <v>0</v>
      </c>
      <c r="R84" s="63" t="s">
        <v>82</v>
      </c>
      <c r="S84" s="67">
        <f>B70-S83</f>
        <v>700000</v>
      </c>
      <c r="T84" s="63">
        <v>0</v>
      </c>
      <c r="U84" s="65">
        <v>10</v>
      </c>
      <c r="V84" s="15">
        <f>(S84-T84)/U84</f>
        <v>70000</v>
      </c>
    </row>
    <row r="85" spans="1:22" ht="14.25" customHeight="1" x14ac:dyDescent="0.3">
      <c r="A85" s="68" t="s">
        <v>83</v>
      </c>
      <c r="B85" s="69"/>
      <c r="C85" s="70">
        <f t="shared" ref="C85:L85" si="26">SUM(C82:C84)</f>
        <v>352500</v>
      </c>
      <c r="D85" s="70">
        <f t="shared" si="26"/>
        <v>352500</v>
      </c>
      <c r="E85" s="70">
        <f t="shared" si="26"/>
        <v>352500</v>
      </c>
      <c r="F85" s="70">
        <f t="shared" si="26"/>
        <v>352500</v>
      </c>
      <c r="G85" s="70">
        <f t="shared" si="26"/>
        <v>352500</v>
      </c>
      <c r="H85" s="70">
        <f t="shared" si="26"/>
        <v>272500</v>
      </c>
      <c r="I85" s="70">
        <f t="shared" si="26"/>
        <v>272500</v>
      </c>
      <c r="J85" s="70">
        <f t="shared" si="26"/>
        <v>272500</v>
      </c>
      <c r="K85" s="70">
        <f t="shared" si="26"/>
        <v>272500</v>
      </c>
      <c r="L85" s="70">
        <f t="shared" si="26"/>
        <v>272500</v>
      </c>
      <c r="R85" s="63" t="s">
        <v>84</v>
      </c>
      <c r="S85" s="15">
        <f>B71</f>
        <v>400000</v>
      </c>
      <c r="T85" s="64">
        <v>0</v>
      </c>
      <c r="U85" s="66">
        <v>5</v>
      </c>
      <c r="V85" s="15">
        <f>(S85-T85)/U85</f>
        <v>80000</v>
      </c>
    </row>
    <row r="86" spans="1:22" ht="14.25" customHeight="1" x14ac:dyDescent="0.3">
      <c r="A86" s="71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6"/>
      <c r="S86" s="72">
        <f>SUM(S82:S85)</f>
        <v>4200000</v>
      </c>
    </row>
    <row r="87" spans="1:22" ht="14.25" customHeight="1" x14ac:dyDescent="0.3">
      <c r="A87" s="28" t="s">
        <v>85</v>
      </c>
      <c r="B87" s="55"/>
      <c r="C87" s="57">
        <f t="shared" ref="C87:L87" si="27">$B$74/10</f>
        <v>0</v>
      </c>
      <c r="D87" s="57">
        <f t="shared" si="27"/>
        <v>0</v>
      </c>
      <c r="E87" s="57">
        <f t="shared" si="27"/>
        <v>0</v>
      </c>
      <c r="F87" s="57">
        <f t="shared" si="27"/>
        <v>0</v>
      </c>
      <c r="G87" s="57">
        <f t="shared" si="27"/>
        <v>0</v>
      </c>
      <c r="H87" s="57">
        <f t="shared" si="27"/>
        <v>0</v>
      </c>
      <c r="I87" s="57">
        <f t="shared" si="27"/>
        <v>0</v>
      </c>
      <c r="J87" s="57">
        <f t="shared" si="27"/>
        <v>0</v>
      </c>
      <c r="K87" s="57">
        <f t="shared" si="27"/>
        <v>0</v>
      </c>
      <c r="L87" s="73">
        <f t="shared" si="27"/>
        <v>0</v>
      </c>
      <c r="O87" s="74"/>
    </row>
    <row r="88" spans="1:22" ht="15.75" customHeight="1" x14ac:dyDescent="0.3">
      <c r="A88" s="40" t="s">
        <v>86</v>
      </c>
      <c r="B88" s="75"/>
      <c r="C88" s="59">
        <f t="shared" ref="C88:L88" si="28">SUM(C87)</f>
        <v>0</v>
      </c>
      <c r="D88" s="59">
        <f t="shared" si="28"/>
        <v>0</v>
      </c>
      <c r="E88" s="59">
        <f t="shared" si="28"/>
        <v>0</v>
      </c>
      <c r="F88" s="59">
        <f t="shared" si="28"/>
        <v>0</v>
      </c>
      <c r="G88" s="59">
        <f t="shared" si="28"/>
        <v>0</v>
      </c>
      <c r="H88" s="59">
        <f t="shared" si="28"/>
        <v>0</v>
      </c>
      <c r="I88" s="59">
        <f t="shared" si="28"/>
        <v>0</v>
      </c>
      <c r="J88" s="59">
        <f t="shared" si="28"/>
        <v>0</v>
      </c>
      <c r="K88" s="59">
        <f t="shared" si="28"/>
        <v>0</v>
      </c>
      <c r="L88" s="60">
        <f t="shared" si="28"/>
        <v>0</v>
      </c>
      <c r="O88" s="74"/>
    </row>
    <row r="89" spans="1:22" ht="14.25" customHeight="1" x14ac:dyDescent="0.3">
      <c r="B89" s="21"/>
    </row>
    <row r="90" spans="1:22" ht="14.25" customHeight="1" x14ac:dyDescent="0.3">
      <c r="A90" s="22" t="s">
        <v>87</v>
      </c>
      <c r="B90" s="24"/>
    </row>
    <row r="91" spans="1:22" ht="15.75" customHeight="1" x14ac:dyDescent="0.3">
      <c r="A91" s="23" t="s">
        <v>88</v>
      </c>
      <c r="B91" s="24"/>
    </row>
    <row r="92" spans="1:22" ht="14.25" customHeight="1" x14ac:dyDescent="0.3">
      <c r="A92" s="161" t="s">
        <v>36</v>
      </c>
      <c r="B92" s="76" t="s">
        <v>89</v>
      </c>
      <c r="C92" s="162" t="s">
        <v>90</v>
      </c>
      <c r="D92" s="162"/>
      <c r="E92" s="162"/>
      <c r="F92" s="162"/>
      <c r="G92" s="162"/>
      <c r="H92" s="162"/>
      <c r="I92" s="162"/>
      <c r="J92" s="162"/>
      <c r="K92" s="162"/>
      <c r="L92" s="162"/>
      <c r="M92" s="77" t="s">
        <v>91</v>
      </c>
    </row>
    <row r="93" spans="1:22" ht="14.25" customHeight="1" x14ac:dyDescent="0.3">
      <c r="A93" s="161"/>
      <c r="B93" s="62" t="s">
        <v>92</v>
      </c>
      <c r="C93" s="78" t="s">
        <v>6</v>
      </c>
      <c r="D93" s="78" t="s">
        <v>7</v>
      </c>
      <c r="E93" s="78" t="s">
        <v>8</v>
      </c>
      <c r="F93" s="78" t="s">
        <v>9</v>
      </c>
      <c r="G93" s="78" t="s">
        <v>10</v>
      </c>
      <c r="H93" s="78" t="s">
        <v>11</v>
      </c>
      <c r="I93" s="78" t="s">
        <v>12</v>
      </c>
      <c r="J93" s="78" t="s">
        <v>13</v>
      </c>
      <c r="K93" s="78" t="s">
        <v>14</v>
      </c>
      <c r="L93" s="78" t="s">
        <v>15</v>
      </c>
      <c r="M93" s="79" t="s">
        <v>93</v>
      </c>
    </row>
    <row r="94" spans="1:22" ht="14.25" customHeight="1" x14ac:dyDescent="0.3">
      <c r="A94" s="28" t="s">
        <v>77</v>
      </c>
      <c r="B94" s="57">
        <f>B69</f>
        <v>100000</v>
      </c>
      <c r="C94" s="57">
        <f t="shared" ref="C94:L94" si="29">C82</f>
        <v>2500</v>
      </c>
      <c r="D94" s="57">
        <f t="shared" si="29"/>
        <v>2500</v>
      </c>
      <c r="E94" s="57">
        <f t="shared" si="29"/>
        <v>2500</v>
      </c>
      <c r="F94" s="57">
        <f t="shared" si="29"/>
        <v>2500</v>
      </c>
      <c r="G94" s="57">
        <f t="shared" si="29"/>
        <v>2500</v>
      </c>
      <c r="H94" s="57">
        <f t="shared" si="29"/>
        <v>2500</v>
      </c>
      <c r="I94" s="57">
        <f t="shared" si="29"/>
        <v>2500</v>
      </c>
      <c r="J94" s="57">
        <f t="shared" si="29"/>
        <v>2500</v>
      </c>
      <c r="K94" s="57">
        <f t="shared" si="29"/>
        <v>2500</v>
      </c>
      <c r="L94" s="57">
        <f t="shared" si="29"/>
        <v>2500</v>
      </c>
      <c r="M94" s="73">
        <f>B94-SUM(C94:L94)</f>
        <v>75000</v>
      </c>
    </row>
    <row r="95" spans="1:22" ht="14.25" customHeight="1" x14ac:dyDescent="0.3">
      <c r="A95" s="28" t="s">
        <v>79</v>
      </c>
      <c r="B95" s="57">
        <f>B70</f>
        <v>3700000</v>
      </c>
      <c r="C95" s="57">
        <f t="shared" ref="C95:L95" si="30">C83</f>
        <v>270000</v>
      </c>
      <c r="D95" s="57">
        <f t="shared" si="30"/>
        <v>270000</v>
      </c>
      <c r="E95" s="57">
        <f t="shared" si="30"/>
        <v>270000</v>
      </c>
      <c r="F95" s="57">
        <f t="shared" si="30"/>
        <v>270000</v>
      </c>
      <c r="G95" s="57">
        <f t="shared" si="30"/>
        <v>270000</v>
      </c>
      <c r="H95" s="57">
        <f t="shared" si="30"/>
        <v>270000</v>
      </c>
      <c r="I95" s="57">
        <f t="shared" si="30"/>
        <v>270000</v>
      </c>
      <c r="J95" s="57">
        <f t="shared" si="30"/>
        <v>270000</v>
      </c>
      <c r="K95" s="57">
        <f t="shared" si="30"/>
        <v>270000</v>
      </c>
      <c r="L95" s="57">
        <f t="shared" si="30"/>
        <v>270000</v>
      </c>
      <c r="M95" s="73">
        <f>B95-SUM(C95:L95)</f>
        <v>1000000</v>
      </c>
    </row>
    <row r="96" spans="1:22" ht="14.25" customHeight="1" x14ac:dyDescent="0.3">
      <c r="A96" s="28" t="s">
        <v>81</v>
      </c>
      <c r="B96" s="57">
        <f>B71</f>
        <v>400000</v>
      </c>
      <c r="C96" s="57">
        <f t="shared" ref="C96:L96" si="31">C84</f>
        <v>80000</v>
      </c>
      <c r="D96" s="57">
        <f t="shared" si="31"/>
        <v>80000</v>
      </c>
      <c r="E96" s="57">
        <f t="shared" si="31"/>
        <v>80000</v>
      </c>
      <c r="F96" s="57">
        <f t="shared" si="31"/>
        <v>80000</v>
      </c>
      <c r="G96" s="57">
        <f t="shared" si="31"/>
        <v>80000</v>
      </c>
      <c r="H96" s="57">
        <f t="shared" si="31"/>
        <v>0</v>
      </c>
      <c r="I96" s="57">
        <f t="shared" si="31"/>
        <v>0</v>
      </c>
      <c r="J96" s="57">
        <f t="shared" si="31"/>
        <v>0</v>
      </c>
      <c r="K96" s="57">
        <f t="shared" si="31"/>
        <v>0</v>
      </c>
      <c r="L96" s="57">
        <f t="shared" si="31"/>
        <v>0</v>
      </c>
      <c r="M96" s="73">
        <f>B96-SUM(C96:L96)</f>
        <v>0</v>
      </c>
    </row>
    <row r="97" spans="1:13" ht="15.75" customHeight="1" x14ac:dyDescent="0.3">
      <c r="A97" s="80" t="s">
        <v>85</v>
      </c>
      <c r="B97" s="81">
        <f>B74</f>
        <v>0</v>
      </c>
      <c r="C97" s="81">
        <f t="shared" ref="C97:L97" si="32">C87</f>
        <v>0</v>
      </c>
      <c r="D97" s="81">
        <f t="shared" si="32"/>
        <v>0</v>
      </c>
      <c r="E97" s="81">
        <f t="shared" si="32"/>
        <v>0</v>
      </c>
      <c r="F97" s="81">
        <f t="shared" si="32"/>
        <v>0</v>
      </c>
      <c r="G97" s="81">
        <f t="shared" si="32"/>
        <v>0</v>
      </c>
      <c r="H97" s="81">
        <f t="shared" si="32"/>
        <v>0</v>
      </c>
      <c r="I97" s="81">
        <f t="shared" si="32"/>
        <v>0</v>
      </c>
      <c r="J97" s="81">
        <f t="shared" si="32"/>
        <v>0</v>
      </c>
      <c r="K97" s="81">
        <f t="shared" si="32"/>
        <v>0</v>
      </c>
      <c r="L97" s="81">
        <f t="shared" si="32"/>
        <v>0</v>
      </c>
      <c r="M97" s="82">
        <f>B97-SUM(C97:L97)</f>
        <v>0</v>
      </c>
    </row>
    <row r="98" spans="1:13" ht="15.75" customHeight="1" x14ac:dyDescent="0.3">
      <c r="A98" s="163" t="s">
        <v>94</v>
      </c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83">
        <f>SUM(M94:M97)</f>
        <v>1075000</v>
      </c>
    </row>
    <row r="99" spans="1:13" ht="14.25" customHeight="1" x14ac:dyDescent="0.3">
      <c r="B99" s="21"/>
    </row>
    <row r="100" spans="1:13" ht="14.25" customHeight="1" x14ac:dyDescent="0.3">
      <c r="A100" s="22" t="s">
        <v>95</v>
      </c>
      <c r="B100" s="24"/>
    </row>
    <row r="101" spans="1:13" ht="15.75" customHeight="1" x14ac:dyDescent="0.3">
      <c r="A101" s="44" t="s">
        <v>96</v>
      </c>
      <c r="B101" s="42"/>
      <c r="C101" s="43"/>
      <c r="D101" s="43"/>
      <c r="E101" s="43"/>
    </row>
    <row r="102" spans="1:13" ht="14.25" customHeight="1" x14ac:dyDescent="0.3">
      <c r="A102" s="84" t="s">
        <v>97</v>
      </c>
      <c r="B102" s="85">
        <f>B77*E102</f>
        <v>2700000</v>
      </c>
      <c r="C102" s="86"/>
      <c r="D102" s="43"/>
      <c r="E102" s="87">
        <v>0.5</v>
      </c>
    </row>
    <row r="103" spans="1:13" ht="14.25" customHeight="1" x14ac:dyDescent="0.3">
      <c r="A103" s="28" t="s">
        <v>98</v>
      </c>
      <c r="B103" s="88">
        <f>B22</f>
        <v>0.1</v>
      </c>
      <c r="C103" s="89"/>
      <c r="D103" s="43"/>
      <c r="E103" s="43"/>
    </row>
    <row r="104" spans="1:13" ht="14.25" customHeight="1" x14ac:dyDescent="0.3">
      <c r="A104" s="28" t="s">
        <v>99</v>
      </c>
      <c r="B104" s="90">
        <v>7</v>
      </c>
      <c r="C104" s="91" t="s">
        <v>100</v>
      </c>
      <c r="D104" s="43"/>
      <c r="E104" s="43"/>
    </row>
    <row r="105" spans="1:13" ht="15.75" customHeight="1" x14ac:dyDescent="0.3">
      <c r="A105" s="92" t="s">
        <v>101</v>
      </c>
      <c r="B105" s="159" t="s">
        <v>102</v>
      </c>
      <c r="C105" s="159"/>
      <c r="D105" s="43"/>
      <c r="E105" s="43"/>
    </row>
    <row r="106" spans="1:13" ht="15.75" customHeight="1" x14ac:dyDescent="0.3">
      <c r="A106" s="43"/>
      <c r="B106" s="42"/>
      <c r="C106" s="43"/>
      <c r="D106" s="43"/>
      <c r="E106" s="43"/>
    </row>
    <row r="107" spans="1:13" ht="14.25" customHeight="1" x14ac:dyDescent="0.3">
      <c r="A107" s="25" t="s">
        <v>36</v>
      </c>
      <c r="B107" s="26" t="s">
        <v>5</v>
      </c>
      <c r="C107" s="26" t="s">
        <v>6</v>
      </c>
      <c r="D107" s="26" t="s">
        <v>7</v>
      </c>
      <c r="E107" s="26" t="s">
        <v>8</v>
      </c>
      <c r="F107" s="26" t="s">
        <v>9</v>
      </c>
      <c r="G107" s="26" t="s">
        <v>10</v>
      </c>
      <c r="H107" s="26" t="s">
        <v>11</v>
      </c>
      <c r="I107" s="26" t="s">
        <v>12</v>
      </c>
    </row>
    <row r="108" spans="1:13" ht="14.25" customHeight="1" x14ac:dyDescent="0.3">
      <c r="A108" s="28" t="s">
        <v>103</v>
      </c>
      <c r="B108" s="57">
        <f>B102</f>
        <v>2700000</v>
      </c>
      <c r="C108" s="57">
        <f t="shared" ref="C108:I108" si="33">B108-C111</f>
        <v>2314285.7142857141</v>
      </c>
      <c r="D108" s="57">
        <f t="shared" si="33"/>
        <v>1928571.4285714284</v>
      </c>
      <c r="E108" s="57">
        <f t="shared" si="33"/>
        <v>1542857.1428571427</v>
      </c>
      <c r="F108" s="57">
        <f t="shared" si="33"/>
        <v>1157142.857142857</v>
      </c>
      <c r="G108" s="57">
        <f t="shared" si="33"/>
        <v>771428.57142857136</v>
      </c>
      <c r="H108" s="57">
        <f t="shared" si="33"/>
        <v>385714.28571428562</v>
      </c>
      <c r="I108" s="57">
        <f t="shared" si="33"/>
        <v>0</v>
      </c>
    </row>
    <row r="109" spans="1:13" ht="14.25" customHeight="1" x14ac:dyDescent="0.3">
      <c r="A109" s="28" t="s">
        <v>104</v>
      </c>
      <c r="B109" s="55"/>
      <c r="C109" s="57">
        <f t="shared" ref="C109:I109" si="34">C110+C111</f>
        <v>655714.28571428568</v>
      </c>
      <c r="D109" s="57">
        <f t="shared" si="34"/>
        <v>617142.85714285716</v>
      </c>
      <c r="E109" s="57">
        <f t="shared" si="34"/>
        <v>578571.42857142864</v>
      </c>
      <c r="F109" s="57">
        <f t="shared" si="34"/>
        <v>540000</v>
      </c>
      <c r="G109" s="57">
        <f t="shared" si="34"/>
        <v>501428.57142857148</v>
      </c>
      <c r="H109" s="57">
        <f t="shared" si="34"/>
        <v>462857.1428571429</v>
      </c>
      <c r="I109" s="57">
        <f t="shared" si="34"/>
        <v>424285.71428571432</v>
      </c>
    </row>
    <row r="110" spans="1:13" ht="14.25" customHeight="1" x14ac:dyDescent="0.3">
      <c r="A110" s="28" t="s">
        <v>105</v>
      </c>
      <c r="B110" s="55"/>
      <c r="C110" s="57">
        <f t="shared" ref="C110:I110" si="35">B108*$B$103</f>
        <v>270000</v>
      </c>
      <c r="D110" s="57">
        <f t="shared" si="35"/>
        <v>231428.57142857142</v>
      </c>
      <c r="E110" s="57">
        <f t="shared" si="35"/>
        <v>192857.14285714284</v>
      </c>
      <c r="F110" s="57">
        <f t="shared" si="35"/>
        <v>154285.71428571429</v>
      </c>
      <c r="G110" s="57">
        <f t="shared" si="35"/>
        <v>115714.28571428571</v>
      </c>
      <c r="H110" s="57">
        <f t="shared" si="35"/>
        <v>77142.857142857145</v>
      </c>
      <c r="I110" s="57">
        <f t="shared" si="35"/>
        <v>38571.428571428565</v>
      </c>
    </row>
    <row r="111" spans="1:13" ht="15.75" customHeight="1" x14ac:dyDescent="0.3">
      <c r="A111" s="92" t="s">
        <v>106</v>
      </c>
      <c r="B111" s="93"/>
      <c r="C111" s="81">
        <f t="shared" ref="C111:I111" si="36">$B$102/$B$104</f>
        <v>385714.28571428574</v>
      </c>
      <c r="D111" s="81">
        <f t="shared" si="36"/>
        <v>385714.28571428574</v>
      </c>
      <c r="E111" s="81">
        <f t="shared" si="36"/>
        <v>385714.28571428574</v>
      </c>
      <c r="F111" s="81">
        <f t="shared" si="36"/>
        <v>385714.28571428574</v>
      </c>
      <c r="G111" s="81">
        <f t="shared" si="36"/>
        <v>385714.28571428574</v>
      </c>
      <c r="H111" s="81">
        <f t="shared" si="36"/>
        <v>385714.28571428574</v>
      </c>
      <c r="I111" s="81">
        <f t="shared" si="36"/>
        <v>385714.28571428574</v>
      </c>
    </row>
    <row r="112" spans="1:13" ht="14.25" customHeight="1" x14ac:dyDescent="0.3">
      <c r="B112" s="21"/>
    </row>
    <row r="113" spans="1:12" ht="14.25" customHeight="1" x14ac:dyDescent="0.3">
      <c r="A113" s="22" t="s">
        <v>107</v>
      </c>
      <c r="B113" s="24"/>
    </row>
    <row r="114" spans="1:12" ht="15.75" customHeight="1" x14ac:dyDescent="0.3">
      <c r="A114" s="4" t="s">
        <v>108</v>
      </c>
      <c r="B114" s="24"/>
    </row>
    <row r="115" spans="1:12" ht="14.25" customHeight="1" x14ac:dyDescent="0.3">
      <c r="A115" s="25" t="s">
        <v>36</v>
      </c>
      <c r="B115" s="26" t="s">
        <v>5</v>
      </c>
      <c r="C115" s="26" t="s">
        <v>6</v>
      </c>
      <c r="D115" s="26" t="s">
        <v>7</v>
      </c>
      <c r="E115" s="26" t="s">
        <v>8</v>
      </c>
      <c r="F115" s="26" t="s">
        <v>9</v>
      </c>
      <c r="G115" s="26" t="s">
        <v>10</v>
      </c>
      <c r="H115" s="26" t="s">
        <v>11</v>
      </c>
      <c r="I115" s="26" t="s">
        <v>12</v>
      </c>
      <c r="J115" s="26" t="s">
        <v>13</v>
      </c>
      <c r="K115" s="26" t="s">
        <v>14</v>
      </c>
      <c r="L115" s="27" t="s">
        <v>15</v>
      </c>
    </row>
    <row r="116" spans="1:12" ht="14.25" customHeight="1" x14ac:dyDescent="0.3">
      <c r="A116" s="94" t="s">
        <v>109</v>
      </c>
      <c r="B116" s="95"/>
      <c r="C116" s="96">
        <f t="shared" ref="C116:L116" si="37">C33</f>
        <v>2756250</v>
      </c>
      <c r="D116" s="96">
        <f t="shared" si="37"/>
        <v>4246830</v>
      </c>
      <c r="E116" s="96">
        <f t="shared" si="37"/>
        <v>5301459.45</v>
      </c>
      <c r="F116" s="96">
        <f t="shared" si="37"/>
        <v>6482927.5559999999</v>
      </c>
      <c r="G116" s="96">
        <f t="shared" si="37"/>
        <v>7803824.045535001</v>
      </c>
      <c r="H116" s="96">
        <f t="shared" si="37"/>
        <v>8350091.7287224513</v>
      </c>
      <c r="I116" s="96">
        <f t="shared" si="37"/>
        <v>8934598.1497330219</v>
      </c>
      <c r="J116" s="96">
        <f t="shared" si="37"/>
        <v>9560020.0202143341</v>
      </c>
      <c r="K116" s="96">
        <f t="shared" si="37"/>
        <v>10229221.421629338</v>
      </c>
      <c r="L116" s="97">
        <f t="shared" si="37"/>
        <v>10945266.92114339</v>
      </c>
    </row>
    <row r="117" spans="1:12" ht="14.25" customHeight="1" x14ac:dyDescent="0.3">
      <c r="A117" s="98" t="s">
        <v>110</v>
      </c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7">
        <f>B19</f>
        <v>1250000</v>
      </c>
    </row>
    <row r="118" spans="1:12" ht="14.25" customHeight="1" x14ac:dyDescent="0.3">
      <c r="A118" s="94" t="s">
        <v>111</v>
      </c>
      <c r="B118" s="95"/>
      <c r="C118" s="96">
        <f t="shared" ref="C118:L118" si="38">SUM(C119:C121)</f>
        <v>1852187.5</v>
      </c>
      <c r="D118" s="96">
        <f t="shared" si="38"/>
        <v>2551563.0714285714</v>
      </c>
      <c r="E118" s="96">
        <f t="shared" si="38"/>
        <v>3041454.2103571426</v>
      </c>
      <c r="F118" s="96">
        <f t="shared" si="38"/>
        <v>3593961.4496857142</v>
      </c>
      <c r="G118" s="96">
        <f t="shared" si="38"/>
        <v>4215261.5768895354</v>
      </c>
      <c r="H118" s="96">
        <f t="shared" si="38"/>
        <v>4463658.4587003747</v>
      </c>
      <c r="I118" s="96">
        <f t="shared" si="38"/>
        <v>4732143.1222379729</v>
      </c>
      <c r="J118" s="96">
        <f t="shared" si="38"/>
        <v>5022121.7122232029</v>
      </c>
      <c r="K118" s="96">
        <f t="shared" si="38"/>
        <v>5373670.2320788261</v>
      </c>
      <c r="L118" s="97">
        <f t="shared" si="38"/>
        <v>5749827.1483243443</v>
      </c>
    </row>
    <row r="119" spans="1:12" ht="14.25" customHeight="1" x14ac:dyDescent="0.3">
      <c r="A119" s="99" t="s">
        <v>112</v>
      </c>
      <c r="B119" s="100"/>
      <c r="C119" s="15">
        <f t="shared" ref="C119:L119" si="39">C39</f>
        <v>1332187.5</v>
      </c>
      <c r="D119" s="15">
        <f t="shared" si="39"/>
        <v>2052634.4999999998</v>
      </c>
      <c r="E119" s="15">
        <f t="shared" si="39"/>
        <v>2562372.0674999999</v>
      </c>
      <c r="F119" s="15">
        <f t="shared" si="39"/>
        <v>3133414.9854000001</v>
      </c>
      <c r="G119" s="15">
        <f t="shared" si="39"/>
        <v>3771848.28867525</v>
      </c>
      <c r="H119" s="15">
        <f t="shared" si="39"/>
        <v>4035877.6688825176</v>
      </c>
      <c r="I119" s="15">
        <f t="shared" si="39"/>
        <v>4318389.1057042945</v>
      </c>
      <c r="J119" s="15">
        <f t="shared" si="39"/>
        <v>4620676.3431035951</v>
      </c>
      <c r="K119" s="15">
        <f t="shared" si="39"/>
        <v>4944123.6871208465</v>
      </c>
      <c r="L119" s="101">
        <f t="shared" si="39"/>
        <v>5290212.3452193057</v>
      </c>
    </row>
    <row r="120" spans="1:12" ht="14.25" customHeight="1" x14ac:dyDescent="0.3">
      <c r="A120" s="99" t="s">
        <v>113</v>
      </c>
      <c r="B120" s="100"/>
      <c r="C120" s="15">
        <f t="shared" ref="C120:L120" si="40">C46</f>
        <v>250000</v>
      </c>
      <c r="D120" s="15">
        <f t="shared" si="40"/>
        <v>267500</v>
      </c>
      <c r="E120" s="15">
        <f t="shared" si="40"/>
        <v>286225</v>
      </c>
      <c r="F120" s="15">
        <f t="shared" si="40"/>
        <v>306260.75</v>
      </c>
      <c r="G120" s="15">
        <f t="shared" si="40"/>
        <v>327699.0025</v>
      </c>
      <c r="H120" s="15">
        <f t="shared" si="40"/>
        <v>350637.93267499999</v>
      </c>
      <c r="I120" s="15">
        <f t="shared" si="40"/>
        <v>375182.58796224999</v>
      </c>
      <c r="J120" s="15">
        <f t="shared" si="40"/>
        <v>401445.36911960749</v>
      </c>
      <c r="K120" s="15">
        <f t="shared" si="40"/>
        <v>429546.54495797999</v>
      </c>
      <c r="L120" s="101">
        <f t="shared" si="40"/>
        <v>459614.80310503859</v>
      </c>
    </row>
    <row r="121" spans="1:12" ht="14.25" customHeight="1" x14ac:dyDescent="0.3">
      <c r="A121" s="99" t="s">
        <v>114</v>
      </c>
      <c r="B121" s="100"/>
      <c r="C121" s="15">
        <f t="shared" ref="C121:L121" si="41">C110</f>
        <v>270000</v>
      </c>
      <c r="D121" s="15">
        <f t="shared" si="41"/>
        <v>231428.57142857142</v>
      </c>
      <c r="E121" s="15">
        <f t="shared" si="41"/>
        <v>192857.14285714284</v>
      </c>
      <c r="F121" s="15">
        <f t="shared" si="41"/>
        <v>154285.71428571429</v>
      </c>
      <c r="G121" s="15">
        <f t="shared" si="41"/>
        <v>115714.28571428571</v>
      </c>
      <c r="H121" s="15">
        <f t="shared" si="41"/>
        <v>77142.857142857145</v>
      </c>
      <c r="I121" s="15">
        <f t="shared" si="41"/>
        <v>38571.428571428565</v>
      </c>
      <c r="J121" s="15">
        <f t="shared" si="41"/>
        <v>0</v>
      </c>
      <c r="K121" s="15">
        <f t="shared" si="41"/>
        <v>0</v>
      </c>
      <c r="L121" s="101">
        <f t="shared" si="41"/>
        <v>0</v>
      </c>
    </row>
    <row r="122" spans="1:12" ht="14.25" customHeight="1" x14ac:dyDescent="0.3">
      <c r="A122" s="94" t="s">
        <v>115</v>
      </c>
      <c r="B122" s="95"/>
      <c r="C122" s="96">
        <f t="shared" ref="C122:L122" si="42">SUM(C123:C124)</f>
        <v>352500</v>
      </c>
      <c r="D122" s="96">
        <f t="shared" si="42"/>
        <v>352500</v>
      </c>
      <c r="E122" s="96">
        <f t="shared" si="42"/>
        <v>352500</v>
      </c>
      <c r="F122" s="96">
        <f t="shared" si="42"/>
        <v>352500</v>
      </c>
      <c r="G122" s="96">
        <f t="shared" si="42"/>
        <v>352500</v>
      </c>
      <c r="H122" s="96">
        <f t="shared" si="42"/>
        <v>272500</v>
      </c>
      <c r="I122" s="96">
        <f t="shared" si="42"/>
        <v>272500</v>
      </c>
      <c r="J122" s="96">
        <f t="shared" si="42"/>
        <v>272500</v>
      </c>
      <c r="K122" s="96">
        <f t="shared" si="42"/>
        <v>272500</v>
      </c>
      <c r="L122" s="97">
        <f t="shared" si="42"/>
        <v>272500</v>
      </c>
    </row>
    <row r="123" spans="1:12" ht="14.25" customHeight="1" x14ac:dyDescent="0.3">
      <c r="A123" s="99" t="s">
        <v>116</v>
      </c>
      <c r="B123" s="100"/>
      <c r="C123" s="15">
        <f t="shared" ref="C123:L123" si="43">C85</f>
        <v>352500</v>
      </c>
      <c r="D123" s="15">
        <f t="shared" si="43"/>
        <v>352500</v>
      </c>
      <c r="E123" s="15">
        <f t="shared" si="43"/>
        <v>352500</v>
      </c>
      <c r="F123" s="15">
        <f t="shared" si="43"/>
        <v>352500</v>
      </c>
      <c r="G123" s="15">
        <f t="shared" si="43"/>
        <v>352500</v>
      </c>
      <c r="H123" s="15">
        <f t="shared" si="43"/>
        <v>272500</v>
      </c>
      <c r="I123" s="15">
        <f t="shared" si="43"/>
        <v>272500</v>
      </c>
      <c r="J123" s="15">
        <f t="shared" si="43"/>
        <v>272500</v>
      </c>
      <c r="K123" s="15">
        <f t="shared" si="43"/>
        <v>272500</v>
      </c>
      <c r="L123" s="101">
        <f t="shared" si="43"/>
        <v>272500</v>
      </c>
    </row>
    <row r="124" spans="1:12" ht="14.25" customHeight="1" x14ac:dyDescent="0.3">
      <c r="A124" s="99" t="s">
        <v>117</v>
      </c>
      <c r="B124" s="100"/>
      <c r="C124" s="15">
        <f t="shared" ref="C124:L124" si="44">C87</f>
        <v>0</v>
      </c>
      <c r="D124" s="15">
        <f t="shared" si="44"/>
        <v>0</v>
      </c>
      <c r="E124" s="15">
        <f t="shared" si="44"/>
        <v>0</v>
      </c>
      <c r="F124" s="15">
        <f t="shared" si="44"/>
        <v>0</v>
      </c>
      <c r="G124" s="15">
        <f t="shared" si="44"/>
        <v>0</v>
      </c>
      <c r="H124" s="15">
        <f t="shared" si="44"/>
        <v>0</v>
      </c>
      <c r="I124" s="15">
        <f t="shared" si="44"/>
        <v>0</v>
      </c>
      <c r="J124" s="15">
        <f t="shared" si="44"/>
        <v>0</v>
      </c>
      <c r="K124" s="15">
        <f t="shared" si="44"/>
        <v>0</v>
      </c>
      <c r="L124" s="101">
        <f t="shared" si="44"/>
        <v>0</v>
      </c>
    </row>
    <row r="125" spans="1:12" ht="14.25" customHeight="1" x14ac:dyDescent="0.3">
      <c r="A125" s="94" t="s">
        <v>118</v>
      </c>
      <c r="B125" s="95"/>
      <c r="C125" s="96">
        <f t="shared" ref="C125:L125" si="45">C116+C117-C118-C122</f>
        <v>551562.5</v>
      </c>
      <c r="D125" s="96">
        <f t="shared" si="45"/>
        <v>1342766.9285714286</v>
      </c>
      <c r="E125" s="96">
        <f t="shared" si="45"/>
        <v>1907505.2396428576</v>
      </c>
      <c r="F125" s="96">
        <f t="shared" si="45"/>
        <v>2536466.1063142857</v>
      </c>
      <c r="G125" s="96">
        <f t="shared" si="45"/>
        <v>3236062.4686454656</v>
      </c>
      <c r="H125" s="96">
        <f t="shared" si="45"/>
        <v>3613933.2700220766</v>
      </c>
      <c r="I125" s="96">
        <f t="shared" si="45"/>
        <v>3929955.0274950489</v>
      </c>
      <c r="J125" s="96">
        <f t="shared" si="45"/>
        <v>4265398.3079911312</v>
      </c>
      <c r="K125" s="96">
        <f t="shared" si="45"/>
        <v>4583051.1895505115</v>
      </c>
      <c r="L125" s="96">
        <f t="shared" si="45"/>
        <v>6172939.7728190459</v>
      </c>
    </row>
    <row r="126" spans="1:12" ht="14.25" customHeight="1" x14ac:dyDescent="0.3">
      <c r="A126" s="99" t="s">
        <v>119</v>
      </c>
      <c r="B126" s="100"/>
      <c r="C126" s="10">
        <f t="shared" ref="C126:L126" si="46">C125*$B$26</f>
        <v>165468.75</v>
      </c>
      <c r="D126" s="15">
        <f t="shared" si="46"/>
        <v>402830.0785714286</v>
      </c>
      <c r="E126" s="15">
        <f t="shared" si="46"/>
        <v>572251.5718928572</v>
      </c>
      <c r="F126" s="15">
        <f t="shared" si="46"/>
        <v>760939.83189428563</v>
      </c>
      <c r="G126" s="15">
        <f t="shared" si="46"/>
        <v>970818.74059363967</v>
      </c>
      <c r="H126" s="15">
        <f t="shared" si="46"/>
        <v>1084179.981006623</v>
      </c>
      <c r="I126" s="15">
        <f t="shared" si="46"/>
        <v>1178986.5082485147</v>
      </c>
      <c r="J126" s="15">
        <f t="shared" si="46"/>
        <v>1279619.4923973393</v>
      </c>
      <c r="K126" s="15">
        <f t="shared" si="46"/>
        <v>1374915.3568651534</v>
      </c>
      <c r="L126" s="101">
        <f t="shared" si="46"/>
        <v>1851881.9318457136</v>
      </c>
    </row>
    <row r="127" spans="1:12" ht="14.25" customHeight="1" x14ac:dyDescent="0.3">
      <c r="A127" s="94" t="s">
        <v>120</v>
      </c>
      <c r="B127" s="95"/>
      <c r="C127" s="96">
        <f t="shared" ref="C127:L127" si="47">C125-C126</f>
        <v>386093.75</v>
      </c>
      <c r="D127" s="96">
        <f t="shared" si="47"/>
        <v>939936.85000000009</v>
      </c>
      <c r="E127" s="96">
        <f t="shared" si="47"/>
        <v>1335253.6677500005</v>
      </c>
      <c r="F127" s="96">
        <f t="shared" si="47"/>
        <v>1775526.2744200001</v>
      </c>
      <c r="G127" s="96">
        <f t="shared" si="47"/>
        <v>2265243.7280518259</v>
      </c>
      <c r="H127" s="96">
        <f t="shared" si="47"/>
        <v>2529753.2890154533</v>
      </c>
      <c r="I127" s="96">
        <f t="shared" si="47"/>
        <v>2750968.5192465344</v>
      </c>
      <c r="J127" s="96">
        <f t="shared" si="47"/>
        <v>2985778.8155937921</v>
      </c>
      <c r="K127" s="96">
        <f t="shared" si="47"/>
        <v>3208135.8326853579</v>
      </c>
      <c r="L127" s="97">
        <f t="shared" si="47"/>
        <v>4321057.8409733325</v>
      </c>
    </row>
    <row r="128" spans="1:12" ht="14.25" customHeight="1" x14ac:dyDescent="0.3">
      <c r="A128" s="98" t="s">
        <v>121</v>
      </c>
      <c r="B128" s="95"/>
      <c r="C128" s="96">
        <f t="shared" ref="C128:L128" si="48">SUM(C129:C130)</f>
        <v>352500</v>
      </c>
      <c r="D128" s="96">
        <f t="shared" si="48"/>
        <v>352500</v>
      </c>
      <c r="E128" s="96">
        <f t="shared" si="48"/>
        <v>352500</v>
      </c>
      <c r="F128" s="96">
        <f t="shared" si="48"/>
        <v>352500</v>
      </c>
      <c r="G128" s="96">
        <f t="shared" si="48"/>
        <v>352500</v>
      </c>
      <c r="H128" s="96">
        <f t="shared" si="48"/>
        <v>272500</v>
      </c>
      <c r="I128" s="96">
        <f t="shared" si="48"/>
        <v>272500</v>
      </c>
      <c r="J128" s="96">
        <f t="shared" si="48"/>
        <v>272500</v>
      </c>
      <c r="K128" s="96">
        <f t="shared" si="48"/>
        <v>272500</v>
      </c>
      <c r="L128" s="97">
        <f t="shared" si="48"/>
        <v>272500</v>
      </c>
    </row>
    <row r="129" spans="1:12" ht="14.25" customHeight="1" x14ac:dyDescent="0.3">
      <c r="A129" s="99" t="s">
        <v>116</v>
      </c>
      <c r="B129" s="100"/>
      <c r="C129" s="15">
        <f t="shared" ref="C129:L129" si="49">C123</f>
        <v>352500</v>
      </c>
      <c r="D129" s="15">
        <f t="shared" si="49"/>
        <v>352500</v>
      </c>
      <c r="E129" s="15">
        <f t="shared" si="49"/>
        <v>352500</v>
      </c>
      <c r="F129" s="15">
        <f t="shared" si="49"/>
        <v>352500</v>
      </c>
      <c r="G129" s="15">
        <f t="shared" si="49"/>
        <v>352500</v>
      </c>
      <c r="H129" s="15">
        <f t="shared" si="49"/>
        <v>272500</v>
      </c>
      <c r="I129" s="15">
        <f t="shared" si="49"/>
        <v>272500</v>
      </c>
      <c r="J129" s="15">
        <f t="shared" si="49"/>
        <v>272500</v>
      </c>
      <c r="K129" s="15">
        <f t="shared" si="49"/>
        <v>272500</v>
      </c>
      <c r="L129" s="101">
        <f t="shared" si="49"/>
        <v>272500</v>
      </c>
    </row>
    <row r="130" spans="1:12" ht="14.25" customHeight="1" x14ac:dyDescent="0.3">
      <c r="A130" s="99" t="s">
        <v>117</v>
      </c>
      <c r="B130" s="100"/>
      <c r="C130" s="15">
        <f t="shared" ref="C130:L130" si="50">C124</f>
        <v>0</v>
      </c>
      <c r="D130" s="15">
        <f t="shared" si="50"/>
        <v>0</v>
      </c>
      <c r="E130" s="15">
        <f t="shared" si="50"/>
        <v>0</v>
      </c>
      <c r="F130" s="15">
        <f t="shared" si="50"/>
        <v>0</v>
      </c>
      <c r="G130" s="15">
        <f t="shared" si="50"/>
        <v>0</v>
      </c>
      <c r="H130" s="15">
        <f t="shared" si="50"/>
        <v>0</v>
      </c>
      <c r="I130" s="15">
        <f t="shared" si="50"/>
        <v>0</v>
      </c>
      <c r="J130" s="15">
        <f t="shared" si="50"/>
        <v>0</v>
      </c>
      <c r="K130" s="15">
        <f t="shared" si="50"/>
        <v>0</v>
      </c>
      <c r="L130" s="101">
        <f t="shared" si="50"/>
        <v>0</v>
      </c>
    </row>
    <row r="131" spans="1:12" ht="14.25" customHeight="1" x14ac:dyDescent="0.3">
      <c r="A131" s="94" t="s">
        <v>122</v>
      </c>
      <c r="B131" s="96">
        <f t="shared" ref="B131:L131" si="51">SUM(B132:B134)</f>
        <v>2700000</v>
      </c>
      <c r="C131" s="96">
        <f t="shared" si="51"/>
        <v>0</v>
      </c>
      <c r="D131" s="96">
        <f t="shared" si="51"/>
        <v>0</v>
      </c>
      <c r="E131" s="96">
        <f t="shared" si="51"/>
        <v>0</v>
      </c>
      <c r="F131" s="96">
        <f t="shared" si="51"/>
        <v>0</v>
      </c>
      <c r="G131" s="96">
        <f t="shared" si="51"/>
        <v>0</v>
      </c>
      <c r="H131" s="96">
        <f t="shared" si="51"/>
        <v>0</v>
      </c>
      <c r="I131" s="96">
        <f t="shared" si="51"/>
        <v>0</v>
      </c>
      <c r="J131" s="96">
        <f t="shared" si="51"/>
        <v>0</v>
      </c>
      <c r="K131" s="96">
        <f t="shared" si="51"/>
        <v>0</v>
      </c>
      <c r="L131" s="97">
        <f t="shared" si="51"/>
        <v>2775000</v>
      </c>
    </row>
    <row r="132" spans="1:12" ht="14.25" customHeight="1" x14ac:dyDescent="0.3">
      <c r="A132" s="99" t="s">
        <v>123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1">
        <f>M98</f>
        <v>1075000</v>
      </c>
    </row>
    <row r="133" spans="1:12" ht="14.25" customHeight="1" x14ac:dyDescent="0.3">
      <c r="A133" s="99" t="s">
        <v>124</v>
      </c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1">
        <f>-L77</f>
        <v>1700000</v>
      </c>
    </row>
    <row r="134" spans="1:12" ht="14.25" customHeight="1" x14ac:dyDescent="0.3">
      <c r="A134" s="99" t="s">
        <v>125</v>
      </c>
      <c r="B134" s="15">
        <f>B102</f>
        <v>2700000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2"/>
    </row>
    <row r="135" spans="1:12" ht="14.25" customHeight="1" x14ac:dyDescent="0.3">
      <c r="A135" s="94" t="s">
        <v>126</v>
      </c>
      <c r="B135" s="96">
        <f t="shared" ref="B135:L135" si="52">SUM(B136:B139)</f>
        <v>5400000</v>
      </c>
      <c r="C135" s="96">
        <f t="shared" si="52"/>
        <v>635714.28571428568</v>
      </c>
      <c r="D135" s="96">
        <f t="shared" si="52"/>
        <v>635714.28571428568</v>
      </c>
      <c r="E135" s="96">
        <f t="shared" si="52"/>
        <v>635714.28571428568</v>
      </c>
      <c r="F135" s="96">
        <f t="shared" si="52"/>
        <v>635714.28571428568</v>
      </c>
      <c r="G135" s="96">
        <f t="shared" si="52"/>
        <v>635714.28571428568</v>
      </c>
      <c r="H135" s="96">
        <f t="shared" si="52"/>
        <v>385714.28571428574</v>
      </c>
      <c r="I135" s="96">
        <f t="shared" si="52"/>
        <v>385714.28571428574</v>
      </c>
      <c r="J135" s="96">
        <f t="shared" si="52"/>
        <v>0</v>
      </c>
      <c r="K135" s="96">
        <f t="shared" si="52"/>
        <v>0</v>
      </c>
      <c r="L135" s="97">
        <f t="shared" si="52"/>
        <v>0</v>
      </c>
    </row>
    <row r="136" spans="1:12" ht="14.25" customHeight="1" x14ac:dyDescent="0.3">
      <c r="A136" s="99" t="s">
        <v>127</v>
      </c>
      <c r="B136" s="96">
        <f>SUM(B69:B72)</f>
        <v>4950000</v>
      </c>
      <c r="C136" s="95"/>
      <c r="D136" s="95"/>
      <c r="E136" s="95"/>
      <c r="F136" s="95"/>
      <c r="G136" s="96">
        <f>G69</f>
        <v>0</v>
      </c>
      <c r="H136" s="95"/>
      <c r="I136" s="95"/>
      <c r="J136" s="95"/>
      <c r="K136" s="95"/>
      <c r="L136" s="103"/>
    </row>
    <row r="137" spans="1:12" ht="14.25" customHeight="1" x14ac:dyDescent="0.3">
      <c r="A137" s="99" t="s">
        <v>128</v>
      </c>
      <c r="B137" s="15">
        <f>B74</f>
        <v>0</v>
      </c>
      <c r="C137" s="100"/>
      <c r="D137" s="100"/>
      <c r="E137" s="100"/>
      <c r="F137" s="100"/>
      <c r="G137" s="100"/>
      <c r="H137" s="100"/>
      <c r="I137" s="100"/>
      <c r="J137" s="100"/>
      <c r="K137" s="100"/>
      <c r="L137" s="102"/>
    </row>
    <row r="138" spans="1:12" ht="14.25" customHeight="1" x14ac:dyDescent="0.3">
      <c r="A138" s="99" t="s">
        <v>129</v>
      </c>
      <c r="B138" s="15">
        <f t="shared" ref="B138:K138" si="53">B76</f>
        <v>450000</v>
      </c>
      <c r="C138" s="15">
        <f t="shared" si="53"/>
        <v>250000</v>
      </c>
      <c r="D138" s="15">
        <f t="shared" si="53"/>
        <v>250000</v>
      </c>
      <c r="E138" s="15">
        <f t="shared" si="53"/>
        <v>250000</v>
      </c>
      <c r="F138" s="15">
        <f t="shared" si="53"/>
        <v>250000</v>
      </c>
      <c r="G138" s="15">
        <f t="shared" si="53"/>
        <v>250000</v>
      </c>
      <c r="H138" s="15">
        <f t="shared" si="53"/>
        <v>0</v>
      </c>
      <c r="I138" s="15">
        <f t="shared" si="53"/>
        <v>0</v>
      </c>
      <c r="J138" s="15">
        <f t="shared" si="53"/>
        <v>0</v>
      </c>
      <c r="K138" s="15">
        <f t="shared" si="53"/>
        <v>0</v>
      </c>
      <c r="L138" s="102"/>
    </row>
    <row r="139" spans="1:12" ht="14.25" customHeight="1" x14ac:dyDescent="0.3">
      <c r="A139" s="99" t="s">
        <v>130</v>
      </c>
      <c r="B139" s="100"/>
      <c r="C139" s="15">
        <f t="shared" ref="C139:L139" si="54">C111</f>
        <v>385714.28571428574</v>
      </c>
      <c r="D139" s="15">
        <f t="shared" si="54"/>
        <v>385714.28571428574</v>
      </c>
      <c r="E139" s="15">
        <f t="shared" si="54"/>
        <v>385714.28571428574</v>
      </c>
      <c r="F139" s="15">
        <f t="shared" si="54"/>
        <v>385714.28571428574</v>
      </c>
      <c r="G139" s="15">
        <f t="shared" si="54"/>
        <v>385714.28571428574</v>
      </c>
      <c r="H139" s="15">
        <f t="shared" si="54"/>
        <v>385714.28571428574</v>
      </c>
      <c r="I139" s="15">
        <f t="shared" si="54"/>
        <v>385714.28571428574</v>
      </c>
      <c r="J139" s="15">
        <f t="shared" si="54"/>
        <v>0</v>
      </c>
      <c r="K139" s="15">
        <f t="shared" si="54"/>
        <v>0</v>
      </c>
      <c r="L139" s="101">
        <f t="shared" si="54"/>
        <v>0</v>
      </c>
    </row>
    <row r="140" spans="1:12" ht="14.25" customHeight="1" x14ac:dyDescent="0.3">
      <c r="A140" s="104" t="s">
        <v>131</v>
      </c>
      <c r="B140" s="53">
        <f t="shared" ref="B140:L140" si="55">B127+B128+B131-B135</f>
        <v>-2700000</v>
      </c>
      <c r="C140" s="53">
        <f t="shared" si="55"/>
        <v>102879.46428571432</v>
      </c>
      <c r="D140" s="53">
        <f t="shared" si="55"/>
        <v>656722.56428571441</v>
      </c>
      <c r="E140" s="53">
        <f t="shared" si="55"/>
        <v>1052039.3820357148</v>
      </c>
      <c r="F140" s="53">
        <f t="shared" si="55"/>
        <v>1492311.9887057145</v>
      </c>
      <c r="G140" s="53">
        <f t="shared" si="55"/>
        <v>1982029.4423375402</v>
      </c>
      <c r="H140" s="53">
        <f t="shared" si="55"/>
        <v>2416539.0033011674</v>
      </c>
      <c r="I140" s="53">
        <f t="shared" si="55"/>
        <v>2637754.2335322485</v>
      </c>
      <c r="J140" s="53">
        <f t="shared" si="55"/>
        <v>3258278.8155937921</v>
      </c>
      <c r="K140" s="53">
        <f t="shared" si="55"/>
        <v>3480635.8326853579</v>
      </c>
      <c r="L140" s="53">
        <f t="shared" si="55"/>
        <v>7368557.8409733325</v>
      </c>
    </row>
    <row r="141" spans="1:12" ht="14.25" customHeight="1" x14ac:dyDescent="0.3">
      <c r="A141" s="105" t="s">
        <v>132</v>
      </c>
    </row>
    <row r="142" spans="1:12" ht="14.25" customHeight="1" x14ac:dyDescent="0.3">
      <c r="A142" s="145" t="s">
        <v>133</v>
      </c>
      <c r="B142" s="53">
        <f>B140</f>
        <v>-2700000</v>
      </c>
      <c r="C142" s="53">
        <f t="shared" ref="C142:L142" si="56">B142+C140</f>
        <v>-2597120.5357142854</v>
      </c>
      <c r="D142" s="53">
        <f t="shared" si="56"/>
        <v>-1940397.971428571</v>
      </c>
      <c r="E142" s="53">
        <f t="shared" si="56"/>
        <v>-888358.58939285623</v>
      </c>
      <c r="F142" s="53">
        <f t="shared" si="56"/>
        <v>603953.39931285824</v>
      </c>
      <c r="G142" s="53">
        <f t="shared" si="56"/>
        <v>2585982.8416503984</v>
      </c>
      <c r="H142" s="53">
        <f t="shared" si="56"/>
        <v>5002521.8449515663</v>
      </c>
      <c r="I142" s="53">
        <f t="shared" si="56"/>
        <v>7640276.0784838144</v>
      </c>
      <c r="J142" s="53">
        <f t="shared" si="56"/>
        <v>10898554.894077606</v>
      </c>
      <c r="K142" s="53">
        <f t="shared" si="56"/>
        <v>14379190.726762965</v>
      </c>
      <c r="L142" s="53">
        <f t="shared" si="56"/>
        <v>21747748.567736298</v>
      </c>
    </row>
    <row r="143" spans="1:12" ht="14.25" customHeight="1" x14ac:dyDescent="0.3">
      <c r="A143" s="105" t="s">
        <v>134</v>
      </c>
    </row>
    <row r="144" spans="1:12" ht="14.25" customHeight="1" x14ac:dyDescent="0.3">
      <c r="A144" s="145" t="s">
        <v>135</v>
      </c>
      <c r="B144" s="53">
        <f>B140</f>
        <v>-2700000</v>
      </c>
      <c r="C144" s="53">
        <f>B144+C140/(1+E150)^1</f>
        <v>-2608956.2262958279</v>
      </c>
      <c r="D144" s="53">
        <f>C144+D140/(1+E150)^2</f>
        <v>-2094646.1281787362</v>
      </c>
      <c r="E144" s="53">
        <f>D144+E140/(1+E150)^3</f>
        <v>-1365530.0637363573</v>
      </c>
      <c r="F144" s="53">
        <f>E144+F140/(1+E150)^4</f>
        <v>-450267.17352268787</v>
      </c>
      <c r="G144" s="53">
        <f>F144+G140/(1+E150)^5</f>
        <v>625498.99974945828</v>
      </c>
      <c r="H144" s="53">
        <f>G144+H140/(1+E150)^6</f>
        <v>1786207.455299824</v>
      </c>
      <c r="I144" s="53">
        <f>H144+I140/(1+E150)^7</f>
        <v>2907412.9678491531</v>
      </c>
      <c r="J144" s="53">
        <f>I144+J140/(1+E150)^8</f>
        <v>4133046.6765754493</v>
      </c>
      <c r="K144" s="53">
        <f>J144+K140/(1+E150)^9</f>
        <v>5291697.5558041502</v>
      </c>
      <c r="L144" s="53">
        <f>K144+L140/(1+E150)^10</f>
        <v>7462388.8382482938</v>
      </c>
    </row>
    <row r="145" spans="1:12" ht="14.25" customHeight="1" x14ac:dyDescent="0.3">
      <c r="B145" s="21"/>
      <c r="F145" s="106"/>
    </row>
    <row r="146" spans="1:12" ht="14.25" customHeight="1" x14ac:dyDescent="0.3">
      <c r="A146" s="22" t="s">
        <v>136</v>
      </c>
    </row>
    <row r="147" spans="1:12" ht="14.25" customHeight="1" x14ac:dyDescent="0.3">
      <c r="B147" s="107" t="s">
        <v>137</v>
      </c>
      <c r="C147" s="107" t="s">
        <v>138</v>
      </c>
      <c r="D147" s="107" t="s">
        <v>139</v>
      </c>
      <c r="E147" s="107" t="s">
        <v>140</v>
      </c>
    </row>
    <row r="148" spans="1:12" ht="14.25" customHeight="1" x14ac:dyDescent="0.3">
      <c r="A148" s="4" t="s">
        <v>141</v>
      </c>
      <c r="B148" s="147">
        <f>B102</f>
        <v>2700000</v>
      </c>
      <c r="C148" s="149">
        <f>E102</f>
        <v>0.5</v>
      </c>
      <c r="D148" s="149">
        <f>B103*(1-B26)</f>
        <v>6.9999999999999993E-2</v>
      </c>
      <c r="E148" s="149">
        <f>C148*D148</f>
        <v>3.4999999999999996E-2</v>
      </c>
    </row>
    <row r="149" spans="1:12" ht="18" customHeight="1" x14ac:dyDescent="0.3">
      <c r="A149" s="4" t="s">
        <v>142</v>
      </c>
      <c r="B149" s="148">
        <f>B77-B148</f>
        <v>2700000</v>
      </c>
      <c r="C149" s="150">
        <f>1-C148</f>
        <v>0.5</v>
      </c>
      <c r="D149" s="149">
        <f>B25</f>
        <v>0.19</v>
      </c>
      <c r="E149" s="150">
        <f>C149*D149</f>
        <v>9.5000000000000001E-2</v>
      </c>
    </row>
    <row r="150" spans="1:12" ht="14.25" customHeight="1" x14ac:dyDescent="0.3">
      <c r="B150" s="147">
        <f>B148+B149</f>
        <v>5400000</v>
      </c>
      <c r="C150" s="149">
        <f>C148+C149</f>
        <v>1</v>
      </c>
      <c r="D150" s="108"/>
      <c r="E150" s="149">
        <f>E148+E149</f>
        <v>0.13</v>
      </c>
    </row>
    <row r="152" spans="1:12" ht="14.25" customHeight="1" x14ac:dyDescent="0.3">
      <c r="A152" s="22" t="s">
        <v>143</v>
      </c>
    </row>
    <row r="153" spans="1:12" ht="14.25" customHeight="1" x14ac:dyDescent="0.3">
      <c r="A153" s="109" t="s">
        <v>149</v>
      </c>
      <c r="B153" s="110">
        <f>NPV(E150,C140:L140)+B140</f>
        <v>7462388.838248292</v>
      </c>
    </row>
    <row r="154" spans="1:12" ht="14.25" customHeight="1" x14ac:dyDescent="0.3">
      <c r="A154" s="109" t="s">
        <v>145</v>
      </c>
      <c r="B154" s="151">
        <f>IRR(B140:L140)</f>
        <v>0.40616532028269936</v>
      </c>
    </row>
    <row r="155" spans="1:12" ht="14.25" customHeight="1" x14ac:dyDescent="0.3">
      <c r="A155" s="109" t="s">
        <v>146</v>
      </c>
      <c r="B155" s="112">
        <f>IFERROR(MATCH(1,INDEX((C142:L142&gt;=0)*1,0),0),"&gt;10")</f>
        <v>4</v>
      </c>
    </row>
    <row r="156" spans="1:12" ht="14.25" customHeight="1" x14ac:dyDescent="0.3">
      <c r="A156" s="109" t="s">
        <v>147</v>
      </c>
      <c r="B156" s="112">
        <f>IFERROR(MATCH(1,INDEX((C144:L144&gt;=0)*1,0),0),"&gt;10")</f>
        <v>5</v>
      </c>
    </row>
    <row r="157" spans="1:12" ht="14.25" customHeight="1" x14ac:dyDescent="0.3">
      <c r="A157" s="109" t="s">
        <v>148</v>
      </c>
      <c r="B157" s="142">
        <f>(NPV(E150,C140:L140)+B140+ABS(B140))/ABS(B140)</f>
        <v>3.7638477178697376</v>
      </c>
    </row>
    <row r="158" spans="1:12" ht="14.25" customHeight="1" x14ac:dyDescent="0.3">
      <c r="B158" s="21"/>
    </row>
    <row r="159" spans="1:12" ht="14.25" customHeight="1" x14ac:dyDescent="0.3">
      <c r="B159" s="21"/>
    </row>
    <row r="160" spans="1:12" ht="14.25" customHeight="1" x14ac:dyDescent="0.3">
      <c r="A160" s="105"/>
      <c r="B160" s="113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</row>
    <row r="161" spans="1:12" ht="14.25" customHeight="1" x14ac:dyDescent="0.3">
      <c r="A161" s="105"/>
      <c r="B161" s="113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</row>
    <row r="162" spans="1:12" ht="14.25" customHeight="1" x14ac:dyDescent="0.3">
      <c r="A162" s="105"/>
      <c r="B162" s="113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</row>
    <row r="163" spans="1:12" ht="14.25" customHeight="1" x14ac:dyDescent="0.3">
      <c r="A163" s="105"/>
      <c r="B163" s="113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</row>
    <row r="164" spans="1:12" ht="14.25" customHeight="1" x14ac:dyDescent="0.3">
      <c r="B164" s="21"/>
    </row>
    <row r="165" spans="1:12" ht="14.25" customHeight="1" x14ac:dyDescent="0.3">
      <c r="B165" s="21"/>
    </row>
    <row r="166" spans="1:12" ht="14.25" customHeight="1" x14ac:dyDescent="0.3">
      <c r="B166" s="21"/>
    </row>
  </sheetData>
  <mergeCells count="6">
    <mergeCell ref="B105:C105"/>
    <mergeCell ref="A50:H50"/>
    <mergeCell ref="A55:H55"/>
    <mergeCell ref="A92:A93"/>
    <mergeCell ref="C92:L92"/>
    <mergeCell ref="A98:L9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66"/>
  <sheetViews>
    <sheetView showGridLines="0" topLeftCell="A130" zoomScaleNormal="100" workbookViewId="0">
      <selection activeCell="C160" sqref="C160"/>
    </sheetView>
  </sheetViews>
  <sheetFormatPr baseColWidth="10" defaultColWidth="8.6640625" defaultRowHeight="14.4" x14ac:dyDescent="0.3"/>
  <cols>
    <col min="1" max="1" width="42.44140625" style="1" customWidth="1"/>
    <col min="2" max="2" width="15.5546875" style="1" customWidth="1"/>
    <col min="3" max="3" width="16.109375" style="1" customWidth="1"/>
    <col min="4" max="8" width="15.44140625" style="1" customWidth="1"/>
    <col min="9" max="11" width="15.5546875" style="1" customWidth="1"/>
    <col min="12" max="12" width="15.44140625" style="1" customWidth="1"/>
    <col min="13" max="13" width="13.5546875" style="1" customWidth="1"/>
    <col min="14" max="14" width="13.33203125" style="1" customWidth="1"/>
    <col min="16" max="16" width="10.6640625" style="1" customWidth="1"/>
    <col min="18" max="18" width="25.109375" style="1" customWidth="1"/>
    <col min="19" max="19" width="11.6640625" style="1" customWidth="1"/>
    <col min="20" max="20" width="13.44140625" style="1" customWidth="1"/>
    <col min="21" max="21" width="8.44140625" style="1" customWidth="1"/>
    <col min="22" max="22" width="10.6640625" style="1" customWidth="1"/>
  </cols>
  <sheetData>
    <row r="1" spans="1:12" ht="15" customHeight="1" x14ac:dyDescent="0.3">
      <c r="A1" s="2" t="s">
        <v>0</v>
      </c>
    </row>
    <row r="3" spans="1:12" ht="14.25" customHeight="1" x14ac:dyDescent="0.3">
      <c r="A3" s="3" t="s">
        <v>1</v>
      </c>
    </row>
    <row r="4" spans="1:12" ht="14.25" customHeight="1" x14ac:dyDescent="0.3">
      <c r="A4" s="4" t="s">
        <v>2</v>
      </c>
      <c r="B4" s="4">
        <v>10</v>
      </c>
    </row>
    <row r="5" spans="1:12" ht="14.25" customHeight="1" x14ac:dyDescent="0.3">
      <c r="A5" s="4" t="s">
        <v>3</v>
      </c>
      <c r="B5" s="5">
        <v>0.05</v>
      </c>
    </row>
    <row r="6" spans="1:12" ht="14.25" customHeight="1" x14ac:dyDescent="0.3">
      <c r="A6" s="4" t="s">
        <v>4</v>
      </c>
      <c r="B6" s="5">
        <v>7.0000000000000007E-2</v>
      </c>
    </row>
    <row r="7" spans="1:12" ht="14.25" customHeight="1" x14ac:dyDescent="0.3"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</row>
    <row r="8" spans="1:12" ht="14.25" customHeight="1" x14ac:dyDescent="0.3">
      <c r="A8" s="4" t="s">
        <v>16</v>
      </c>
      <c r="B8" s="7"/>
      <c r="C8" s="8">
        <v>750</v>
      </c>
      <c r="D8" s="8">
        <v>900</v>
      </c>
      <c r="E8" s="8">
        <v>900</v>
      </c>
      <c r="F8" s="8">
        <v>900</v>
      </c>
      <c r="G8" s="8">
        <v>900</v>
      </c>
      <c r="H8" s="8">
        <v>900</v>
      </c>
      <c r="I8" s="8">
        <v>900</v>
      </c>
      <c r="J8" s="8">
        <v>900</v>
      </c>
      <c r="K8" s="8">
        <v>900</v>
      </c>
      <c r="L8" s="8">
        <v>900</v>
      </c>
    </row>
    <row r="9" spans="1:12" ht="14.25" customHeight="1" x14ac:dyDescent="0.3">
      <c r="A9" s="4" t="s">
        <v>17</v>
      </c>
      <c r="B9" s="7"/>
      <c r="C9" s="9">
        <f>1225</f>
        <v>1225</v>
      </c>
      <c r="D9" s="9">
        <f>1470</f>
        <v>1470</v>
      </c>
      <c r="E9" s="9">
        <f>1715</f>
        <v>1715</v>
      </c>
      <c r="F9" s="9">
        <f>1960</f>
        <v>1960</v>
      </c>
      <c r="G9" s="9">
        <f>2205</f>
        <v>2205</v>
      </c>
      <c r="H9" s="9">
        <f>2205</f>
        <v>2205</v>
      </c>
      <c r="I9" s="9">
        <f>2205</f>
        <v>2205</v>
      </c>
      <c r="J9" s="9">
        <f>2205</f>
        <v>2205</v>
      </c>
      <c r="K9" s="9">
        <f>2205</f>
        <v>2205</v>
      </c>
      <c r="L9" s="9">
        <f>2205</f>
        <v>2205</v>
      </c>
    </row>
    <row r="10" spans="1:12" ht="14.25" customHeight="1" x14ac:dyDescent="0.3">
      <c r="A10" s="4" t="s">
        <v>18</v>
      </c>
      <c r="B10" s="7"/>
      <c r="C10" s="9">
        <f t="shared" ref="C10:L10" si="0">C9*C8</f>
        <v>918750</v>
      </c>
      <c r="D10" s="9">
        <f t="shared" si="0"/>
        <v>1323000</v>
      </c>
      <c r="E10" s="9">
        <f t="shared" si="0"/>
        <v>1543500</v>
      </c>
      <c r="F10" s="9">
        <f t="shared" si="0"/>
        <v>1764000</v>
      </c>
      <c r="G10" s="9">
        <f t="shared" si="0"/>
        <v>1984500</v>
      </c>
      <c r="H10" s="9">
        <f t="shared" si="0"/>
        <v>1984500</v>
      </c>
      <c r="I10" s="9">
        <f t="shared" si="0"/>
        <v>1984500</v>
      </c>
      <c r="J10" s="9">
        <f t="shared" si="0"/>
        <v>1984500</v>
      </c>
      <c r="K10" s="9">
        <f t="shared" si="0"/>
        <v>1984500</v>
      </c>
      <c r="L10" s="9">
        <f t="shared" si="0"/>
        <v>1984500</v>
      </c>
    </row>
    <row r="11" spans="1:12" ht="14.25" customHeight="1" x14ac:dyDescent="0.3">
      <c r="A11" s="4" t="s">
        <v>19</v>
      </c>
      <c r="B11" s="7"/>
      <c r="C11" s="10">
        <v>1</v>
      </c>
      <c r="D11" s="10">
        <f t="shared" ref="D11:L11" si="1">C11+(C11*$B$5)</f>
        <v>1.05</v>
      </c>
      <c r="E11" s="10">
        <f t="shared" si="1"/>
        <v>1.1025</v>
      </c>
      <c r="F11" s="10">
        <f t="shared" si="1"/>
        <v>1.1576250000000001</v>
      </c>
      <c r="G11" s="10">
        <f t="shared" si="1"/>
        <v>1.2155062500000002</v>
      </c>
      <c r="H11" s="10">
        <f t="shared" si="1"/>
        <v>1.2762815625000004</v>
      </c>
      <c r="I11" s="10">
        <f t="shared" si="1"/>
        <v>1.3400956406250004</v>
      </c>
      <c r="J11" s="10">
        <f t="shared" si="1"/>
        <v>1.4071004226562505</v>
      </c>
      <c r="K11" s="10">
        <f t="shared" si="1"/>
        <v>1.477455443789063</v>
      </c>
      <c r="L11" s="10">
        <f t="shared" si="1"/>
        <v>1.5513282159785162</v>
      </c>
    </row>
    <row r="12" spans="1:12" ht="14.25" customHeight="1" x14ac:dyDescent="0.3">
      <c r="A12" s="4" t="s">
        <v>20</v>
      </c>
      <c r="B12" s="7"/>
      <c r="C12" s="11">
        <v>3</v>
      </c>
      <c r="D12" s="11">
        <f t="shared" ref="D12:L12" si="2">C12+(C12*$B$6)</f>
        <v>3.21</v>
      </c>
      <c r="E12" s="11">
        <f t="shared" si="2"/>
        <v>3.4346999999999999</v>
      </c>
      <c r="F12" s="11">
        <f t="shared" si="2"/>
        <v>3.6751290000000001</v>
      </c>
      <c r="G12" s="11">
        <f t="shared" si="2"/>
        <v>3.9323880300000003</v>
      </c>
      <c r="H12" s="11">
        <f t="shared" si="2"/>
        <v>4.2076551921000007</v>
      </c>
      <c r="I12" s="11">
        <f t="shared" si="2"/>
        <v>4.5021910555470006</v>
      </c>
      <c r="J12" s="11">
        <f t="shared" si="2"/>
        <v>4.8173444294352903</v>
      </c>
      <c r="K12" s="11">
        <f t="shared" si="2"/>
        <v>5.1545585394957607</v>
      </c>
      <c r="L12" s="11">
        <f t="shared" si="2"/>
        <v>5.5153776372604639</v>
      </c>
    </row>
    <row r="13" spans="1:12" ht="14.25" customHeight="1" x14ac:dyDescent="0.3">
      <c r="A13" s="4" t="s">
        <v>21</v>
      </c>
      <c r="B13" s="12"/>
      <c r="C13" s="13">
        <v>450000</v>
      </c>
      <c r="D13" s="13">
        <v>250000</v>
      </c>
      <c r="E13" s="13">
        <v>250000</v>
      </c>
      <c r="F13" s="13">
        <v>250000</v>
      </c>
      <c r="G13" s="13">
        <v>250000</v>
      </c>
      <c r="H13" s="13">
        <v>250000</v>
      </c>
      <c r="I13" s="13">
        <v>0</v>
      </c>
      <c r="J13" s="13">
        <v>0</v>
      </c>
      <c r="K13" s="13">
        <v>0</v>
      </c>
      <c r="L13" s="13">
        <v>0</v>
      </c>
    </row>
    <row r="14" spans="1:12" ht="14.25" customHeight="1" x14ac:dyDescent="0.3">
      <c r="A14" s="4" t="s">
        <v>22</v>
      </c>
      <c r="B14" s="12"/>
      <c r="C14" s="11">
        <f>1.45</f>
        <v>1.45</v>
      </c>
      <c r="D14" s="11">
        <f t="shared" ref="D14:L14" si="3">C14+(C14*$B$6)</f>
        <v>1.5514999999999999</v>
      </c>
      <c r="E14" s="11">
        <f t="shared" si="3"/>
        <v>1.6601049999999999</v>
      </c>
      <c r="F14" s="11">
        <f t="shared" si="3"/>
        <v>1.77631235</v>
      </c>
      <c r="G14" s="11">
        <f t="shared" si="3"/>
        <v>1.9006542145</v>
      </c>
      <c r="H14" s="11">
        <f t="shared" si="3"/>
        <v>2.033700009515</v>
      </c>
      <c r="I14" s="11">
        <f t="shared" si="3"/>
        <v>2.1760590101810502</v>
      </c>
      <c r="J14" s="11">
        <f t="shared" si="3"/>
        <v>2.3283831408937239</v>
      </c>
      <c r="K14" s="11">
        <f t="shared" si="3"/>
        <v>2.4913699607562845</v>
      </c>
      <c r="L14" s="11">
        <f t="shared" si="3"/>
        <v>2.6657658580092245</v>
      </c>
    </row>
    <row r="15" spans="1:12" ht="14.25" customHeight="1" x14ac:dyDescent="0.3">
      <c r="A15" s="4" t="s">
        <v>23</v>
      </c>
      <c r="B15" s="14"/>
      <c r="C15" s="15">
        <f t="shared" ref="C15:L15" si="4">C14*C10</f>
        <v>1332187.5</v>
      </c>
      <c r="D15" s="15">
        <f t="shared" si="4"/>
        <v>2052634.4999999998</v>
      </c>
      <c r="E15" s="15">
        <f t="shared" si="4"/>
        <v>2562372.0674999999</v>
      </c>
      <c r="F15" s="15">
        <f t="shared" si="4"/>
        <v>3133414.9854000001</v>
      </c>
      <c r="G15" s="15">
        <f t="shared" si="4"/>
        <v>3771848.28867525</v>
      </c>
      <c r="H15" s="15">
        <f t="shared" si="4"/>
        <v>4035877.6688825176</v>
      </c>
      <c r="I15" s="15">
        <f t="shared" si="4"/>
        <v>4318389.1057042945</v>
      </c>
      <c r="J15" s="15">
        <f t="shared" si="4"/>
        <v>4620676.3431035951</v>
      </c>
      <c r="K15" s="15">
        <f t="shared" si="4"/>
        <v>4944123.6871208465</v>
      </c>
      <c r="L15" s="15">
        <f t="shared" si="4"/>
        <v>5290212.3452193057</v>
      </c>
    </row>
    <row r="16" spans="1:12" ht="14.25" customHeight="1" x14ac:dyDescent="0.3">
      <c r="A16" s="4" t="s">
        <v>24</v>
      </c>
      <c r="B16" s="14"/>
      <c r="C16" s="15">
        <v>50000</v>
      </c>
      <c r="D16" s="15">
        <f t="shared" ref="D16:L16" si="5">C16+(C16*$B$6)</f>
        <v>53500</v>
      </c>
      <c r="E16" s="15">
        <f t="shared" si="5"/>
        <v>57245</v>
      </c>
      <c r="F16" s="15">
        <f t="shared" si="5"/>
        <v>61252.15</v>
      </c>
      <c r="G16" s="15">
        <f t="shared" si="5"/>
        <v>65539.800499999998</v>
      </c>
      <c r="H16" s="15">
        <f t="shared" si="5"/>
        <v>70127.586534999995</v>
      </c>
      <c r="I16" s="15">
        <f t="shared" si="5"/>
        <v>75036.517592449993</v>
      </c>
      <c r="J16" s="15">
        <f t="shared" si="5"/>
        <v>80289.073823921499</v>
      </c>
      <c r="K16" s="15">
        <f t="shared" si="5"/>
        <v>85909.308991596001</v>
      </c>
      <c r="L16" s="15">
        <f t="shared" si="5"/>
        <v>91922.960621007718</v>
      </c>
    </row>
    <row r="17" spans="1:12" ht="14.25" customHeight="1" x14ac:dyDescent="0.3">
      <c r="A17" s="4" t="s">
        <v>25</v>
      </c>
      <c r="B17" s="14"/>
      <c r="C17" s="15">
        <v>200000</v>
      </c>
      <c r="D17" s="15">
        <f t="shared" ref="D17:L17" si="6">C17+(C17*$B$6)</f>
        <v>214000</v>
      </c>
      <c r="E17" s="15">
        <f t="shared" si="6"/>
        <v>228980</v>
      </c>
      <c r="F17" s="15">
        <f t="shared" si="6"/>
        <v>245008.6</v>
      </c>
      <c r="G17" s="15">
        <f t="shared" si="6"/>
        <v>262159.20199999999</v>
      </c>
      <c r="H17" s="15">
        <f t="shared" si="6"/>
        <v>280510.34613999998</v>
      </c>
      <c r="I17" s="15">
        <f t="shared" si="6"/>
        <v>300146.07036979997</v>
      </c>
      <c r="J17" s="15">
        <f t="shared" si="6"/>
        <v>321156.295295686</v>
      </c>
      <c r="K17" s="15">
        <f t="shared" si="6"/>
        <v>343637.235966384</v>
      </c>
      <c r="L17" s="15">
        <f t="shared" si="6"/>
        <v>367691.84248403087</v>
      </c>
    </row>
    <row r="18" spans="1:12" ht="14.25" customHeight="1" x14ac:dyDescent="0.3">
      <c r="K18" s="16"/>
    </row>
    <row r="19" spans="1:12" ht="14.25" customHeight="1" x14ac:dyDescent="0.3">
      <c r="A19" s="4" t="s">
        <v>26</v>
      </c>
      <c r="B19" s="17">
        <v>1250000</v>
      </c>
      <c r="K19" s="16"/>
    </row>
    <row r="20" spans="1:12" ht="14.25" customHeight="1" x14ac:dyDescent="0.3">
      <c r="A20" s="4" t="s">
        <v>27</v>
      </c>
      <c r="B20" s="17">
        <v>1000000</v>
      </c>
      <c r="K20" s="16"/>
    </row>
    <row r="21" spans="1:12" ht="14.25" customHeight="1" x14ac:dyDescent="0.3">
      <c r="A21" s="4" t="s">
        <v>28</v>
      </c>
      <c r="B21" s="18">
        <v>50000</v>
      </c>
      <c r="K21" s="16"/>
    </row>
    <row r="22" spans="1:12" ht="14.25" customHeight="1" x14ac:dyDescent="0.3">
      <c r="A22" s="4" t="s">
        <v>29</v>
      </c>
      <c r="B22" s="5">
        <v>0.1</v>
      </c>
    </row>
    <row r="23" spans="1:12" ht="14.25" customHeight="1" x14ac:dyDescent="0.3">
      <c r="A23" s="4" t="s">
        <v>30</v>
      </c>
      <c r="B23" s="19">
        <v>7</v>
      </c>
    </row>
    <row r="24" spans="1:12" ht="14.25" customHeight="1" x14ac:dyDescent="0.3">
      <c r="A24" s="4" t="s">
        <v>31</v>
      </c>
      <c r="B24" s="20">
        <f>5400000*0.5</f>
        <v>2700000</v>
      </c>
    </row>
    <row r="25" spans="1:12" ht="14.25" customHeight="1" x14ac:dyDescent="0.3">
      <c r="A25" s="4" t="s">
        <v>32</v>
      </c>
      <c r="B25" s="5">
        <v>0.19</v>
      </c>
    </row>
    <row r="26" spans="1:12" ht="14.25" customHeight="1" x14ac:dyDescent="0.3">
      <c r="A26" s="4" t="s">
        <v>33</v>
      </c>
      <c r="B26" s="5">
        <v>0.3</v>
      </c>
    </row>
    <row r="27" spans="1:12" ht="14.25" customHeight="1" x14ac:dyDescent="0.3">
      <c r="B27" s="21"/>
    </row>
    <row r="28" spans="1:12" ht="14.25" customHeight="1" x14ac:dyDescent="0.3">
      <c r="A28" s="22" t="s">
        <v>34</v>
      </c>
      <c r="B28" s="21"/>
    </row>
    <row r="29" spans="1:12" ht="15.75" customHeight="1" x14ac:dyDescent="0.3">
      <c r="A29" s="23" t="s">
        <v>35</v>
      </c>
      <c r="B29" s="24"/>
    </row>
    <row r="30" spans="1:12" ht="14.25" customHeight="1" x14ac:dyDescent="0.3">
      <c r="A30" s="25" t="s">
        <v>36</v>
      </c>
      <c r="B30" s="26" t="s">
        <v>5</v>
      </c>
      <c r="C30" s="26" t="s">
        <v>6</v>
      </c>
      <c r="D30" s="26" t="s">
        <v>7</v>
      </c>
      <c r="E30" s="26" t="s">
        <v>8</v>
      </c>
      <c r="F30" s="26" t="s">
        <v>9</v>
      </c>
      <c r="G30" s="26" t="s">
        <v>10</v>
      </c>
      <c r="H30" s="26" t="s">
        <v>11</v>
      </c>
      <c r="I30" s="26" t="s">
        <v>12</v>
      </c>
      <c r="J30" s="26" t="s">
        <v>13</v>
      </c>
      <c r="K30" s="26" t="s">
        <v>14</v>
      </c>
      <c r="L30" s="27" t="s">
        <v>15</v>
      </c>
    </row>
    <row r="31" spans="1:12" ht="14.25" customHeight="1" x14ac:dyDescent="0.3">
      <c r="A31" s="28" t="s">
        <v>37</v>
      </c>
      <c r="B31" s="29"/>
      <c r="C31" s="30">
        <f t="shared" ref="C31:L31" si="7">C10</f>
        <v>918750</v>
      </c>
      <c r="D31" s="30">
        <f t="shared" si="7"/>
        <v>1323000</v>
      </c>
      <c r="E31" s="30">
        <f t="shared" si="7"/>
        <v>1543500</v>
      </c>
      <c r="F31" s="30">
        <f t="shared" si="7"/>
        <v>1764000</v>
      </c>
      <c r="G31" s="30">
        <f t="shared" si="7"/>
        <v>1984500</v>
      </c>
      <c r="H31" s="30">
        <f t="shared" si="7"/>
        <v>1984500</v>
      </c>
      <c r="I31" s="30">
        <f t="shared" si="7"/>
        <v>1984500</v>
      </c>
      <c r="J31" s="30">
        <f t="shared" si="7"/>
        <v>1984500</v>
      </c>
      <c r="K31" s="30">
        <f t="shared" si="7"/>
        <v>1984500</v>
      </c>
      <c r="L31" s="31">
        <f t="shared" si="7"/>
        <v>1984500</v>
      </c>
    </row>
    <row r="32" spans="1:12" ht="14.25" customHeight="1" x14ac:dyDescent="0.3">
      <c r="A32" s="28" t="s">
        <v>38</v>
      </c>
      <c r="B32" s="29"/>
      <c r="C32" s="32">
        <f t="shared" ref="C32:L32" si="8">C12</f>
        <v>3</v>
      </c>
      <c r="D32" s="32">
        <f t="shared" si="8"/>
        <v>3.21</v>
      </c>
      <c r="E32" s="32">
        <f t="shared" si="8"/>
        <v>3.4346999999999999</v>
      </c>
      <c r="F32" s="32">
        <f t="shared" si="8"/>
        <v>3.6751290000000001</v>
      </c>
      <c r="G32" s="32">
        <f t="shared" si="8"/>
        <v>3.9323880300000003</v>
      </c>
      <c r="H32" s="32">
        <f t="shared" si="8"/>
        <v>4.2076551921000007</v>
      </c>
      <c r="I32" s="32">
        <f t="shared" si="8"/>
        <v>4.5021910555470006</v>
      </c>
      <c r="J32" s="32">
        <f t="shared" si="8"/>
        <v>4.8173444294352903</v>
      </c>
      <c r="K32" s="32">
        <f t="shared" si="8"/>
        <v>5.1545585394957607</v>
      </c>
      <c r="L32" s="33">
        <f t="shared" si="8"/>
        <v>5.5153776372604639</v>
      </c>
    </row>
    <row r="33" spans="1:12" ht="15.75" customHeight="1" x14ac:dyDescent="0.3">
      <c r="A33" s="34" t="s">
        <v>39</v>
      </c>
      <c r="B33" s="35"/>
      <c r="C33" s="36">
        <f t="shared" ref="C33:L33" si="9">C32*C31</f>
        <v>2756250</v>
      </c>
      <c r="D33" s="36">
        <f t="shared" si="9"/>
        <v>4246830</v>
      </c>
      <c r="E33" s="36">
        <f t="shared" si="9"/>
        <v>5301459.45</v>
      </c>
      <c r="F33" s="36">
        <f t="shared" si="9"/>
        <v>6482927.5559999999</v>
      </c>
      <c r="G33" s="36">
        <f t="shared" si="9"/>
        <v>7803824.045535001</v>
      </c>
      <c r="H33" s="36">
        <f t="shared" si="9"/>
        <v>8350091.7287224513</v>
      </c>
      <c r="I33" s="36">
        <f t="shared" si="9"/>
        <v>8934598.1497330219</v>
      </c>
      <c r="J33" s="36">
        <f t="shared" si="9"/>
        <v>9560020.0202143341</v>
      </c>
      <c r="K33" s="36">
        <f t="shared" si="9"/>
        <v>10229221.421629338</v>
      </c>
      <c r="L33" s="37">
        <f t="shared" si="9"/>
        <v>10945266.92114339</v>
      </c>
    </row>
    <row r="34" spans="1:12" ht="14.25" customHeight="1" x14ac:dyDescent="0.3">
      <c r="B34" s="21"/>
    </row>
    <row r="35" spans="1:12" ht="14.25" customHeight="1" x14ac:dyDescent="0.3">
      <c r="A35" s="22" t="s">
        <v>40</v>
      </c>
      <c r="B35" s="24"/>
    </row>
    <row r="36" spans="1:12" ht="15.75" customHeight="1" x14ac:dyDescent="0.3">
      <c r="A36" s="23" t="s">
        <v>41</v>
      </c>
      <c r="B36" s="24"/>
    </row>
    <row r="37" spans="1:12" ht="14.25" customHeight="1" x14ac:dyDescent="0.3">
      <c r="A37" s="25" t="s">
        <v>36</v>
      </c>
      <c r="B37" s="26" t="s">
        <v>5</v>
      </c>
      <c r="C37" s="26" t="s">
        <v>6</v>
      </c>
      <c r="D37" s="26" t="s">
        <v>7</v>
      </c>
      <c r="E37" s="26" t="s">
        <v>8</v>
      </c>
      <c r="F37" s="26" t="s">
        <v>9</v>
      </c>
      <c r="G37" s="26" t="s">
        <v>10</v>
      </c>
      <c r="H37" s="26" t="s">
        <v>11</v>
      </c>
      <c r="I37" s="26" t="s">
        <v>12</v>
      </c>
      <c r="J37" s="26" t="s">
        <v>13</v>
      </c>
      <c r="K37" s="26" t="s">
        <v>14</v>
      </c>
      <c r="L37" s="27" t="s">
        <v>15</v>
      </c>
    </row>
    <row r="38" spans="1:12" ht="14.25" customHeight="1" x14ac:dyDescent="0.3">
      <c r="A38" s="28" t="s">
        <v>42</v>
      </c>
      <c r="B38" s="29"/>
      <c r="C38" s="38">
        <f t="shared" ref="C38:L38" si="10">C15</f>
        <v>1332187.5</v>
      </c>
      <c r="D38" s="38">
        <f t="shared" si="10"/>
        <v>2052634.4999999998</v>
      </c>
      <c r="E38" s="38">
        <f t="shared" si="10"/>
        <v>2562372.0674999999</v>
      </c>
      <c r="F38" s="38">
        <f t="shared" si="10"/>
        <v>3133414.9854000001</v>
      </c>
      <c r="G38" s="38">
        <f t="shared" si="10"/>
        <v>3771848.28867525</v>
      </c>
      <c r="H38" s="38">
        <f t="shared" si="10"/>
        <v>4035877.6688825176</v>
      </c>
      <c r="I38" s="38">
        <f t="shared" si="10"/>
        <v>4318389.1057042945</v>
      </c>
      <c r="J38" s="38">
        <f t="shared" si="10"/>
        <v>4620676.3431035951</v>
      </c>
      <c r="K38" s="38">
        <f t="shared" si="10"/>
        <v>4944123.6871208465</v>
      </c>
      <c r="L38" s="39">
        <f t="shared" si="10"/>
        <v>5290212.3452193057</v>
      </c>
    </row>
    <row r="39" spans="1:12" ht="15.75" customHeight="1" x14ac:dyDescent="0.3">
      <c r="A39" s="40" t="s">
        <v>43</v>
      </c>
      <c r="B39" s="41"/>
      <c r="C39" s="36">
        <f t="shared" ref="C39:L39" si="11">C38</f>
        <v>1332187.5</v>
      </c>
      <c r="D39" s="36">
        <f t="shared" si="11"/>
        <v>2052634.4999999998</v>
      </c>
      <c r="E39" s="36">
        <f t="shared" si="11"/>
        <v>2562372.0674999999</v>
      </c>
      <c r="F39" s="36">
        <f t="shared" si="11"/>
        <v>3133414.9854000001</v>
      </c>
      <c r="G39" s="36">
        <f t="shared" si="11"/>
        <v>3771848.28867525</v>
      </c>
      <c r="H39" s="36">
        <f t="shared" si="11"/>
        <v>4035877.6688825176</v>
      </c>
      <c r="I39" s="36">
        <f t="shared" si="11"/>
        <v>4318389.1057042945</v>
      </c>
      <c r="J39" s="36">
        <f t="shared" si="11"/>
        <v>4620676.3431035951</v>
      </c>
      <c r="K39" s="36">
        <f t="shared" si="11"/>
        <v>4944123.6871208465</v>
      </c>
      <c r="L39" s="37">
        <f t="shared" si="11"/>
        <v>5290212.3452193057</v>
      </c>
    </row>
    <row r="40" spans="1:12" ht="14.25" customHeight="1" x14ac:dyDescent="0.3">
      <c r="B40" s="21"/>
    </row>
    <row r="41" spans="1:12" ht="14.25" customHeight="1" x14ac:dyDescent="0.3">
      <c r="A41" s="22" t="s">
        <v>44</v>
      </c>
      <c r="B41" s="24"/>
    </row>
    <row r="42" spans="1:12" ht="15.75" customHeight="1" x14ac:dyDescent="0.3">
      <c r="A42" s="23" t="s">
        <v>45</v>
      </c>
      <c r="B42" s="24"/>
    </row>
    <row r="43" spans="1:12" ht="14.25" customHeight="1" x14ac:dyDescent="0.3">
      <c r="A43" s="25" t="s">
        <v>36</v>
      </c>
      <c r="B43" s="26" t="s">
        <v>5</v>
      </c>
      <c r="C43" s="26" t="s">
        <v>6</v>
      </c>
      <c r="D43" s="26" t="s">
        <v>7</v>
      </c>
      <c r="E43" s="26" t="s">
        <v>8</v>
      </c>
      <c r="F43" s="26" t="s">
        <v>9</v>
      </c>
      <c r="G43" s="26" t="s">
        <v>10</v>
      </c>
      <c r="H43" s="26" t="s">
        <v>11</v>
      </c>
      <c r="I43" s="26" t="s">
        <v>12</v>
      </c>
      <c r="J43" s="26" t="s">
        <v>13</v>
      </c>
      <c r="K43" s="26" t="s">
        <v>14</v>
      </c>
      <c r="L43" s="27" t="s">
        <v>15</v>
      </c>
    </row>
    <row r="44" spans="1:12" ht="14.25" customHeight="1" x14ac:dyDescent="0.3">
      <c r="A44" s="28" t="s">
        <v>24</v>
      </c>
      <c r="B44" s="29"/>
      <c r="C44" s="38">
        <f t="shared" ref="C44:L44" si="12">C16</f>
        <v>50000</v>
      </c>
      <c r="D44" s="38">
        <f t="shared" si="12"/>
        <v>53500</v>
      </c>
      <c r="E44" s="38">
        <f t="shared" si="12"/>
        <v>57245</v>
      </c>
      <c r="F44" s="38">
        <f t="shared" si="12"/>
        <v>61252.15</v>
      </c>
      <c r="G44" s="38">
        <f t="shared" si="12"/>
        <v>65539.800499999998</v>
      </c>
      <c r="H44" s="38">
        <f t="shared" si="12"/>
        <v>70127.586534999995</v>
      </c>
      <c r="I44" s="38">
        <f t="shared" si="12"/>
        <v>75036.517592449993</v>
      </c>
      <c r="J44" s="38">
        <f t="shared" si="12"/>
        <v>80289.073823921499</v>
      </c>
      <c r="K44" s="38">
        <f t="shared" si="12"/>
        <v>85909.308991596001</v>
      </c>
      <c r="L44" s="39">
        <f t="shared" si="12"/>
        <v>91922.960621007718</v>
      </c>
    </row>
    <row r="45" spans="1:12" ht="14.25" customHeight="1" x14ac:dyDescent="0.3">
      <c r="A45" s="28" t="s">
        <v>25</v>
      </c>
      <c r="B45" s="29"/>
      <c r="C45" s="38">
        <f t="shared" ref="C45:L45" si="13">C17</f>
        <v>200000</v>
      </c>
      <c r="D45" s="38">
        <f t="shared" si="13"/>
        <v>214000</v>
      </c>
      <c r="E45" s="38">
        <f t="shared" si="13"/>
        <v>228980</v>
      </c>
      <c r="F45" s="38">
        <f t="shared" si="13"/>
        <v>245008.6</v>
      </c>
      <c r="G45" s="38">
        <f t="shared" si="13"/>
        <v>262159.20199999999</v>
      </c>
      <c r="H45" s="38">
        <f t="shared" si="13"/>
        <v>280510.34613999998</v>
      </c>
      <c r="I45" s="38">
        <f t="shared" si="13"/>
        <v>300146.07036979997</v>
      </c>
      <c r="J45" s="38">
        <f t="shared" si="13"/>
        <v>321156.295295686</v>
      </c>
      <c r="K45" s="38">
        <f t="shared" si="13"/>
        <v>343637.235966384</v>
      </c>
      <c r="L45" s="39">
        <f t="shared" si="13"/>
        <v>367691.84248403087</v>
      </c>
    </row>
    <row r="46" spans="1:12" ht="15.75" customHeight="1" x14ac:dyDescent="0.3">
      <c r="A46" s="40" t="s">
        <v>46</v>
      </c>
      <c r="B46" s="41"/>
      <c r="C46" s="36">
        <f t="shared" ref="C46:L46" si="14">SUM(C44:C45)</f>
        <v>250000</v>
      </c>
      <c r="D46" s="36">
        <f t="shared" si="14"/>
        <v>267500</v>
      </c>
      <c r="E46" s="36">
        <f t="shared" si="14"/>
        <v>286225</v>
      </c>
      <c r="F46" s="36">
        <f t="shared" si="14"/>
        <v>306260.75</v>
      </c>
      <c r="G46" s="36">
        <f t="shared" si="14"/>
        <v>327699.0025</v>
      </c>
      <c r="H46" s="36">
        <f t="shared" si="14"/>
        <v>350637.93267499999</v>
      </c>
      <c r="I46" s="36">
        <f t="shared" si="14"/>
        <v>375182.58796224999</v>
      </c>
      <c r="J46" s="36">
        <f t="shared" si="14"/>
        <v>401445.36911960749</v>
      </c>
      <c r="K46" s="36">
        <f t="shared" si="14"/>
        <v>429546.54495797999</v>
      </c>
      <c r="L46" s="37">
        <f t="shared" si="14"/>
        <v>459614.80310503859</v>
      </c>
    </row>
    <row r="47" spans="1:12" ht="14.25" customHeight="1" x14ac:dyDescent="0.3">
      <c r="B47" s="21"/>
    </row>
    <row r="48" spans="1:12" ht="14.25" customHeight="1" x14ac:dyDescent="0.3">
      <c r="A48" s="22" t="s">
        <v>47</v>
      </c>
      <c r="B48" s="42"/>
      <c r="C48" s="43"/>
      <c r="D48" s="43"/>
      <c r="E48" s="43"/>
      <c r="F48" s="43"/>
      <c r="G48" s="43"/>
      <c r="H48" s="43"/>
    </row>
    <row r="49" spans="1:12" ht="14.25" customHeight="1" x14ac:dyDescent="0.3">
      <c r="A49" s="44" t="s">
        <v>21</v>
      </c>
      <c r="B49" s="42"/>
      <c r="C49" s="43"/>
      <c r="D49" s="43"/>
      <c r="E49" s="43"/>
      <c r="F49" s="43"/>
      <c r="G49" s="43"/>
      <c r="H49" s="43"/>
    </row>
    <row r="50" spans="1:12" ht="15.75" customHeight="1" x14ac:dyDescent="0.3">
      <c r="A50" s="160" t="s">
        <v>48</v>
      </c>
      <c r="B50" s="160"/>
      <c r="C50" s="160"/>
      <c r="D50" s="160"/>
      <c r="E50" s="160"/>
      <c r="F50" s="160"/>
      <c r="G50" s="160"/>
      <c r="H50" s="160"/>
    </row>
    <row r="51" spans="1:12" ht="14.25" customHeight="1" x14ac:dyDescent="0.3">
      <c r="A51" s="25" t="s">
        <v>36</v>
      </c>
      <c r="B51" s="26" t="s">
        <v>5</v>
      </c>
      <c r="C51" s="26" t="s">
        <v>6</v>
      </c>
      <c r="D51" s="26" t="s">
        <v>7</v>
      </c>
      <c r="E51" s="26" t="s">
        <v>8</v>
      </c>
      <c r="F51" s="26" t="s">
        <v>9</v>
      </c>
      <c r="G51" s="26" t="s">
        <v>10</v>
      </c>
      <c r="H51" s="26" t="s">
        <v>11</v>
      </c>
      <c r="I51" s="26" t="s">
        <v>12</v>
      </c>
      <c r="J51" s="26" t="s">
        <v>13</v>
      </c>
      <c r="K51" s="26" t="s">
        <v>14</v>
      </c>
      <c r="L51" s="27" t="s">
        <v>15</v>
      </c>
    </row>
    <row r="52" spans="1:12" ht="14.25" customHeight="1" x14ac:dyDescent="0.3">
      <c r="A52" s="28" t="s">
        <v>21</v>
      </c>
      <c r="B52" s="45"/>
      <c r="C52" s="38">
        <f t="shared" ref="C52:L52" si="15">C13+B52</f>
        <v>450000</v>
      </c>
      <c r="D52" s="38">
        <f t="shared" si="15"/>
        <v>700000</v>
      </c>
      <c r="E52" s="38">
        <f t="shared" si="15"/>
        <v>950000</v>
      </c>
      <c r="F52" s="38">
        <f t="shared" si="15"/>
        <v>1200000</v>
      </c>
      <c r="G52" s="38">
        <f t="shared" si="15"/>
        <v>1450000</v>
      </c>
      <c r="H52" s="38">
        <f t="shared" si="15"/>
        <v>1700000</v>
      </c>
      <c r="I52" s="38">
        <f t="shared" si="15"/>
        <v>1700000</v>
      </c>
      <c r="J52" s="38">
        <f t="shared" si="15"/>
        <v>1700000</v>
      </c>
      <c r="K52" s="38">
        <f t="shared" si="15"/>
        <v>1700000</v>
      </c>
      <c r="L52" s="38">
        <f t="shared" si="15"/>
        <v>1700000</v>
      </c>
    </row>
    <row r="53" spans="1:12" ht="15.75" customHeight="1" x14ac:dyDescent="0.3">
      <c r="A53" s="34" t="s">
        <v>49</v>
      </c>
      <c r="B53" s="46"/>
      <c r="C53" s="36">
        <f t="shared" ref="C53:L53" si="16">SUM(C52:C52)</f>
        <v>450000</v>
      </c>
      <c r="D53" s="36">
        <f t="shared" si="16"/>
        <v>700000</v>
      </c>
      <c r="E53" s="36">
        <f t="shared" si="16"/>
        <v>950000</v>
      </c>
      <c r="F53" s="36">
        <f t="shared" si="16"/>
        <v>1200000</v>
      </c>
      <c r="G53" s="36">
        <f t="shared" si="16"/>
        <v>1450000</v>
      </c>
      <c r="H53" s="36">
        <f t="shared" si="16"/>
        <v>1700000</v>
      </c>
      <c r="I53" s="36">
        <f t="shared" si="16"/>
        <v>1700000</v>
      </c>
      <c r="J53" s="36">
        <f t="shared" si="16"/>
        <v>1700000</v>
      </c>
      <c r="K53" s="36">
        <f t="shared" si="16"/>
        <v>1700000</v>
      </c>
      <c r="L53" s="37">
        <f t="shared" si="16"/>
        <v>1700000</v>
      </c>
    </row>
    <row r="54" spans="1:12" ht="14.25" customHeight="1" x14ac:dyDescent="0.3">
      <c r="A54" s="43"/>
      <c r="B54" s="42"/>
      <c r="C54" s="43"/>
      <c r="D54" s="43"/>
      <c r="E54" s="43"/>
      <c r="F54" s="43"/>
      <c r="G54" s="43"/>
      <c r="H54" s="43"/>
    </row>
    <row r="55" spans="1:12" ht="15.75" customHeight="1" x14ac:dyDescent="0.3">
      <c r="A55" s="160" t="s">
        <v>50</v>
      </c>
      <c r="B55" s="160"/>
      <c r="C55" s="160"/>
      <c r="D55" s="160"/>
      <c r="E55" s="160"/>
      <c r="F55" s="160"/>
      <c r="G55" s="160"/>
      <c r="H55" s="160"/>
    </row>
    <row r="56" spans="1:12" ht="14.25" customHeight="1" x14ac:dyDescent="0.3">
      <c r="A56" s="25" t="s">
        <v>36</v>
      </c>
      <c r="B56" s="26" t="s">
        <v>51</v>
      </c>
      <c r="C56" s="26" t="s">
        <v>6</v>
      </c>
      <c r="D56" s="26" t="s">
        <v>7</v>
      </c>
      <c r="E56" s="26" t="s">
        <v>8</v>
      </c>
      <c r="F56" s="26" t="s">
        <v>9</v>
      </c>
      <c r="G56" s="26" t="s">
        <v>10</v>
      </c>
      <c r="H56" s="26" t="s">
        <v>11</v>
      </c>
      <c r="I56" s="26" t="s">
        <v>12</v>
      </c>
      <c r="J56" s="26" t="s">
        <v>13</v>
      </c>
      <c r="K56" s="26" t="s">
        <v>14</v>
      </c>
      <c r="L56" s="27" t="s">
        <v>15</v>
      </c>
    </row>
    <row r="57" spans="1:12" ht="14.25" customHeight="1" x14ac:dyDescent="0.3">
      <c r="A57" s="47" t="s">
        <v>52</v>
      </c>
      <c r="B57" s="48"/>
      <c r="C57" s="49">
        <f t="shared" ref="C57:L57" si="17">C58</f>
        <v>450000</v>
      </c>
      <c r="D57" s="49">
        <f t="shared" si="17"/>
        <v>700000</v>
      </c>
      <c r="E57" s="49">
        <f t="shared" si="17"/>
        <v>950000</v>
      </c>
      <c r="F57" s="49">
        <f t="shared" si="17"/>
        <v>1200000</v>
      </c>
      <c r="G57" s="49">
        <f t="shared" si="17"/>
        <v>1450000</v>
      </c>
      <c r="H57" s="49">
        <f t="shared" si="17"/>
        <v>1700000</v>
      </c>
      <c r="I57" s="49">
        <f t="shared" si="17"/>
        <v>1700000</v>
      </c>
      <c r="J57" s="49">
        <f t="shared" si="17"/>
        <v>1700000</v>
      </c>
      <c r="K57" s="49">
        <f t="shared" si="17"/>
        <v>1700000</v>
      </c>
      <c r="L57" s="50">
        <f t="shared" si="17"/>
        <v>1700000</v>
      </c>
    </row>
    <row r="58" spans="1:12" ht="14.25" customHeight="1" x14ac:dyDescent="0.3">
      <c r="A58" s="28" t="s">
        <v>53</v>
      </c>
      <c r="B58" s="45"/>
      <c r="C58" s="38">
        <f t="shared" ref="C58:L58" si="18">C53</f>
        <v>450000</v>
      </c>
      <c r="D58" s="38">
        <f t="shared" si="18"/>
        <v>700000</v>
      </c>
      <c r="E58" s="38">
        <f t="shared" si="18"/>
        <v>950000</v>
      </c>
      <c r="F58" s="38">
        <f t="shared" si="18"/>
        <v>1200000</v>
      </c>
      <c r="G58" s="38">
        <f t="shared" si="18"/>
        <v>1450000</v>
      </c>
      <c r="H58" s="38">
        <f t="shared" si="18"/>
        <v>1700000</v>
      </c>
      <c r="I58" s="38">
        <f t="shared" si="18"/>
        <v>1700000</v>
      </c>
      <c r="J58" s="38">
        <f t="shared" si="18"/>
        <v>1700000</v>
      </c>
      <c r="K58" s="38">
        <f t="shared" si="18"/>
        <v>1700000</v>
      </c>
      <c r="L58" s="39">
        <f t="shared" si="18"/>
        <v>1700000</v>
      </c>
    </row>
    <row r="59" spans="1:12" ht="14.25" customHeight="1" x14ac:dyDescent="0.3">
      <c r="A59" s="47" t="s">
        <v>54</v>
      </c>
      <c r="B59" s="48"/>
      <c r="C59" s="49">
        <f t="shared" ref="C59:L59" si="19">SUM(C60:C61)</f>
        <v>0</v>
      </c>
      <c r="D59" s="49">
        <f t="shared" si="19"/>
        <v>0</v>
      </c>
      <c r="E59" s="49">
        <f t="shared" si="19"/>
        <v>0</v>
      </c>
      <c r="F59" s="49">
        <f t="shared" si="19"/>
        <v>0</v>
      </c>
      <c r="G59" s="49">
        <f t="shared" si="19"/>
        <v>0</v>
      </c>
      <c r="H59" s="49">
        <f t="shared" si="19"/>
        <v>0</v>
      </c>
      <c r="I59" s="49">
        <f t="shared" si="19"/>
        <v>0</v>
      </c>
      <c r="J59" s="49">
        <f t="shared" si="19"/>
        <v>0</v>
      </c>
      <c r="K59" s="49">
        <f t="shared" si="19"/>
        <v>0</v>
      </c>
      <c r="L59" s="50">
        <f t="shared" si="19"/>
        <v>0</v>
      </c>
    </row>
    <row r="60" spans="1:12" ht="14.25" customHeight="1" x14ac:dyDescent="0.3">
      <c r="A60" s="28" t="s">
        <v>55</v>
      </c>
      <c r="B60" s="45"/>
      <c r="C60" s="38">
        <v>0</v>
      </c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9">
        <v>0</v>
      </c>
    </row>
    <row r="61" spans="1:12" ht="14.25" customHeight="1" x14ac:dyDescent="0.3">
      <c r="A61" s="28" t="s">
        <v>56</v>
      </c>
      <c r="B61" s="45"/>
      <c r="C61" s="38">
        <v>0</v>
      </c>
      <c r="D61" s="38">
        <v>0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9">
        <v>0</v>
      </c>
    </row>
    <row r="62" spans="1:12" ht="14.25" customHeight="1" x14ac:dyDescent="0.3">
      <c r="A62" s="51" t="s">
        <v>57</v>
      </c>
      <c r="B62" s="52"/>
      <c r="C62" s="53">
        <f t="shared" ref="C62:L62" si="20">C57-C59</f>
        <v>450000</v>
      </c>
      <c r="D62" s="53">
        <f t="shared" si="20"/>
        <v>700000</v>
      </c>
      <c r="E62" s="53">
        <f t="shared" si="20"/>
        <v>950000</v>
      </c>
      <c r="F62" s="53">
        <f t="shared" si="20"/>
        <v>1200000</v>
      </c>
      <c r="G62" s="53">
        <f t="shared" si="20"/>
        <v>1450000</v>
      </c>
      <c r="H62" s="53">
        <f t="shared" si="20"/>
        <v>1700000</v>
      </c>
      <c r="I62" s="53">
        <f t="shared" si="20"/>
        <v>1700000</v>
      </c>
      <c r="J62" s="53">
        <f t="shared" si="20"/>
        <v>1700000</v>
      </c>
      <c r="K62" s="53">
        <f t="shared" si="20"/>
        <v>1700000</v>
      </c>
      <c r="L62" s="54">
        <f t="shared" si="20"/>
        <v>1700000</v>
      </c>
    </row>
    <row r="63" spans="1:12" ht="15.75" customHeight="1" x14ac:dyDescent="0.3">
      <c r="A63" s="34" t="s">
        <v>58</v>
      </c>
      <c r="B63" s="36">
        <f t="shared" ref="B63:L63" si="21">C62-B62</f>
        <v>450000</v>
      </c>
      <c r="C63" s="36">
        <f t="shared" si="21"/>
        <v>250000</v>
      </c>
      <c r="D63" s="36">
        <f t="shared" si="21"/>
        <v>250000</v>
      </c>
      <c r="E63" s="36">
        <f t="shared" si="21"/>
        <v>250000</v>
      </c>
      <c r="F63" s="36">
        <f t="shared" si="21"/>
        <v>250000</v>
      </c>
      <c r="G63" s="36">
        <f t="shared" si="21"/>
        <v>250000</v>
      </c>
      <c r="H63" s="36">
        <f t="shared" si="21"/>
        <v>0</v>
      </c>
      <c r="I63" s="36">
        <f t="shared" si="21"/>
        <v>0</v>
      </c>
      <c r="J63" s="36">
        <f t="shared" si="21"/>
        <v>0</v>
      </c>
      <c r="K63" s="36">
        <f t="shared" si="21"/>
        <v>0</v>
      </c>
      <c r="L63" s="37">
        <f t="shared" si="21"/>
        <v>-1700000</v>
      </c>
    </row>
    <row r="64" spans="1:12" ht="14.25" customHeight="1" x14ac:dyDescent="0.3">
      <c r="B64" s="24"/>
    </row>
    <row r="65" spans="1:12" ht="14.25" customHeight="1" x14ac:dyDescent="0.3">
      <c r="A65" s="22" t="s">
        <v>59</v>
      </c>
      <c r="B65" s="24"/>
    </row>
    <row r="66" spans="1:12" ht="15.75" customHeight="1" x14ac:dyDescent="0.3">
      <c r="A66" s="23" t="s">
        <v>60</v>
      </c>
      <c r="B66" s="24"/>
    </row>
    <row r="67" spans="1:12" ht="14.25" customHeight="1" x14ac:dyDescent="0.3">
      <c r="A67" s="25" t="s">
        <v>36</v>
      </c>
      <c r="B67" s="26" t="s">
        <v>5</v>
      </c>
      <c r="C67" s="26" t="s">
        <v>6</v>
      </c>
      <c r="D67" s="26" t="s">
        <v>7</v>
      </c>
      <c r="E67" s="26" t="s">
        <v>8</v>
      </c>
      <c r="F67" s="26" t="s">
        <v>9</v>
      </c>
      <c r="G67" s="26" t="s">
        <v>10</v>
      </c>
      <c r="H67" s="26" t="s">
        <v>11</v>
      </c>
      <c r="I67" s="26" t="s">
        <v>12</v>
      </c>
      <c r="J67" s="26" t="s">
        <v>13</v>
      </c>
      <c r="K67" s="26" t="s">
        <v>14</v>
      </c>
      <c r="L67" s="27" t="s">
        <v>15</v>
      </c>
    </row>
    <row r="68" spans="1:12" ht="14.25" customHeight="1" x14ac:dyDescent="0.3">
      <c r="A68" s="47" t="s">
        <v>61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6"/>
    </row>
    <row r="69" spans="1:12" ht="14.25" customHeight="1" x14ac:dyDescent="0.3">
      <c r="A69" s="28" t="s">
        <v>62</v>
      </c>
      <c r="B69" s="57">
        <v>100000</v>
      </c>
      <c r="C69" s="55"/>
      <c r="D69" s="55"/>
      <c r="E69" s="55"/>
      <c r="F69" s="55"/>
      <c r="G69" s="55"/>
      <c r="H69" s="55"/>
      <c r="I69" s="55"/>
      <c r="J69" s="55"/>
      <c r="K69" s="55"/>
      <c r="L69" s="56"/>
    </row>
    <row r="70" spans="1:12" ht="14.25" customHeight="1" x14ac:dyDescent="0.3">
      <c r="A70" s="28" t="s">
        <v>63</v>
      </c>
      <c r="B70" s="57">
        <f>3000000+200000+450000+50000</f>
        <v>3700000</v>
      </c>
      <c r="C70" s="55"/>
      <c r="D70" s="55"/>
      <c r="E70" s="55"/>
      <c r="F70" s="55"/>
      <c r="G70" s="55"/>
      <c r="H70" s="55"/>
      <c r="I70" s="55"/>
      <c r="J70" s="55"/>
      <c r="K70" s="55"/>
      <c r="L70" s="56"/>
    </row>
    <row r="71" spans="1:12" ht="14.25" customHeight="1" x14ac:dyDescent="0.3">
      <c r="A71" s="28" t="s">
        <v>64</v>
      </c>
      <c r="B71" s="57">
        <f>300000+100000</f>
        <v>400000</v>
      </c>
      <c r="C71" s="55"/>
      <c r="D71" s="55"/>
      <c r="E71" s="55"/>
      <c r="F71" s="55"/>
      <c r="G71" s="55"/>
      <c r="H71" s="55"/>
      <c r="I71" s="55"/>
      <c r="J71" s="55"/>
      <c r="K71" s="55"/>
      <c r="L71" s="56"/>
    </row>
    <row r="72" spans="1:12" ht="14.25" customHeight="1" x14ac:dyDescent="0.3">
      <c r="A72" s="28" t="s">
        <v>65</v>
      </c>
      <c r="B72" s="57">
        <v>750000</v>
      </c>
      <c r="C72" s="55"/>
      <c r="D72" s="55"/>
      <c r="E72" s="55"/>
      <c r="F72" s="55"/>
      <c r="G72" s="55"/>
      <c r="H72" s="55"/>
      <c r="I72" s="55"/>
      <c r="J72" s="55"/>
      <c r="K72" s="55"/>
      <c r="L72" s="56"/>
    </row>
    <row r="73" spans="1:12" ht="14.25" customHeight="1" x14ac:dyDescent="0.3">
      <c r="A73" s="47" t="s">
        <v>66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6"/>
    </row>
    <row r="74" spans="1:12" ht="14.25" customHeight="1" x14ac:dyDescent="0.3">
      <c r="A74" s="28" t="s">
        <v>67</v>
      </c>
      <c r="B74" s="57">
        <v>0</v>
      </c>
      <c r="C74" s="55"/>
      <c r="D74" s="55"/>
      <c r="E74" s="55"/>
      <c r="F74" s="55"/>
      <c r="G74" s="55"/>
      <c r="H74" s="55"/>
      <c r="I74" s="55"/>
      <c r="J74" s="55"/>
      <c r="K74" s="55"/>
      <c r="L74" s="56"/>
    </row>
    <row r="75" spans="1:12" ht="14.25" customHeight="1" x14ac:dyDescent="0.3">
      <c r="A75" s="47" t="s">
        <v>21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6"/>
    </row>
    <row r="76" spans="1:12" ht="14.25" customHeight="1" x14ac:dyDescent="0.3">
      <c r="A76" s="28" t="s">
        <v>68</v>
      </c>
      <c r="B76" s="57">
        <f t="shared" ref="B76:L76" si="22">B63</f>
        <v>450000</v>
      </c>
      <c r="C76" s="57">
        <f t="shared" si="22"/>
        <v>250000</v>
      </c>
      <c r="D76" s="57">
        <f t="shared" si="22"/>
        <v>250000</v>
      </c>
      <c r="E76" s="57">
        <f t="shared" si="22"/>
        <v>250000</v>
      </c>
      <c r="F76" s="57">
        <f t="shared" si="22"/>
        <v>250000</v>
      </c>
      <c r="G76" s="57">
        <f t="shared" si="22"/>
        <v>250000</v>
      </c>
      <c r="H76" s="57">
        <f t="shared" si="22"/>
        <v>0</v>
      </c>
      <c r="I76" s="57">
        <f t="shared" si="22"/>
        <v>0</v>
      </c>
      <c r="J76" s="57">
        <f t="shared" si="22"/>
        <v>0</v>
      </c>
      <c r="K76" s="57">
        <f t="shared" si="22"/>
        <v>0</v>
      </c>
      <c r="L76" s="58">
        <f t="shared" si="22"/>
        <v>-1700000</v>
      </c>
    </row>
    <row r="77" spans="1:12" ht="15.75" customHeight="1" x14ac:dyDescent="0.3">
      <c r="A77" s="40" t="s">
        <v>69</v>
      </c>
      <c r="B77" s="59">
        <f t="shared" ref="B77:L77" si="23">SUM(B68:B76)</f>
        <v>5400000</v>
      </c>
      <c r="C77" s="59">
        <f t="shared" si="23"/>
        <v>250000</v>
      </c>
      <c r="D77" s="59">
        <f t="shared" si="23"/>
        <v>250000</v>
      </c>
      <c r="E77" s="59">
        <f t="shared" si="23"/>
        <v>250000</v>
      </c>
      <c r="F77" s="59">
        <f t="shared" si="23"/>
        <v>250000</v>
      </c>
      <c r="G77" s="59">
        <f t="shared" si="23"/>
        <v>250000</v>
      </c>
      <c r="H77" s="59">
        <f t="shared" si="23"/>
        <v>0</v>
      </c>
      <c r="I77" s="59">
        <f t="shared" si="23"/>
        <v>0</v>
      </c>
      <c r="J77" s="59">
        <f t="shared" si="23"/>
        <v>0</v>
      </c>
      <c r="K77" s="59">
        <f t="shared" si="23"/>
        <v>0</v>
      </c>
      <c r="L77" s="60">
        <f t="shared" si="23"/>
        <v>-1700000</v>
      </c>
    </row>
    <row r="78" spans="1:12" ht="14.25" customHeight="1" x14ac:dyDescent="0.3">
      <c r="B78" s="21"/>
    </row>
    <row r="79" spans="1:12" ht="14.25" customHeight="1" x14ac:dyDescent="0.3">
      <c r="A79" s="22" t="s">
        <v>70</v>
      </c>
      <c r="B79" s="24"/>
    </row>
    <row r="80" spans="1:12" ht="15.75" customHeight="1" x14ac:dyDescent="0.3">
      <c r="A80" s="23" t="s">
        <v>71</v>
      </c>
      <c r="B80" s="24"/>
    </row>
    <row r="81" spans="1:22" ht="14.25" customHeight="1" x14ac:dyDescent="0.3">
      <c r="A81" s="25" t="s">
        <v>36</v>
      </c>
      <c r="B81" s="26" t="s">
        <v>5</v>
      </c>
      <c r="C81" s="26" t="s">
        <v>6</v>
      </c>
      <c r="D81" s="26" t="s">
        <v>7</v>
      </c>
      <c r="E81" s="26" t="s">
        <v>8</v>
      </c>
      <c r="F81" s="26" t="s">
        <v>9</v>
      </c>
      <c r="G81" s="26" t="s">
        <v>10</v>
      </c>
      <c r="H81" s="26" t="s">
        <v>11</v>
      </c>
      <c r="I81" s="26" t="s">
        <v>12</v>
      </c>
      <c r="J81" s="26" t="s">
        <v>13</v>
      </c>
      <c r="K81" s="26" t="s">
        <v>14</v>
      </c>
      <c r="L81" s="27" t="s">
        <v>15</v>
      </c>
      <c r="R81" s="61" t="s">
        <v>72</v>
      </c>
      <c r="S81" s="62" t="s">
        <v>73</v>
      </c>
      <c r="T81" s="62" t="s">
        <v>74</v>
      </c>
      <c r="U81" s="62" t="s">
        <v>75</v>
      </c>
      <c r="V81" s="62" t="s">
        <v>76</v>
      </c>
    </row>
    <row r="82" spans="1:22" ht="14.25" customHeight="1" x14ac:dyDescent="0.3">
      <c r="A82" s="28" t="s">
        <v>77</v>
      </c>
      <c r="B82" s="55"/>
      <c r="C82" s="57">
        <f t="shared" ref="C82:L82" si="24">$V$82</f>
        <v>2500</v>
      </c>
      <c r="D82" s="57">
        <f t="shared" si="24"/>
        <v>2500</v>
      </c>
      <c r="E82" s="57">
        <f t="shared" si="24"/>
        <v>2500</v>
      </c>
      <c r="F82" s="57">
        <f t="shared" si="24"/>
        <v>2500</v>
      </c>
      <c r="G82" s="57">
        <f t="shared" si="24"/>
        <v>2500</v>
      </c>
      <c r="H82" s="57">
        <f t="shared" si="24"/>
        <v>2500</v>
      </c>
      <c r="I82" s="57">
        <f t="shared" si="24"/>
        <v>2500</v>
      </c>
      <c r="J82" s="57">
        <f t="shared" si="24"/>
        <v>2500</v>
      </c>
      <c r="K82" s="57">
        <f t="shared" si="24"/>
        <v>2500</v>
      </c>
      <c r="L82" s="57">
        <f t="shared" si="24"/>
        <v>2500</v>
      </c>
      <c r="R82" s="63" t="s">
        <v>78</v>
      </c>
      <c r="S82" s="15">
        <f>B69</f>
        <v>100000</v>
      </c>
      <c r="T82" s="64">
        <v>50000</v>
      </c>
      <c r="U82" s="65">
        <v>20</v>
      </c>
      <c r="V82" s="15">
        <f>(S82-T82)/U82</f>
        <v>2500</v>
      </c>
    </row>
    <row r="83" spans="1:22" ht="14.25" customHeight="1" x14ac:dyDescent="0.3">
      <c r="A83" s="28" t="s">
        <v>79</v>
      </c>
      <c r="B83" s="55"/>
      <c r="C83" s="57">
        <f t="shared" ref="C83:L83" si="25">$V$83+$V$84</f>
        <v>270000</v>
      </c>
      <c r="D83" s="57">
        <f t="shared" si="25"/>
        <v>270000</v>
      </c>
      <c r="E83" s="57">
        <f t="shared" si="25"/>
        <v>270000</v>
      </c>
      <c r="F83" s="57">
        <f t="shared" si="25"/>
        <v>270000</v>
      </c>
      <c r="G83" s="57">
        <f t="shared" si="25"/>
        <v>270000</v>
      </c>
      <c r="H83" s="57">
        <f t="shared" si="25"/>
        <v>270000</v>
      </c>
      <c r="I83" s="57">
        <f t="shared" si="25"/>
        <v>270000</v>
      </c>
      <c r="J83" s="57">
        <f t="shared" si="25"/>
        <v>270000</v>
      </c>
      <c r="K83" s="57">
        <f t="shared" si="25"/>
        <v>270000</v>
      </c>
      <c r="L83" s="57">
        <f t="shared" si="25"/>
        <v>270000</v>
      </c>
      <c r="R83" s="63" t="s">
        <v>80</v>
      </c>
      <c r="S83" s="15">
        <v>3000000</v>
      </c>
      <c r="T83" s="64">
        <v>1000000</v>
      </c>
      <c r="U83" s="66">
        <v>10</v>
      </c>
      <c r="V83" s="15">
        <f>(S83-T83)/U83</f>
        <v>200000</v>
      </c>
    </row>
    <row r="84" spans="1:22" ht="14.25" customHeight="1" x14ac:dyDescent="0.3">
      <c r="A84" s="28" t="s">
        <v>81</v>
      </c>
      <c r="B84" s="55"/>
      <c r="C84" s="57">
        <f>$V$85</f>
        <v>80000</v>
      </c>
      <c r="D84" s="57">
        <f>$V$85</f>
        <v>80000</v>
      </c>
      <c r="E84" s="57">
        <f>$V$85</f>
        <v>80000</v>
      </c>
      <c r="F84" s="57">
        <f>$V$85</f>
        <v>80000</v>
      </c>
      <c r="G84" s="57">
        <f>$V$85</f>
        <v>80000</v>
      </c>
      <c r="H84" s="57">
        <v>0</v>
      </c>
      <c r="I84" s="57">
        <v>0</v>
      </c>
      <c r="J84" s="57">
        <v>0</v>
      </c>
      <c r="K84" s="57">
        <v>0</v>
      </c>
      <c r="L84" s="57">
        <v>0</v>
      </c>
      <c r="R84" s="63" t="s">
        <v>82</v>
      </c>
      <c r="S84" s="67">
        <f>B70-S83</f>
        <v>700000</v>
      </c>
      <c r="T84" s="63">
        <v>0</v>
      </c>
      <c r="U84" s="65">
        <v>10</v>
      </c>
      <c r="V84" s="15">
        <f>(S84-T84)/U84</f>
        <v>70000</v>
      </c>
    </row>
    <row r="85" spans="1:22" ht="14.25" customHeight="1" x14ac:dyDescent="0.3">
      <c r="A85" s="68" t="s">
        <v>83</v>
      </c>
      <c r="B85" s="69"/>
      <c r="C85" s="70">
        <f t="shared" ref="C85:L85" si="26">SUM(C82:C84)</f>
        <v>352500</v>
      </c>
      <c r="D85" s="70">
        <f t="shared" si="26"/>
        <v>352500</v>
      </c>
      <c r="E85" s="70">
        <f t="shared" si="26"/>
        <v>352500</v>
      </c>
      <c r="F85" s="70">
        <f t="shared" si="26"/>
        <v>352500</v>
      </c>
      <c r="G85" s="70">
        <f t="shared" si="26"/>
        <v>352500</v>
      </c>
      <c r="H85" s="70">
        <f t="shared" si="26"/>
        <v>272500</v>
      </c>
      <c r="I85" s="70">
        <f t="shared" si="26"/>
        <v>272500</v>
      </c>
      <c r="J85" s="70">
        <f t="shared" si="26"/>
        <v>272500</v>
      </c>
      <c r="K85" s="70">
        <f t="shared" si="26"/>
        <v>272500</v>
      </c>
      <c r="L85" s="70">
        <f t="shared" si="26"/>
        <v>272500</v>
      </c>
      <c r="R85" s="63" t="s">
        <v>84</v>
      </c>
      <c r="S85" s="15">
        <f>B71</f>
        <v>400000</v>
      </c>
      <c r="T85" s="64">
        <v>0</v>
      </c>
      <c r="U85" s="66">
        <v>5</v>
      </c>
      <c r="V85" s="15">
        <f>(S85-T85)/U85</f>
        <v>80000</v>
      </c>
    </row>
    <row r="86" spans="1:22" ht="14.25" customHeight="1" x14ac:dyDescent="0.3">
      <c r="A86" s="71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6"/>
      <c r="S86" s="72">
        <f>SUM(S82:S85)</f>
        <v>4200000</v>
      </c>
    </row>
    <row r="87" spans="1:22" ht="14.25" customHeight="1" x14ac:dyDescent="0.3">
      <c r="A87" s="28" t="s">
        <v>85</v>
      </c>
      <c r="B87" s="55"/>
      <c r="C87" s="57">
        <f t="shared" ref="C87:L87" si="27">$B$74/10</f>
        <v>0</v>
      </c>
      <c r="D87" s="57">
        <f t="shared" si="27"/>
        <v>0</v>
      </c>
      <c r="E87" s="57">
        <f t="shared" si="27"/>
        <v>0</v>
      </c>
      <c r="F87" s="57">
        <f t="shared" si="27"/>
        <v>0</v>
      </c>
      <c r="G87" s="57">
        <f t="shared" si="27"/>
        <v>0</v>
      </c>
      <c r="H87" s="57">
        <f t="shared" si="27"/>
        <v>0</v>
      </c>
      <c r="I87" s="57">
        <f t="shared" si="27"/>
        <v>0</v>
      </c>
      <c r="J87" s="57">
        <f t="shared" si="27"/>
        <v>0</v>
      </c>
      <c r="K87" s="57">
        <f t="shared" si="27"/>
        <v>0</v>
      </c>
      <c r="L87" s="73">
        <f t="shared" si="27"/>
        <v>0</v>
      </c>
      <c r="O87" s="74"/>
    </row>
    <row r="88" spans="1:22" ht="15.75" customHeight="1" x14ac:dyDescent="0.3">
      <c r="A88" s="40" t="s">
        <v>86</v>
      </c>
      <c r="B88" s="75"/>
      <c r="C88" s="59">
        <f t="shared" ref="C88:L88" si="28">SUM(C87)</f>
        <v>0</v>
      </c>
      <c r="D88" s="59">
        <f t="shared" si="28"/>
        <v>0</v>
      </c>
      <c r="E88" s="59">
        <f t="shared" si="28"/>
        <v>0</v>
      </c>
      <c r="F88" s="59">
        <f t="shared" si="28"/>
        <v>0</v>
      </c>
      <c r="G88" s="59">
        <f t="shared" si="28"/>
        <v>0</v>
      </c>
      <c r="H88" s="59">
        <f t="shared" si="28"/>
        <v>0</v>
      </c>
      <c r="I88" s="59">
        <f t="shared" si="28"/>
        <v>0</v>
      </c>
      <c r="J88" s="59">
        <f t="shared" si="28"/>
        <v>0</v>
      </c>
      <c r="K88" s="59">
        <f t="shared" si="28"/>
        <v>0</v>
      </c>
      <c r="L88" s="60">
        <f t="shared" si="28"/>
        <v>0</v>
      </c>
      <c r="O88" s="74"/>
    </row>
    <row r="89" spans="1:22" ht="14.25" customHeight="1" x14ac:dyDescent="0.3">
      <c r="B89" s="21"/>
    </row>
    <row r="90" spans="1:22" ht="14.25" customHeight="1" x14ac:dyDescent="0.3">
      <c r="A90" s="22" t="s">
        <v>87</v>
      </c>
      <c r="B90" s="24"/>
    </row>
    <row r="91" spans="1:22" ht="15.75" customHeight="1" x14ac:dyDescent="0.3">
      <c r="A91" s="23" t="s">
        <v>88</v>
      </c>
      <c r="B91" s="24"/>
    </row>
    <row r="92" spans="1:22" ht="14.25" customHeight="1" x14ac:dyDescent="0.3">
      <c r="A92" s="161" t="s">
        <v>36</v>
      </c>
      <c r="B92" s="76" t="s">
        <v>89</v>
      </c>
      <c r="C92" s="162" t="s">
        <v>90</v>
      </c>
      <c r="D92" s="162"/>
      <c r="E92" s="162"/>
      <c r="F92" s="162"/>
      <c r="G92" s="162"/>
      <c r="H92" s="162"/>
      <c r="I92" s="162"/>
      <c r="J92" s="162"/>
      <c r="K92" s="162"/>
      <c r="L92" s="162"/>
      <c r="M92" s="77" t="s">
        <v>91</v>
      </c>
    </row>
    <row r="93" spans="1:22" ht="14.25" customHeight="1" x14ac:dyDescent="0.3">
      <c r="A93" s="161"/>
      <c r="B93" s="62" t="s">
        <v>92</v>
      </c>
      <c r="C93" s="78" t="s">
        <v>6</v>
      </c>
      <c r="D93" s="78" t="s">
        <v>7</v>
      </c>
      <c r="E93" s="78" t="s">
        <v>8</v>
      </c>
      <c r="F93" s="78" t="s">
        <v>9</v>
      </c>
      <c r="G93" s="78" t="s">
        <v>10</v>
      </c>
      <c r="H93" s="78" t="s">
        <v>11</v>
      </c>
      <c r="I93" s="78" t="s">
        <v>12</v>
      </c>
      <c r="J93" s="78" t="s">
        <v>13</v>
      </c>
      <c r="K93" s="78" t="s">
        <v>14</v>
      </c>
      <c r="L93" s="78" t="s">
        <v>15</v>
      </c>
      <c r="M93" s="79" t="s">
        <v>93</v>
      </c>
    </row>
    <row r="94" spans="1:22" ht="14.25" customHeight="1" x14ac:dyDescent="0.3">
      <c r="A94" s="28" t="s">
        <v>77</v>
      </c>
      <c r="B94" s="57">
        <f>B69</f>
        <v>100000</v>
      </c>
      <c r="C94" s="57">
        <f t="shared" ref="C94:L94" si="29">C82</f>
        <v>2500</v>
      </c>
      <c r="D94" s="57">
        <f t="shared" si="29"/>
        <v>2500</v>
      </c>
      <c r="E94" s="57">
        <f t="shared" si="29"/>
        <v>2500</v>
      </c>
      <c r="F94" s="57">
        <f t="shared" si="29"/>
        <v>2500</v>
      </c>
      <c r="G94" s="57">
        <f t="shared" si="29"/>
        <v>2500</v>
      </c>
      <c r="H94" s="57">
        <f t="shared" si="29"/>
        <v>2500</v>
      </c>
      <c r="I94" s="57">
        <f t="shared" si="29"/>
        <v>2500</v>
      </c>
      <c r="J94" s="57">
        <f t="shared" si="29"/>
        <v>2500</v>
      </c>
      <c r="K94" s="57">
        <f t="shared" si="29"/>
        <v>2500</v>
      </c>
      <c r="L94" s="57">
        <f t="shared" si="29"/>
        <v>2500</v>
      </c>
      <c r="M94" s="73">
        <f>B94-SUM(C94:L94)</f>
        <v>75000</v>
      </c>
    </row>
    <row r="95" spans="1:22" ht="14.25" customHeight="1" x14ac:dyDescent="0.3">
      <c r="A95" s="28" t="s">
        <v>79</v>
      </c>
      <c r="B95" s="57">
        <f>B70</f>
        <v>3700000</v>
      </c>
      <c r="C95" s="57">
        <f t="shared" ref="C95:L95" si="30">C83</f>
        <v>270000</v>
      </c>
      <c r="D95" s="57">
        <f t="shared" si="30"/>
        <v>270000</v>
      </c>
      <c r="E95" s="57">
        <f t="shared" si="30"/>
        <v>270000</v>
      </c>
      <c r="F95" s="57">
        <f t="shared" si="30"/>
        <v>270000</v>
      </c>
      <c r="G95" s="57">
        <f t="shared" si="30"/>
        <v>270000</v>
      </c>
      <c r="H95" s="57">
        <f t="shared" si="30"/>
        <v>270000</v>
      </c>
      <c r="I95" s="57">
        <f t="shared" si="30"/>
        <v>270000</v>
      </c>
      <c r="J95" s="57">
        <f t="shared" si="30"/>
        <v>270000</v>
      </c>
      <c r="K95" s="57">
        <f t="shared" si="30"/>
        <v>270000</v>
      </c>
      <c r="L95" s="57">
        <f t="shared" si="30"/>
        <v>270000</v>
      </c>
      <c r="M95" s="73">
        <f>B95-SUM(C95:L95)</f>
        <v>1000000</v>
      </c>
    </row>
    <row r="96" spans="1:22" ht="14.25" customHeight="1" x14ac:dyDescent="0.3">
      <c r="A96" s="28" t="s">
        <v>81</v>
      </c>
      <c r="B96" s="57">
        <f>B71</f>
        <v>400000</v>
      </c>
      <c r="C96" s="57">
        <f t="shared" ref="C96:L96" si="31">C84</f>
        <v>80000</v>
      </c>
      <c r="D96" s="57">
        <f t="shared" si="31"/>
        <v>80000</v>
      </c>
      <c r="E96" s="57">
        <f t="shared" si="31"/>
        <v>80000</v>
      </c>
      <c r="F96" s="57">
        <f t="shared" si="31"/>
        <v>80000</v>
      </c>
      <c r="G96" s="57">
        <f t="shared" si="31"/>
        <v>80000</v>
      </c>
      <c r="H96" s="57">
        <f t="shared" si="31"/>
        <v>0</v>
      </c>
      <c r="I96" s="57">
        <f t="shared" si="31"/>
        <v>0</v>
      </c>
      <c r="J96" s="57">
        <f t="shared" si="31"/>
        <v>0</v>
      </c>
      <c r="K96" s="57">
        <f t="shared" si="31"/>
        <v>0</v>
      </c>
      <c r="L96" s="57">
        <f t="shared" si="31"/>
        <v>0</v>
      </c>
      <c r="M96" s="73">
        <f>B96-SUM(C96:L96)</f>
        <v>0</v>
      </c>
    </row>
    <row r="97" spans="1:13" ht="15.75" customHeight="1" x14ac:dyDescent="0.3">
      <c r="A97" s="80" t="s">
        <v>85</v>
      </c>
      <c r="B97" s="81">
        <f>B74</f>
        <v>0</v>
      </c>
      <c r="C97" s="81">
        <f t="shared" ref="C97:L97" si="32">C87</f>
        <v>0</v>
      </c>
      <c r="D97" s="81">
        <f t="shared" si="32"/>
        <v>0</v>
      </c>
      <c r="E97" s="81">
        <f t="shared" si="32"/>
        <v>0</v>
      </c>
      <c r="F97" s="81">
        <f t="shared" si="32"/>
        <v>0</v>
      </c>
      <c r="G97" s="81">
        <f t="shared" si="32"/>
        <v>0</v>
      </c>
      <c r="H97" s="81">
        <f t="shared" si="32"/>
        <v>0</v>
      </c>
      <c r="I97" s="81">
        <f t="shared" si="32"/>
        <v>0</v>
      </c>
      <c r="J97" s="81">
        <f t="shared" si="32"/>
        <v>0</v>
      </c>
      <c r="K97" s="81">
        <f t="shared" si="32"/>
        <v>0</v>
      </c>
      <c r="L97" s="81">
        <f t="shared" si="32"/>
        <v>0</v>
      </c>
      <c r="M97" s="82">
        <f>B97-SUM(C97:L97)</f>
        <v>0</v>
      </c>
    </row>
    <row r="98" spans="1:13" ht="15.75" customHeight="1" x14ac:dyDescent="0.3">
      <c r="A98" s="163" t="s">
        <v>94</v>
      </c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83">
        <f>SUM(M94:M97)</f>
        <v>1075000</v>
      </c>
    </row>
    <row r="99" spans="1:13" ht="14.25" customHeight="1" x14ac:dyDescent="0.3">
      <c r="B99" s="21"/>
    </row>
    <row r="100" spans="1:13" ht="14.25" customHeight="1" x14ac:dyDescent="0.3">
      <c r="A100" s="22" t="s">
        <v>95</v>
      </c>
      <c r="B100" s="24"/>
      <c r="J100" s="122" t="s">
        <v>150</v>
      </c>
      <c r="K100" s="20">
        <f>B102</f>
        <v>2700000</v>
      </c>
      <c r="L100" s="24"/>
    </row>
    <row r="101" spans="1:13" ht="15.75" customHeight="1" x14ac:dyDescent="0.3">
      <c r="A101" s="44" t="s">
        <v>96</v>
      </c>
      <c r="B101" s="42"/>
      <c r="C101" s="43"/>
      <c r="D101" s="43"/>
      <c r="E101" s="43"/>
      <c r="J101" s="122" t="s">
        <v>151</v>
      </c>
      <c r="K101" s="123">
        <f>B103</f>
        <v>0.1</v>
      </c>
      <c r="L101" s="24"/>
    </row>
    <row r="102" spans="1:13" ht="14.25" customHeight="1" x14ac:dyDescent="0.3">
      <c r="A102" s="84" t="s">
        <v>97</v>
      </c>
      <c r="B102" s="85">
        <f>B77*E102</f>
        <v>2700000</v>
      </c>
      <c r="C102" s="86"/>
      <c r="D102" s="43"/>
      <c r="E102" s="87">
        <v>0.5</v>
      </c>
      <c r="J102" s="122" t="s">
        <v>152</v>
      </c>
      <c r="K102" s="20">
        <v>5</v>
      </c>
      <c r="L102" s="20" t="s">
        <v>153</v>
      </c>
    </row>
    <row r="103" spans="1:13" ht="14.25" customHeight="1" x14ac:dyDescent="0.3">
      <c r="A103" s="28" t="s">
        <v>98</v>
      </c>
      <c r="B103" s="88">
        <f>B22</f>
        <v>0.1</v>
      </c>
      <c r="C103" s="89"/>
      <c r="D103" s="43"/>
      <c r="E103" s="43"/>
      <c r="J103" s="122" t="s">
        <v>154</v>
      </c>
      <c r="K103" s="124">
        <f>K101/(1-K101)</f>
        <v>0.11111111111111112</v>
      </c>
      <c r="L103" s="24"/>
    </row>
    <row r="104" spans="1:13" ht="14.25" customHeight="1" x14ac:dyDescent="0.3">
      <c r="A104" s="28" t="s">
        <v>99</v>
      </c>
      <c r="B104" s="90">
        <v>7</v>
      </c>
      <c r="C104" s="91" t="s">
        <v>100</v>
      </c>
      <c r="D104" s="43"/>
      <c r="E104" s="43"/>
      <c r="J104" s="122" t="s">
        <v>155</v>
      </c>
      <c r="K104" s="20">
        <f>K100*(1-K101)</f>
        <v>2430000</v>
      </c>
      <c r="L104" s="24"/>
    </row>
    <row r="105" spans="1:13" ht="15.75" customHeight="1" x14ac:dyDescent="0.3">
      <c r="A105" s="92" t="s">
        <v>101</v>
      </c>
      <c r="B105" s="159" t="s">
        <v>102</v>
      </c>
      <c r="C105" s="159"/>
      <c r="D105" s="43"/>
      <c r="E105" s="43"/>
      <c r="J105" s="122" t="s">
        <v>156</v>
      </c>
      <c r="K105" s="20">
        <f>PMT(K103,K102,-K104)</f>
        <v>659324.55861883704</v>
      </c>
      <c r="L105" s="24"/>
    </row>
    <row r="106" spans="1:13" ht="15.75" customHeight="1" x14ac:dyDescent="0.3">
      <c r="A106" s="43"/>
      <c r="B106" s="42"/>
      <c r="C106" s="43"/>
      <c r="D106" s="43"/>
      <c r="E106" s="125">
        <v>1</v>
      </c>
      <c r="F106" s="4">
        <v>2</v>
      </c>
      <c r="G106" s="4">
        <v>3</v>
      </c>
      <c r="H106" s="4">
        <v>4</v>
      </c>
      <c r="I106" s="4">
        <v>5</v>
      </c>
      <c r="L106" s="24"/>
    </row>
    <row r="107" spans="1:13" ht="14.25" customHeight="1" x14ac:dyDescent="0.3">
      <c r="A107" s="25" t="s">
        <v>36</v>
      </c>
      <c r="B107" s="26" t="s">
        <v>5</v>
      </c>
      <c r="C107" s="26" t="s">
        <v>6</v>
      </c>
      <c r="D107" s="26" t="s">
        <v>7</v>
      </c>
      <c r="E107" s="26" t="s">
        <v>8</v>
      </c>
      <c r="F107" s="26" t="s">
        <v>9</v>
      </c>
      <c r="G107" s="26" t="s">
        <v>10</v>
      </c>
      <c r="H107" s="26" t="s">
        <v>11</v>
      </c>
      <c r="I107" s="26" t="s">
        <v>12</v>
      </c>
      <c r="L107" s="24"/>
    </row>
    <row r="108" spans="1:13" ht="14.25" customHeight="1" x14ac:dyDescent="0.3">
      <c r="A108" s="28" t="s">
        <v>103</v>
      </c>
      <c r="B108" s="57">
        <f>B102</f>
        <v>2700000</v>
      </c>
      <c r="C108" s="57">
        <f t="shared" ref="C108:I108" si="33">B108-C111</f>
        <v>2700000</v>
      </c>
      <c r="D108" s="57">
        <f t="shared" si="33"/>
        <v>2700000</v>
      </c>
      <c r="E108" s="57">
        <f t="shared" si="33"/>
        <v>2267417.157090181</v>
      </c>
      <c r="F108" s="57">
        <f t="shared" si="33"/>
        <v>1786769.5538570487</v>
      </c>
      <c r="G108" s="57">
        <f t="shared" si="33"/>
        <v>1252716.6613757908</v>
      </c>
      <c r="H108" s="57">
        <f t="shared" si="33"/>
        <v>659324.5586188375</v>
      </c>
      <c r="I108" s="57">
        <f t="shared" si="33"/>
        <v>0</v>
      </c>
    </row>
    <row r="109" spans="1:13" ht="14.25" customHeight="1" x14ac:dyDescent="0.3">
      <c r="A109" s="28" t="s">
        <v>104</v>
      </c>
      <c r="B109" s="57">
        <f>B110</f>
        <v>270000</v>
      </c>
      <c r="C109" s="57">
        <f>C110</f>
        <v>270000</v>
      </c>
      <c r="D109" s="57">
        <f>D110</f>
        <v>270000</v>
      </c>
      <c r="E109" s="57">
        <f>$K$105</f>
        <v>659324.55861883704</v>
      </c>
      <c r="F109" s="57">
        <f>$K$105</f>
        <v>659324.55861883704</v>
      </c>
      <c r="G109" s="57">
        <f>$K$105</f>
        <v>659324.55861883704</v>
      </c>
      <c r="H109" s="57">
        <f>$K$105</f>
        <v>659324.55861883704</v>
      </c>
      <c r="I109" s="57">
        <f>$K$105</f>
        <v>659324.55861883704</v>
      </c>
    </row>
    <row r="110" spans="1:13" ht="14.25" customHeight="1" x14ac:dyDescent="0.3">
      <c r="A110" s="28" t="s">
        <v>105</v>
      </c>
      <c r="B110" s="57">
        <f>B108*$B$103</f>
        <v>270000</v>
      </c>
      <c r="C110" s="57">
        <f>B108*$B$103</f>
        <v>270000</v>
      </c>
      <c r="D110" s="57">
        <f>C108*$B$103</f>
        <v>270000</v>
      </c>
      <c r="E110" s="57">
        <f>E108*$B$103</f>
        <v>226741.71570901811</v>
      </c>
      <c r="F110" s="57">
        <f>F108*$B$103</f>
        <v>178676.95538570487</v>
      </c>
      <c r="G110" s="57">
        <f>G108*$B$103</f>
        <v>125271.66613757909</v>
      </c>
      <c r="H110" s="57">
        <f>H108*$B$103</f>
        <v>65932.455861883747</v>
      </c>
      <c r="I110" s="57">
        <f>I108*$B$103</f>
        <v>0</v>
      </c>
    </row>
    <row r="111" spans="1:13" ht="15.75" customHeight="1" x14ac:dyDescent="0.3">
      <c r="A111" s="92" t="s">
        <v>106</v>
      </c>
      <c r="B111" s="93"/>
      <c r="C111" s="81">
        <f>C109-C110</f>
        <v>0</v>
      </c>
      <c r="D111" s="81">
        <f>D109-D110</f>
        <v>0</v>
      </c>
      <c r="E111" s="81">
        <f>((E109*(1-$K$101)^($K$102-E106)))</f>
        <v>432582.84290981904</v>
      </c>
      <c r="F111" s="81">
        <f>((F109*(1-$K$101)^($K$102-F106)))</f>
        <v>480647.60323313228</v>
      </c>
      <c r="G111" s="81">
        <f>((G109*(1-$K$101)^($K$102-G106)))</f>
        <v>534052.89248125802</v>
      </c>
      <c r="H111" s="81">
        <f>((H109*(1-$K$101)^($K$102-H106)))</f>
        <v>593392.10275695333</v>
      </c>
      <c r="I111" s="81">
        <f>((I109*(1-$K$101)^($K$102-I106)))</f>
        <v>659324.55861883704</v>
      </c>
    </row>
    <row r="112" spans="1:13" ht="14.25" customHeight="1" x14ac:dyDescent="0.3">
      <c r="B112" s="21"/>
    </row>
    <row r="113" spans="1:12" ht="14.25" customHeight="1" x14ac:dyDescent="0.3">
      <c r="A113" s="22" t="s">
        <v>107</v>
      </c>
      <c r="B113" s="24"/>
    </row>
    <row r="114" spans="1:12" ht="15.75" customHeight="1" x14ac:dyDescent="0.3">
      <c r="A114" s="4" t="s">
        <v>108</v>
      </c>
      <c r="B114" s="24"/>
    </row>
    <row r="115" spans="1:12" ht="14.25" customHeight="1" x14ac:dyDescent="0.3">
      <c r="A115" s="25" t="s">
        <v>36</v>
      </c>
      <c r="B115" s="26" t="s">
        <v>5</v>
      </c>
      <c r="C115" s="26" t="s">
        <v>6</v>
      </c>
      <c r="D115" s="26" t="s">
        <v>7</v>
      </c>
      <c r="E115" s="26" t="s">
        <v>8</v>
      </c>
      <c r="F115" s="26" t="s">
        <v>9</v>
      </c>
      <c r="G115" s="26" t="s">
        <v>10</v>
      </c>
      <c r="H115" s="26" t="s">
        <v>11</v>
      </c>
      <c r="I115" s="26" t="s">
        <v>12</v>
      </c>
      <c r="J115" s="26" t="s">
        <v>13</v>
      </c>
      <c r="K115" s="26" t="s">
        <v>14</v>
      </c>
      <c r="L115" s="27" t="s">
        <v>15</v>
      </c>
    </row>
    <row r="116" spans="1:12" ht="14.25" customHeight="1" x14ac:dyDescent="0.3">
      <c r="A116" s="94" t="s">
        <v>109</v>
      </c>
      <c r="B116" s="95"/>
      <c r="C116" s="96">
        <f t="shared" ref="C116:L116" si="34">C33</f>
        <v>2756250</v>
      </c>
      <c r="D116" s="96">
        <f t="shared" si="34"/>
        <v>4246830</v>
      </c>
      <c r="E116" s="96">
        <f t="shared" si="34"/>
        <v>5301459.45</v>
      </c>
      <c r="F116" s="96">
        <f t="shared" si="34"/>
        <v>6482927.5559999999</v>
      </c>
      <c r="G116" s="96">
        <f t="shared" si="34"/>
        <v>7803824.045535001</v>
      </c>
      <c r="H116" s="96">
        <f t="shared" si="34"/>
        <v>8350091.7287224513</v>
      </c>
      <c r="I116" s="96">
        <f t="shared" si="34"/>
        <v>8934598.1497330219</v>
      </c>
      <c r="J116" s="96">
        <f t="shared" si="34"/>
        <v>9560020.0202143341</v>
      </c>
      <c r="K116" s="96">
        <f t="shared" si="34"/>
        <v>10229221.421629338</v>
      </c>
      <c r="L116" s="97">
        <f t="shared" si="34"/>
        <v>10945266.92114339</v>
      </c>
    </row>
    <row r="117" spans="1:12" ht="14.25" customHeight="1" x14ac:dyDescent="0.3">
      <c r="A117" s="98" t="s">
        <v>110</v>
      </c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7">
        <f>B19</f>
        <v>1250000</v>
      </c>
    </row>
    <row r="118" spans="1:12" ht="14.25" customHeight="1" x14ac:dyDescent="0.3">
      <c r="A118" s="94" t="s">
        <v>111</v>
      </c>
      <c r="B118" s="96">
        <f t="shared" ref="B118:L118" si="35">SUM(B119:B121)</f>
        <v>270000</v>
      </c>
      <c r="C118" s="96">
        <f t="shared" si="35"/>
        <v>1852187.5</v>
      </c>
      <c r="D118" s="96">
        <f t="shared" si="35"/>
        <v>2590134.5</v>
      </c>
      <c r="E118" s="96">
        <f t="shared" si="35"/>
        <v>3075338.7832090179</v>
      </c>
      <c r="F118" s="96">
        <f t="shared" si="35"/>
        <v>3618352.6907857051</v>
      </c>
      <c r="G118" s="96">
        <f t="shared" si="35"/>
        <v>4224818.9573128289</v>
      </c>
      <c r="H118" s="96">
        <f t="shared" si="35"/>
        <v>4452448.0574194016</v>
      </c>
      <c r="I118" s="96">
        <f t="shared" si="35"/>
        <v>4693571.6936665447</v>
      </c>
      <c r="J118" s="96">
        <f t="shared" si="35"/>
        <v>5022121.7122232029</v>
      </c>
      <c r="K118" s="96">
        <f t="shared" si="35"/>
        <v>5373670.2320788261</v>
      </c>
      <c r="L118" s="97">
        <f t="shared" si="35"/>
        <v>5749827.1483243443</v>
      </c>
    </row>
    <row r="119" spans="1:12" ht="14.25" customHeight="1" x14ac:dyDescent="0.3">
      <c r="A119" s="99" t="s">
        <v>112</v>
      </c>
      <c r="B119" s="100"/>
      <c r="C119" s="15">
        <f t="shared" ref="C119:L119" si="36">C39</f>
        <v>1332187.5</v>
      </c>
      <c r="D119" s="15">
        <f t="shared" si="36"/>
        <v>2052634.4999999998</v>
      </c>
      <c r="E119" s="15">
        <f t="shared" si="36"/>
        <v>2562372.0674999999</v>
      </c>
      <c r="F119" s="15">
        <f t="shared" si="36"/>
        <v>3133414.9854000001</v>
      </c>
      <c r="G119" s="15">
        <f t="shared" si="36"/>
        <v>3771848.28867525</v>
      </c>
      <c r="H119" s="15">
        <f t="shared" si="36"/>
        <v>4035877.6688825176</v>
      </c>
      <c r="I119" s="15">
        <f t="shared" si="36"/>
        <v>4318389.1057042945</v>
      </c>
      <c r="J119" s="15">
        <f t="shared" si="36"/>
        <v>4620676.3431035951</v>
      </c>
      <c r="K119" s="15">
        <f t="shared" si="36"/>
        <v>4944123.6871208465</v>
      </c>
      <c r="L119" s="101">
        <f t="shared" si="36"/>
        <v>5290212.3452193057</v>
      </c>
    </row>
    <row r="120" spans="1:12" ht="14.25" customHeight="1" x14ac:dyDescent="0.3">
      <c r="A120" s="99" t="s">
        <v>113</v>
      </c>
      <c r="B120" s="100"/>
      <c r="C120" s="15">
        <f t="shared" ref="C120:L120" si="37">C46</f>
        <v>250000</v>
      </c>
      <c r="D120" s="15">
        <f t="shared" si="37"/>
        <v>267500</v>
      </c>
      <c r="E120" s="15">
        <f t="shared" si="37"/>
        <v>286225</v>
      </c>
      <c r="F120" s="15">
        <f t="shared" si="37"/>
        <v>306260.75</v>
      </c>
      <c r="G120" s="15">
        <f t="shared" si="37"/>
        <v>327699.0025</v>
      </c>
      <c r="H120" s="15">
        <f t="shared" si="37"/>
        <v>350637.93267499999</v>
      </c>
      <c r="I120" s="15">
        <f t="shared" si="37"/>
        <v>375182.58796224999</v>
      </c>
      <c r="J120" s="15">
        <f t="shared" si="37"/>
        <v>401445.36911960749</v>
      </c>
      <c r="K120" s="15">
        <f t="shared" si="37"/>
        <v>429546.54495797999</v>
      </c>
      <c r="L120" s="101">
        <f t="shared" si="37"/>
        <v>459614.80310503859</v>
      </c>
    </row>
    <row r="121" spans="1:12" ht="14.25" customHeight="1" x14ac:dyDescent="0.3">
      <c r="A121" s="99" t="s">
        <v>114</v>
      </c>
      <c r="B121" s="15">
        <f t="shared" ref="B121:L121" si="38">B110</f>
        <v>270000</v>
      </c>
      <c r="C121" s="15">
        <f t="shared" si="38"/>
        <v>270000</v>
      </c>
      <c r="D121" s="15">
        <f t="shared" si="38"/>
        <v>270000</v>
      </c>
      <c r="E121" s="15">
        <f t="shared" si="38"/>
        <v>226741.71570901811</v>
      </c>
      <c r="F121" s="15">
        <f t="shared" si="38"/>
        <v>178676.95538570487</v>
      </c>
      <c r="G121" s="15">
        <f t="shared" si="38"/>
        <v>125271.66613757909</v>
      </c>
      <c r="H121" s="15">
        <f t="shared" si="38"/>
        <v>65932.455861883747</v>
      </c>
      <c r="I121" s="15">
        <f t="shared" si="38"/>
        <v>0</v>
      </c>
      <c r="J121" s="15">
        <f t="shared" si="38"/>
        <v>0</v>
      </c>
      <c r="K121" s="15">
        <f t="shared" si="38"/>
        <v>0</v>
      </c>
      <c r="L121" s="101">
        <f t="shared" si="38"/>
        <v>0</v>
      </c>
    </row>
    <row r="122" spans="1:12" ht="14.25" customHeight="1" x14ac:dyDescent="0.3">
      <c r="A122" s="94" t="s">
        <v>115</v>
      </c>
      <c r="B122" s="95"/>
      <c r="C122" s="96">
        <f t="shared" ref="C122:L122" si="39">SUM(C123:C124)</f>
        <v>352500</v>
      </c>
      <c r="D122" s="96">
        <f t="shared" si="39"/>
        <v>352500</v>
      </c>
      <c r="E122" s="96">
        <f t="shared" si="39"/>
        <v>352500</v>
      </c>
      <c r="F122" s="96">
        <f t="shared" si="39"/>
        <v>352500</v>
      </c>
      <c r="G122" s="96">
        <f t="shared" si="39"/>
        <v>352500</v>
      </c>
      <c r="H122" s="96">
        <f t="shared" si="39"/>
        <v>272500</v>
      </c>
      <c r="I122" s="96">
        <f t="shared" si="39"/>
        <v>272500</v>
      </c>
      <c r="J122" s="96">
        <f t="shared" si="39"/>
        <v>272500</v>
      </c>
      <c r="K122" s="96">
        <f t="shared" si="39"/>
        <v>272500</v>
      </c>
      <c r="L122" s="97">
        <f t="shared" si="39"/>
        <v>272500</v>
      </c>
    </row>
    <row r="123" spans="1:12" ht="14.25" customHeight="1" x14ac:dyDescent="0.3">
      <c r="A123" s="99" t="s">
        <v>116</v>
      </c>
      <c r="B123" s="100"/>
      <c r="C123" s="15">
        <f t="shared" ref="C123:L123" si="40">C85</f>
        <v>352500</v>
      </c>
      <c r="D123" s="15">
        <f t="shared" si="40"/>
        <v>352500</v>
      </c>
      <c r="E123" s="15">
        <f t="shared" si="40"/>
        <v>352500</v>
      </c>
      <c r="F123" s="15">
        <f t="shared" si="40"/>
        <v>352500</v>
      </c>
      <c r="G123" s="15">
        <f t="shared" si="40"/>
        <v>352500</v>
      </c>
      <c r="H123" s="15">
        <f t="shared" si="40"/>
        <v>272500</v>
      </c>
      <c r="I123" s="15">
        <f t="shared" si="40"/>
        <v>272500</v>
      </c>
      <c r="J123" s="15">
        <f t="shared" si="40"/>
        <v>272500</v>
      </c>
      <c r="K123" s="15">
        <f t="shared" si="40"/>
        <v>272500</v>
      </c>
      <c r="L123" s="101">
        <f t="shared" si="40"/>
        <v>272500</v>
      </c>
    </row>
    <row r="124" spans="1:12" ht="14.25" customHeight="1" x14ac:dyDescent="0.3">
      <c r="A124" s="99" t="s">
        <v>117</v>
      </c>
      <c r="B124" s="100"/>
      <c r="C124" s="15">
        <f t="shared" ref="C124:L124" si="41">C87</f>
        <v>0</v>
      </c>
      <c r="D124" s="15">
        <f t="shared" si="41"/>
        <v>0</v>
      </c>
      <c r="E124" s="15">
        <f t="shared" si="41"/>
        <v>0</v>
      </c>
      <c r="F124" s="15">
        <f t="shared" si="41"/>
        <v>0</v>
      </c>
      <c r="G124" s="15">
        <f t="shared" si="41"/>
        <v>0</v>
      </c>
      <c r="H124" s="15">
        <f t="shared" si="41"/>
        <v>0</v>
      </c>
      <c r="I124" s="15">
        <f t="shared" si="41"/>
        <v>0</v>
      </c>
      <c r="J124" s="15">
        <f t="shared" si="41"/>
        <v>0</v>
      </c>
      <c r="K124" s="15">
        <f t="shared" si="41"/>
        <v>0</v>
      </c>
      <c r="L124" s="101">
        <f t="shared" si="41"/>
        <v>0</v>
      </c>
    </row>
    <row r="125" spans="1:12" ht="14.25" customHeight="1" x14ac:dyDescent="0.3">
      <c r="A125" s="94" t="s">
        <v>118</v>
      </c>
      <c r="B125" s="96">
        <f t="shared" ref="B125:L125" si="42">B116+B117-B118-B122</f>
        <v>-270000</v>
      </c>
      <c r="C125" s="96">
        <f t="shared" si="42"/>
        <v>551562.5</v>
      </c>
      <c r="D125" s="96">
        <f t="shared" si="42"/>
        <v>1304195.5</v>
      </c>
      <c r="E125" s="96">
        <f t="shared" si="42"/>
        <v>1873620.6667909822</v>
      </c>
      <c r="F125" s="96">
        <f t="shared" si="42"/>
        <v>2512074.8652142948</v>
      </c>
      <c r="G125" s="96">
        <f t="shared" si="42"/>
        <v>3226505.0882221721</v>
      </c>
      <c r="H125" s="96">
        <f t="shared" si="42"/>
        <v>3625143.6713030497</v>
      </c>
      <c r="I125" s="96">
        <f t="shared" si="42"/>
        <v>3968526.4560664771</v>
      </c>
      <c r="J125" s="96">
        <f t="shared" si="42"/>
        <v>4265398.3079911312</v>
      </c>
      <c r="K125" s="96">
        <f t="shared" si="42"/>
        <v>4583051.1895505115</v>
      </c>
      <c r="L125" s="96">
        <f t="shared" si="42"/>
        <v>6172939.7728190459</v>
      </c>
    </row>
    <row r="126" spans="1:12" ht="14.25" customHeight="1" x14ac:dyDescent="0.3">
      <c r="A126" s="99" t="s">
        <v>119</v>
      </c>
      <c r="B126" s="100"/>
      <c r="C126" s="10">
        <f t="shared" ref="C126:L126" si="43">C125*$B$26</f>
        <v>165468.75</v>
      </c>
      <c r="D126" s="15">
        <f t="shared" si="43"/>
        <v>391258.64999999997</v>
      </c>
      <c r="E126" s="15">
        <f t="shared" si="43"/>
        <v>562086.20003729465</v>
      </c>
      <c r="F126" s="15">
        <f t="shared" si="43"/>
        <v>753622.45956428838</v>
      </c>
      <c r="G126" s="15">
        <f t="shared" si="43"/>
        <v>967951.52646665159</v>
      </c>
      <c r="H126" s="15">
        <f t="shared" si="43"/>
        <v>1087543.1013909148</v>
      </c>
      <c r="I126" s="15">
        <f t="shared" si="43"/>
        <v>1190557.9368199431</v>
      </c>
      <c r="J126" s="15">
        <f t="shared" si="43"/>
        <v>1279619.4923973393</v>
      </c>
      <c r="K126" s="15">
        <f t="shared" si="43"/>
        <v>1374915.3568651534</v>
      </c>
      <c r="L126" s="101">
        <f t="shared" si="43"/>
        <v>1851881.9318457136</v>
      </c>
    </row>
    <row r="127" spans="1:12" ht="14.25" customHeight="1" x14ac:dyDescent="0.3">
      <c r="A127" s="94" t="s">
        <v>120</v>
      </c>
      <c r="B127" s="96">
        <f t="shared" ref="B127:L127" si="44">B125-B126</f>
        <v>-270000</v>
      </c>
      <c r="C127" s="96">
        <f t="shared" si="44"/>
        <v>386093.75</v>
      </c>
      <c r="D127" s="96">
        <f t="shared" si="44"/>
        <v>912936.85000000009</v>
      </c>
      <c r="E127" s="96">
        <f t="shared" si="44"/>
        <v>1311534.4667536877</v>
      </c>
      <c r="F127" s="96">
        <f t="shared" si="44"/>
        <v>1758452.4056500064</v>
      </c>
      <c r="G127" s="96">
        <f t="shared" si="44"/>
        <v>2258553.5617555203</v>
      </c>
      <c r="H127" s="96">
        <f t="shared" si="44"/>
        <v>2537600.5699121347</v>
      </c>
      <c r="I127" s="96">
        <f t="shared" si="44"/>
        <v>2777968.519246534</v>
      </c>
      <c r="J127" s="96">
        <f t="shared" si="44"/>
        <v>2985778.8155937921</v>
      </c>
      <c r="K127" s="96">
        <f t="shared" si="44"/>
        <v>3208135.8326853579</v>
      </c>
      <c r="L127" s="97">
        <f t="shared" si="44"/>
        <v>4321057.8409733325</v>
      </c>
    </row>
    <row r="128" spans="1:12" ht="14.25" customHeight="1" x14ac:dyDescent="0.3">
      <c r="A128" s="98" t="s">
        <v>121</v>
      </c>
      <c r="B128" s="95"/>
      <c r="C128" s="96">
        <f t="shared" ref="C128:L128" si="45">SUM(C129:C130)</f>
        <v>352500</v>
      </c>
      <c r="D128" s="96">
        <f t="shared" si="45"/>
        <v>352500</v>
      </c>
      <c r="E128" s="96">
        <f t="shared" si="45"/>
        <v>352500</v>
      </c>
      <c r="F128" s="96">
        <f t="shared" si="45"/>
        <v>352500</v>
      </c>
      <c r="G128" s="96">
        <f t="shared" si="45"/>
        <v>352500</v>
      </c>
      <c r="H128" s="96">
        <f t="shared" si="45"/>
        <v>272500</v>
      </c>
      <c r="I128" s="96">
        <f t="shared" si="45"/>
        <v>272500</v>
      </c>
      <c r="J128" s="96">
        <f t="shared" si="45"/>
        <v>272500</v>
      </c>
      <c r="K128" s="96">
        <f t="shared" si="45"/>
        <v>272500</v>
      </c>
      <c r="L128" s="97">
        <f t="shared" si="45"/>
        <v>272500</v>
      </c>
    </row>
    <row r="129" spans="1:12" ht="14.25" customHeight="1" x14ac:dyDescent="0.3">
      <c r="A129" s="99" t="s">
        <v>116</v>
      </c>
      <c r="B129" s="100"/>
      <c r="C129" s="15">
        <f t="shared" ref="C129:L129" si="46">C123</f>
        <v>352500</v>
      </c>
      <c r="D129" s="15">
        <f t="shared" si="46"/>
        <v>352500</v>
      </c>
      <c r="E129" s="15">
        <f t="shared" si="46"/>
        <v>352500</v>
      </c>
      <c r="F129" s="15">
        <f t="shared" si="46"/>
        <v>352500</v>
      </c>
      <c r="G129" s="15">
        <f t="shared" si="46"/>
        <v>352500</v>
      </c>
      <c r="H129" s="15">
        <f t="shared" si="46"/>
        <v>272500</v>
      </c>
      <c r="I129" s="15">
        <f t="shared" si="46"/>
        <v>272500</v>
      </c>
      <c r="J129" s="15">
        <f t="shared" si="46"/>
        <v>272500</v>
      </c>
      <c r="K129" s="15">
        <f t="shared" si="46"/>
        <v>272500</v>
      </c>
      <c r="L129" s="101">
        <f t="shared" si="46"/>
        <v>272500</v>
      </c>
    </row>
    <row r="130" spans="1:12" ht="14.25" customHeight="1" x14ac:dyDescent="0.3">
      <c r="A130" s="99" t="s">
        <v>117</v>
      </c>
      <c r="B130" s="100"/>
      <c r="C130" s="15">
        <f t="shared" ref="C130:L130" si="47">C124</f>
        <v>0</v>
      </c>
      <c r="D130" s="15">
        <f t="shared" si="47"/>
        <v>0</v>
      </c>
      <c r="E130" s="15">
        <f t="shared" si="47"/>
        <v>0</v>
      </c>
      <c r="F130" s="15">
        <f t="shared" si="47"/>
        <v>0</v>
      </c>
      <c r="G130" s="15">
        <f t="shared" si="47"/>
        <v>0</v>
      </c>
      <c r="H130" s="15">
        <f t="shared" si="47"/>
        <v>0</v>
      </c>
      <c r="I130" s="15">
        <f t="shared" si="47"/>
        <v>0</v>
      </c>
      <c r="J130" s="15">
        <f t="shared" si="47"/>
        <v>0</v>
      </c>
      <c r="K130" s="15">
        <f t="shared" si="47"/>
        <v>0</v>
      </c>
      <c r="L130" s="101">
        <f t="shared" si="47"/>
        <v>0</v>
      </c>
    </row>
    <row r="131" spans="1:12" ht="14.25" customHeight="1" x14ac:dyDescent="0.3">
      <c r="A131" s="94" t="s">
        <v>122</v>
      </c>
      <c r="B131" s="96">
        <f t="shared" ref="B131:L131" si="48">SUM(B132:B134)</f>
        <v>2700000</v>
      </c>
      <c r="C131" s="96">
        <f t="shared" si="48"/>
        <v>0</v>
      </c>
      <c r="D131" s="96">
        <f t="shared" si="48"/>
        <v>0</v>
      </c>
      <c r="E131" s="96">
        <f t="shared" si="48"/>
        <v>0</v>
      </c>
      <c r="F131" s="96">
        <f t="shared" si="48"/>
        <v>0</v>
      </c>
      <c r="G131" s="96">
        <f t="shared" si="48"/>
        <v>0</v>
      </c>
      <c r="H131" s="96">
        <f t="shared" si="48"/>
        <v>0</v>
      </c>
      <c r="I131" s="96">
        <f t="shared" si="48"/>
        <v>0</v>
      </c>
      <c r="J131" s="96">
        <f t="shared" si="48"/>
        <v>0</v>
      </c>
      <c r="K131" s="96">
        <f t="shared" si="48"/>
        <v>0</v>
      </c>
      <c r="L131" s="97">
        <f t="shared" si="48"/>
        <v>2775000</v>
      </c>
    </row>
    <row r="132" spans="1:12" ht="14.25" customHeight="1" x14ac:dyDescent="0.3">
      <c r="A132" s="99" t="s">
        <v>123</v>
      </c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1">
        <f>M98</f>
        <v>1075000</v>
      </c>
    </row>
    <row r="133" spans="1:12" ht="14.25" customHeight="1" x14ac:dyDescent="0.3">
      <c r="A133" s="99" t="s">
        <v>124</v>
      </c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1">
        <f>-L77</f>
        <v>1700000</v>
      </c>
    </row>
    <row r="134" spans="1:12" ht="14.25" customHeight="1" x14ac:dyDescent="0.3">
      <c r="A134" s="99" t="s">
        <v>125</v>
      </c>
      <c r="B134" s="15">
        <f>B102</f>
        <v>2700000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2"/>
    </row>
    <row r="135" spans="1:12" ht="14.25" customHeight="1" x14ac:dyDescent="0.3">
      <c r="A135" s="94" t="s">
        <v>126</v>
      </c>
      <c r="B135" s="96">
        <f t="shared" ref="B135:L135" si="49">SUM(B136:B139)</f>
        <v>5400000</v>
      </c>
      <c r="C135" s="96">
        <f t="shared" si="49"/>
        <v>250000</v>
      </c>
      <c r="D135" s="96">
        <f t="shared" si="49"/>
        <v>250000</v>
      </c>
      <c r="E135" s="96">
        <f t="shared" si="49"/>
        <v>682582.84290981898</v>
      </c>
      <c r="F135" s="96">
        <f t="shared" si="49"/>
        <v>730647.60323313228</v>
      </c>
      <c r="G135" s="96">
        <f t="shared" si="49"/>
        <v>784052.89248125802</v>
      </c>
      <c r="H135" s="96">
        <f t="shared" si="49"/>
        <v>593392.10275695333</v>
      </c>
      <c r="I135" s="96">
        <f t="shared" si="49"/>
        <v>659324.55861883704</v>
      </c>
      <c r="J135" s="96">
        <f t="shared" si="49"/>
        <v>0</v>
      </c>
      <c r="K135" s="96">
        <f t="shared" si="49"/>
        <v>0</v>
      </c>
      <c r="L135" s="97">
        <f t="shared" si="49"/>
        <v>0</v>
      </c>
    </row>
    <row r="136" spans="1:12" ht="14.25" customHeight="1" x14ac:dyDescent="0.3">
      <c r="A136" s="99" t="s">
        <v>127</v>
      </c>
      <c r="B136" s="96">
        <f>SUM(B69:B72)</f>
        <v>4950000</v>
      </c>
      <c r="C136" s="95"/>
      <c r="D136" s="95"/>
      <c r="E136" s="95"/>
      <c r="F136" s="95"/>
      <c r="G136" s="96">
        <f>G69</f>
        <v>0</v>
      </c>
      <c r="H136" s="95"/>
      <c r="I136" s="95"/>
      <c r="J136" s="95"/>
      <c r="K136" s="95"/>
      <c r="L136" s="103"/>
    </row>
    <row r="137" spans="1:12" ht="14.25" customHeight="1" x14ac:dyDescent="0.3">
      <c r="A137" s="99" t="s">
        <v>128</v>
      </c>
      <c r="B137" s="15">
        <f>B74</f>
        <v>0</v>
      </c>
      <c r="C137" s="100"/>
      <c r="D137" s="100"/>
      <c r="E137" s="100"/>
      <c r="F137" s="100"/>
      <c r="G137" s="100"/>
      <c r="H137" s="100"/>
      <c r="I137" s="100"/>
      <c r="J137" s="100"/>
      <c r="K137" s="100"/>
      <c r="L137" s="102"/>
    </row>
    <row r="138" spans="1:12" ht="14.25" customHeight="1" x14ac:dyDescent="0.3">
      <c r="A138" s="99" t="s">
        <v>129</v>
      </c>
      <c r="B138" s="15">
        <f t="shared" ref="B138:K138" si="50">B76</f>
        <v>450000</v>
      </c>
      <c r="C138" s="15">
        <f t="shared" si="50"/>
        <v>250000</v>
      </c>
      <c r="D138" s="15">
        <f t="shared" si="50"/>
        <v>250000</v>
      </c>
      <c r="E138" s="15">
        <f t="shared" si="50"/>
        <v>250000</v>
      </c>
      <c r="F138" s="15">
        <f t="shared" si="50"/>
        <v>250000</v>
      </c>
      <c r="G138" s="15">
        <f t="shared" si="50"/>
        <v>250000</v>
      </c>
      <c r="H138" s="15">
        <f t="shared" si="50"/>
        <v>0</v>
      </c>
      <c r="I138" s="15">
        <f t="shared" si="50"/>
        <v>0</v>
      </c>
      <c r="J138" s="15">
        <f t="shared" si="50"/>
        <v>0</v>
      </c>
      <c r="K138" s="15">
        <f t="shared" si="50"/>
        <v>0</v>
      </c>
      <c r="L138" s="102"/>
    </row>
    <row r="139" spans="1:12" ht="14.25" customHeight="1" x14ac:dyDescent="0.3">
      <c r="A139" s="99" t="s">
        <v>130</v>
      </c>
      <c r="B139" s="100"/>
      <c r="C139" s="15">
        <f t="shared" ref="C139:L139" si="51">C111</f>
        <v>0</v>
      </c>
      <c r="D139" s="15">
        <f t="shared" si="51"/>
        <v>0</v>
      </c>
      <c r="E139" s="15">
        <f t="shared" si="51"/>
        <v>432582.84290981904</v>
      </c>
      <c r="F139" s="15">
        <f t="shared" si="51"/>
        <v>480647.60323313228</v>
      </c>
      <c r="G139" s="15">
        <f t="shared" si="51"/>
        <v>534052.89248125802</v>
      </c>
      <c r="H139" s="15">
        <f t="shared" si="51"/>
        <v>593392.10275695333</v>
      </c>
      <c r="I139" s="15">
        <f t="shared" si="51"/>
        <v>659324.55861883704</v>
      </c>
      <c r="J139" s="15">
        <f t="shared" si="51"/>
        <v>0</v>
      </c>
      <c r="K139" s="15">
        <f t="shared" si="51"/>
        <v>0</v>
      </c>
      <c r="L139" s="101">
        <f t="shared" si="51"/>
        <v>0</v>
      </c>
    </row>
    <row r="140" spans="1:12" ht="14.25" customHeight="1" x14ac:dyDescent="0.3">
      <c r="A140" s="104" t="s">
        <v>131</v>
      </c>
      <c r="B140" s="53">
        <f t="shared" ref="B140:L140" si="52">B127+B128+B131-B135</f>
        <v>-2970000</v>
      </c>
      <c r="C140" s="53">
        <f t="shared" si="52"/>
        <v>488593.75</v>
      </c>
      <c r="D140" s="53">
        <f t="shared" si="52"/>
        <v>1015436.8500000001</v>
      </c>
      <c r="E140" s="53">
        <f t="shared" si="52"/>
        <v>981451.62384386873</v>
      </c>
      <c r="F140" s="53">
        <f t="shared" si="52"/>
        <v>1380304.8024168743</v>
      </c>
      <c r="G140" s="53">
        <f t="shared" si="52"/>
        <v>1827000.6692742622</v>
      </c>
      <c r="H140" s="53">
        <f t="shared" si="52"/>
        <v>2216708.4671551813</v>
      </c>
      <c r="I140" s="53">
        <f t="shared" si="52"/>
        <v>2391143.9606276969</v>
      </c>
      <c r="J140" s="53">
        <f t="shared" si="52"/>
        <v>3258278.8155937921</v>
      </c>
      <c r="K140" s="53">
        <f t="shared" si="52"/>
        <v>3480635.8326853579</v>
      </c>
      <c r="L140" s="53">
        <f t="shared" si="52"/>
        <v>7368557.8409733325</v>
      </c>
    </row>
    <row r="141" spans="1:12" ht="14.25" customHeight="1" x14ac:dyDescent="0.3">
      <c r="A141" s="146" t="s">
        <v>132</v>
      </c>
    </row>
    <row r="142" spans="1:12" ht="14.25" customHeight="1" x14ac:dyDescent="0.3">
      <c r="A142" s="145" t="s">
        <v>133</v>
      </c>
      <c r="B142" s="53">
        <f>B140</f>
        <v>-2970000</v>
      </c>
      <c r="C142" s="53">
        <f t="shared" ref="C142:L142" si="53">B142+C140</f>
        <v>-2481406.25</v>
      </c>
      <c r="D142" s="53">
        <f t="shared" si="53"/>
        <v>-1465969.4</v>
      </c>
      <c r="E142" s="53">
        <f t="shared" si="53"/>
        <v>-484517.77615613118</v>
      </c>
      <c r="F142" s="53">
        <f t="shared" si="53"/>
        <v>895787.02626074315</v>
      </c>
      <c r="G142" s="53">
        <f t="shared" si="53"/>
        <v>2722787.6955350051</v>
      </c>
      <c r="H142" s="53">
        <f t="shared" si="53"/>
        <v>4939496.1626901869</v>
      </c>
      <c r="I142" s="53">
        <f t="shared" si="53"/>
        <v>7330640.1233178843</v>
      </c>
      <c r="J142" s="53">
        <f t="shared" si="53"/>
        <v>10588918.938911676</v>
      </c>
      <c r="K142" s="53">
        <f t="shared" si="53"/>
        <v>14069554.771597035</v>
      </c>
      <c r="L142" s="53">
        <f t="shared" si="53"/>
        <v>21438112.612570368</v>
      </c>
    </row>
    <row r="143" spans="1:12" ht="14.25" customHeight="1" x14ac:dyDescent="0.3">
      <c r="A143" s="146" t="s">
        <v>134</v>
      </c>
    </row>
    <row r="144" spans="1:12" ht="14.25" customHeight="1" x14ac:dyDescent="0.3">
      <c r="A144" s="145" t="s">
        <v>135</v>
      </c>
      <c r="B144" s="53">
        <f>B140</f>
        <v>-2970000</v>
      </c>
      <c r="C144" s="53">
        <f>B144+C140/(1+E150)^1</f>
        <v>-2537616.1504424778</v>
      </c>
      <c r="D144" s="53">
        <f>C144+D140/(1+E150)^2</f>
        <v>-1742380.1491894429</v>
      </c>
      <c r="E144" s="53">
        <f>D144+E140/(1+E150)^3</f>
        <v>-1062184.9420167417</v>
      </c>
      <c r="F144" s="53">
        <f>E144+F140/(1+E150)^4</f>
        <v>-215618.15678869071</v>
      </c>
      <c r="G144" s="53">
        <f>F144+G140/(1+E150)^5</f>
        <v>776004.60953755758</v>
      </c>
      <c r="H144" s="53">
        <f>G144+H140/(1+E150)^6</f>
        <v>1840730.7562301084</v>
      </c>
      <c r="I144" s="53">
        <f>H144+I140/(1+E150)^7</f>
        <v>2857111.9474242171</v>
      </c>
      <c r="J144" s="53">
        <f>I144+J140/(1+E150)^8</f>
        <v>4082745.6561505133</v>
      </c>
      <c r="K144" s="53">
        <f>J144+K140/(1+E150)^9</f>
        <v>5241396.5353792142</v>
      </c>
      <c r="L144" s="53">
        <f>K144+L140/(1+E150)^10</f>
        <v>7412087.8178233579</v>
      </c>
    </row>
    <row r="145" spans="1:12" ht="14.25" customHeight="1" x14ac:dyDescent="0.3">
      <c r="B145" s="21"/>
      <c r="F145" s="106"/>
    </row>
    <row r="146" spans="1:12" ht="14.25" customHeight="1" x14ac:dyDescent="0.3">
      <c r="A146" s="22" t="s">
        <v>136</v>
      </c>
    </row>
    <row r="147" spans="1:12" ht="14.25" customHeight="1" x14ac:dyDescent="0.3">
      <c r="B147" s="107" t="s">
        <v>137</v>
      </c>
      <c r="C147" s="107" t="s">
        <v>138</v>
      </c>
      <c r="D147" s="107" t="s">
        <v>139</v>
      </c>
      <c r="E147" s="107" t="s">
        <v>140</v>
      </c>
    </row>
    <row r="148" spans="1:12" ht="14.25" customHeight="1" x14ac:dyDescent="0.3">
      <c r="A148" s="4" t="s">
        <v>141</v>
      </c>
      <c r="B148" s="147">
        <f>B102</f>
        <v>2700000</v>
      </c>
      <c r="C148" s="149">
        <f>E102</f>
        <v>0.5</v>
      </c>
      <c r="D148" s="149">
        <f>B103*(1-B26)</f>
        <v>6.9999999999999993E-2</v>
      </c>
      <c r="E148" s="149">
        <f>C148*D148</f>
        <v>3.4999999999999996E-2</v>
      </c>
    </row>
    <row r="149" spans="1:12" ht="18" customHeight="1" x14ac:dyDescent="0.3">
      <c r="A149" s="4" t="s">
        <v>142</v>
      </c>
      <c r="B149" s="148">
        <f>B77-B148</f>
        <v>2700000</v>
      </c>
      <c r="C149" s="150">
        <f>1-C148</f>
        <v>0.5</v>
      </c>
      <c r="D149" s="149">
        <f>B25</f>
        <v>0.19</v>
      </c>
      <c r="E149" s="150">
        <f>C149*D149</f>
        <v>9.5000000000000001E-2</v>
      </c>
    </row>
    <row r="150" spans="1:12" ht="14.25" customHeight="1" x14ac:dyDescent="0.3">
      <c r="B150" s="147">
        <f>B148+B149</f>
        <v>5400000</v>
      </c>
      <c r="C150" s="149">
        <f>C148+C149</f>
        <v>1</v>
      </c>
      <c r="D150" s="108"/>
      <c r="E150" s="149">
        <f>E148+E149</f>
        <v>0.13</v>
      </c>
    </row>
    <row r="152" spans="1:12" ht="14.25" customHeight="1" x14ac:dyDescent="0.3">
      <c r="A152" s="22" t="s">
        <v>143</v>
      </c>
    </row>
    <row r="153" spans="1:12" ht="14.25" customHeight="1" x14ac:dyDescent="0.3">
      <c r="A153" s="109" t="s">
        <v>149</v>
      </c>
      <c r="B153" s="110">
        <f>NPV(E150,C140:L140)+B140</f>
        <v>7412087.8178233579</v>
      </c>
    </row>
    <row r="154" spans="1:12" ht="14.25" customHeight="1" x14ac:dyDescent="0.3">
      <c r="A154" s="109" t="s">
        <v>145</v>
      </c>
      <c r="B154" s="151">
        <f>IRR(B140:L140)</f>
        <v>0.41162025085294451</v>
      </c>
    </row>
    <row r="155" spans="1:12" ht="14.25" customHeight="1" x14ac:dyDescent="0.3">
      <c r="A155" s="109" t="s">
        <v>146</v>
      </c>
      <c r="B155" s="112">
        <f>IFERROR(MATCH(1,INDEX((C142:L142&gt;=0)*1,0),0),"&gt;10")</f>
        <v>4</v>
      </c>
    </row>
    <row r="156" spans="1:12" ht="14.25" customHeight="1" x14ac:dyDescent="0.3">
      <c r="A156" s="109" t="s">
        <v>147</v>
      </c>
      <c r="B156" s="112">
        <f>IFERROR(MATCH(1,INDEX((C144:L144&gt;=0)*1,0),0),"&gt;10")</f>
        <v>5</v>
      </c>
    </row>
    <row r="157" spans="1:12" ht="14.25" customHeight="1" x14ac:dyDescent="0.3">
      <c r="A157" s="109" t="s">
        <v>148</v>
      </c>
      <c r="B157" s="143">
        <f>(NPV(E150,C140:L140)+B140+ABS(B140))/ABS(B140)</f>
        <v>3.4956524639135886</v>
      </c>
    </row>
    <row r="158" spans="1:12" ht="14.25" customHeight="1" x14ac:dyDescent="0.3">
      <c r="B158" s="21"/>
    </row>
    <row r="159" spans="1:12" ht="14.25" customHeight="1" x14ac:dyDescent="0.3">
      <c r="B159" s="21"/>
    </row>
    <row r="160" spans="1:12" ht="14.25" customHeight="1" x14ac:dyDescent="0.3">
      <c r="A160" s="105"/>
      <c r="B160" s="113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</row>
    <row r="161" spans="1:12" ht="14.25" customHeight="1" x14ac:dyDescent="0.3">
      <c r="A161" s="105"/>
      <c r="B161" s="113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</row>
    <row r="162" spans="1:12" ht="14.25" customHeight="1" x14ac:dyDescent="0.3">
      <c r="A162" s="105"/>
      <c r="B162" s="113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</row>
    <row r="163" spans="1:12" ht="14.25" customHeight="1" x14ac:dyDescent="0.3">
      <c r="A163" s="105"/>
      <c r="B163" s="113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</row>
    <row r="164" spans="1:12" ht="14.25" customHeight="1" x14ac:dyDescent="0.3">
      <c r="B164" s="21"/>
    </row>
    <row r="165" spans="1:12" ht="14.25" customHeight="1" x14ac:dyDescent="0.3">
      <c r="B165" s="21"/>
    </row>
    <row r="166" spans="1:12" ht="14.25" customHeight="1" x14ac:dyDescent="0.3">
      <c r="B166" s="21"/>
    </row>
  </sheetData>
  <mergeCells count="6">
    <mergeCell ref="B105:C105"/>
    <mergeCell ref="A50:H50"/>
    <mergeCell ref="A55:H55"/>
    <mergeCell ref="A92:A93"/>
    <mergeCell ref="C92:L92"/>
    <mergeCell ref="A98:L9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Comparativo</vt:lpstr>
      <vt:lpstr>Sin Financiamiento</vt:lpstr>
      <vt:lpstr>PE$ sin Financiamiento</vt:lpstr>
      <vt:lpstr>PEx sin Financiamiento</vt:lpstr>
      <vt:lpstr>Francés</vt:lpstr>
      <vt:lpstr>Americano</vt:lpstr>
      <vt:lpstr>Italiano</vt:lpstr>
      <vt:lpstr>Alemán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Rommel Reconco</dc:creator>
  <dc:description/>
  <cp:lastModifiedBy>Fredy Valladares</cp:lastModifiedBy>
  <cp:revision>0</cp:revision>
  <cp:lastPrinted>2024-02-07T21:03:46Z</cp:lastPrinted>
  <dcterms:created xsi:type="dcterms:W3CDTF">2021-02-12T04:01:05Z</dcterms:created>
  <dcterms:modified xsi:type="dcterms:W3CDTF">2026-06-01T00:26:31Z</dcterms:modified>
  <dc:language>en-US</dc:language>
</cp:coreProperties>
</file>