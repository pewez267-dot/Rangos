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2" activeTab="6" autoFilterDateGrouping="1"/>
  </bookViews>
  <sheets>
    <sheet name="Resumen Comparativo" sheetId="1" state="visible" r:id="rId1"/>
    <sheet name="Sin Financiamiento" sheetId="2" state="visible" r:id="rId2"/>
    <sheet name="PE$ sin Financiamiento" sheetId="3" state="visible" r:id="rId3"/>
    <sheet name="PEx sin Financiamiento" sheetId="4" state="visible" r:id="rId4"/>
    <sheet name="Francés" sheetId="5" state="visible" r:id="rId5"/>
    <sheet name="Americano" sheetId="6" state="visible" r:id="rId6"/>
    <sheet name="Italiano" sheetId="7" state="visible" r:id="rId7"/>
    <sheet name="Alemán" sheetId="8" state="visible" r:id="rId8"/>
    <sheet name="Estocástico Sin Financiamiento" sheetId="9" state="visible" r:id="rId9"/>
    <sheet name="Estocástico Francés" sheetId="10" state="visible" r:id="rId10"/>
    <sheet name="Estocástico Americano" sheetId="11" state="visible" r:id="rId11"/>
    <sheet name="Estocástico Italiano" sheetId="12" state="visible" r:id="rId12"/>
    <sheet name="Estocástico Alemán" sheetId="13" state="visible" r:id="rId13"/>
    <sheet name="Resumen Estocástico" sheetId="14" state="visible" r:id="rId14"/>
  </sheets>
  <definedNames>
    <definedName name="_AtRisk_SimSetting_AutomaticallyGenerateReports" hidden="1">FALSE()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TRUE()</definedName>
    <definedName name="_AtRisk_SimSetting_ConvergencePerformPercentileTest" hidden="1">FALSE()</definedName>
    <definedName name="_AtRisk_SimSetting_ConvergencePerformStdDeviationTest" hidden="1">FALSE()</definedName>
    <definedName name="_AtRisk_SimSetting_ConvergenceTestAllOutputs" hidden="1">TRUE()</definedName>
    <definedName name="_AtRisk_SimSetting_ConvergenceTestingPeriod" hidden="1">100</definedName>
    <definedName name="_AtRisk_SimSetting_ConvergenceTolerance" hidden="1">0.03</definedName>
    <definedName name="_AtRisk_SimSetting_LiveUpdate" hidden="1">TRUE()</definedName>
    <definedName name="_AtRisk_SimSetting_LiveUpdatePeriod" hidden="1">-1</definedName>
    <definedName name="_AtRisk_SimSetting_MacroRecalculationBehavior" hidden="1">0</definedName>
    <definedName name="_AtRisk_SimSetting_RandomNumberGenerator" hidden="1">0</definedName>
    <definedName name="_AtRisk_SimSetting_ReportOptionCustomItemsCount" hidden="1">0</definedName>
    <definedName name="_AtRisk_SimSetting_ReportOptionDataMode" hidden="1">1</definedName>
    <definedName name="_AtRisk_SimSetting_ReportOptionReportMultiSimType" hidden="1">0</definedName>
    <definedName name="_AtRisk_SimSetting_ReportOptionReportPlacement" hidden="1">1</definedName>
    <definedName name="_AtRisk_SimSetting_ReportOptionReportSelection" hidden="1">0</definedName>
    <definedName name="_AtRisk_SimSetting_ReportOptionReportsFileType" hidden="1">1</definedName>
    <definedName name="_AtRisk_SimSetting_ReportOptionSelectiveQR" hidden="1">FALSE()</definedName>
    <definedName name="_AtRisk_SimSetting_ReportsList" hidden="1">0</definedName>
    <definedName name="_AtRisk_SimSetting_ShowSimulationProgressWindow" hidden="1">TRUE()</definedName>
    <definedName name="_AtRisk_SimSetting_SimNameCount" hidden="1">0</definedName>
    <definedName name="_AtRisk_SimSetting_SmartSensitivityAnalysisEnabled" hidden="1">TRUE()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Pal_Workbook_GUID" hidden="1">"VAUUTCYJR48182D8K77728CM"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IsInput" hidden="1">FALSE()</definedName>
    <definedName name="RiskIsOptimization" hidden="1">FALSE()</definedName>
    <definedName name="RiskIsOutput" hidden="1">FALSE()</definedName>
    <definedName name="RiskIsStatistics" hidden="1">FALSE()</definedName>
    <definedName name="RiskMinimizeOnStart" hidden="1">FALSE()</definedName>
    <definedName name="RiskMonitorConvergence" hidden="1">FALSE()</definedName>
    <definedName name="RiskMultipleCPUSupportEnabled" hidden="1">TRUE()</definedName>
    <definedName name="RiskNumIterations" hidden="1">5000</definedName>
    <definedName name="RiskNumSimulations" hidden="1">1</definedName>
    <definedName name="RiskPauseOnError" hidden="1">FALSE()</definedName>
    <definedName name="RiskRunAfterRecalcMacro" hidden="1">FALSE()</definedName>
    <definedName name="RiskRunAfterSimMacro" hidden="1">FALSE()</definedName>
    <definedName name="RiskRunBeforeRecalcMacro" hidden="1">FALSE()</definedName>
    <definedName name="RiskRunBeforeSimMacro" hidden="1">FALSE()</definedName>
    <definedName name="RiskSamplingType" hidden="1">3</definedName>
    <definedName name="RiskStandardRecalc" hidden="1">2</definedName>
    <definedName name="RiskUpdateDisplay" hidden="1">FALSE()</definedName>
    <definedName name="RiskUseDifferentSeedForEachSim" hidden="1">FALSE()</definedName>
    <definedName name="RiskUseFixedSeed" hidden="1">FALSE()</definedName>
    <definedName name="RiskUseMultipleCPUs" hidden="1">TRUE()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9">
    <numFmt numFmtId="164" formatCode="[$$-409]#,##0.00_ ;[Red]\-[$$-409]#,##0.00\ "/>
    <numFmt numFmtId="165" formatCode="[$$-409]#,##0.00"/>
    <numFmt numFmtId="166" formatCode="[$$-409]#,##0"/>
    <numFmt numFmtId="167" formatCode="[$$-409]#,##0_ ;[Red]\-[$$-409]#,##0\ "/>
    <numFmt numFmtId="168" formatCode="[$C$-4C0A]\ #,##0.00_ ;[Red]\-[$C$-4C0A]\ #,##0.00\ "/>
    <numFmt numFmtId="169" formatCode="#,##0_ ;[Red]\-#,##0\ "/>
    <numFmt numFmtId="170" formatCode="\$#,##0.00"/>
    <numFmt numFmtId="171" formatCode="0&quot; años&quot;"/>
    <numFmt numFmtId="172" formatCode="[$$-409]#,##0.00;[Red]\-[$$-409]#,##0.00"/>
    <numFmt numFmtId="173" formatCode="_-* #,##0_-;\-* #,##0_-;_-* \-??_-;_-@_-"/>
    <numFmt numFmtId="174" formatCode="_(* #,##0.00_);_(* \(#,##0.00\);_(* \-??_);_(@_)"/>
    <numFmt numFmtId="175" formatCode="#,##0.00_ ;[Red]\-#,##0.00\ "/>
    <numFmt numFmtId="176" formatCode="#,##0.0000_ ;[Red]\-#,##0.0000\ "/>
    <numFmt numFmtId="177" formatCode="0.0000\x"/>
    <numFmt numFmtId="178" formatCode="\$#,##0;&quot;($&quot;#,##0\);\-"/>
    <numFmt numFmtId="179" formatCode="0.0"/>
    <numFmt numFmtId="180" formatCode="0.000"/>
    <numFmt numFmtId="181" formatCode="$#,##0"/>
    <numFmt numFmtId="182" formatCode="0.0%"/>
  </numFmts>
  <fonts count="28">
    <font>
      <name val="Calibri"/>
      <charset val="1"/>
      <family val="2"/>
      <color theme="1"/>
      <sz val="11"/>
    </font>
    <font>
      <name val="Arial"/>
      <charset val="1"/>
      <family val="2"/>
      <sz val="10"/>
    </font>
    <font>
      <name val="Calibri"/>
      <charset val="1"/>
      <family val="2"/>
      <b val="1"/>
      <color rgb="FF1F3864"/>
      <sz val="12"/>
    </font>
    <font>
      <name val="Calibri"/>
      <charset val="1"/>
      <family val="2"/>
      <b val="1"/>
      <color rgb="FF000000"/>
      <sz val="10"/>
    </font>
    <font>
      <name val="Calibri"/>
      <charset val="1"/>
      <family val="2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1F3864"/>
      <sz val="10"/>
    </font>
    <font>
      <name val="Calibri"/>
      <charset val="1"/>
      <family val="2"/>
      <i val="1"/>
      <color rgb="FF595959"/>
      <sz val="9"/>
    </font>
    <font>
      <name val="Calibri"/>
      <charset val="1"/>
      <family val="2"/>
      <b val="1"/>
      <color rgb="FF1F497D"/>
      <sz val="10"/>
    </font>
    <font>
      <name val="Arial"/>
      <family val="2"/>
      <b val="1"/>
      <color rgb="FFFFFFFF"/>
      <sz val="15"/>
    </font>
    <font>
      <name val="Arial"/>
      <family val="2"/>
      <b val="1"/>
      <color rgb="FFFFFFFF"/>
      <sz val="9"/>
    </font>
    <font>
      <name val="Arial"/>
      <family val="2"/>
      <b val="1"/>
      <color rgb="FF1F3864"/>
      <sz val="9"/>
    </font>
    <font>
      <name val="Arial"/>
      <family val="2"/>
      <color rgb="FF000000"/>
      <sz val="9"/>
    </font>
    <font>
      <name val="Arial"/>
      <family val="2"/>
      <b val="1"/>
      <color rgb="FF000000"/>
      <sz val="9"/>
    </font>
    <font>
      <name val="Calibri"/>
      <family val="2"/>
      <b val="1"/>
      <i val="1"/>
      <color rgb="FF595959"/>
      <sz val="9"/>
    </font>
    <font>
      <name val="Calibri"/>
      <family val="2"/>
      <i val="1"/>
      <color rgb="FF595959"/>
      <sz val="9"/>
    </font>
    <font>
      <name val="Calibri"/>
      <family val="2"/>
      <color rgb="FF595959"/>
      <sz val="9"/>
    </font>
    <font>
      <name val="Calibri"/>
      <family val="2"/>
      <b val="1"/>
      <color rgb="FF595959"/>
      <sz val="9"/>
    </font>
    <font>
      <name val="Calibri"/>
      <family val="2"/>
      <color theme="1"/>
      <sz val="11"/>
    </font>
    <font>
      <name val="Calibri"/>
      <family val="2"/>
      <b val="1"/>
      <color rgb="FFFFFFFF"/>
      <sz val="12"/>
      <scheme val="minor"/>
    </font>
    <font>
      <b val="1"/>
      <color rgb="FF1F3864"/>
    </font>
    <font>
      <b val="1"/>
      <color rgb="FFFFFFFF"/>
    </font>
    <font>
      <b val="1"/>
    </font>
    <font>
      <i val="1"/>
      <sz val="9"/>
    </font>
    <font>
      <b val="1"/>
      <color rgb="FF1F3864"/>
      <sz val="13"/>
    </font>
    <font>
      <i val="1"/>
    </font>
  </fonts>
  <fills count="21">
    <fill>
      <patternFill/>
    </fill>
    <fill>
      <patternFill patternType="gray125"/>
    </fill>
    <fill>
      <patternFill patternType="solid">
        <fgColor theme="7"/>
        <bgColor rgb="FFC9A227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CCFFCC"/>
        <bgColor rgb="FFE2EFDA"/>
      </patternFill>
    </fill>
    <fill>
      <patternFill patternType="solid">
        <fgColor rgb="FFFFFFCC"/>
        <bgColor rgb="FFFFF2CC"/>
      </patternFill>
    </fill>
    <fill>
      <patternFill patternType="solid">
        <fgColor theme="0"/>
        <bgColor rgb="FFF2F2F2"/>
      </patternFill>
    </fill>
    <fill>
      <patternFill patternType="solid">
        <fgColor theme="0" tint="-0.1499984740745262"/>
        <bgColor rgb="FFDEEAF1"/>
      </patternFill>
    </fill>
    <fill>
      <patternFill patternType="solid">
        <fgColor rgb="FFF2F2F2"/>
        <bgColor rgb="FFE2EFDA"/>
      </patternFill>
    </fill>
    <fill>
      <patternFill patternType="solid">
        <fgColor theme="0" tint="-0.249977111117893"/>
        <bgColor rgb="FFAAAAAA"/>
      </patternFill>
    </fill>
    <fill>
      <patternFill patternType="solid">
        <fgColor rgb="FFDEEAF1"/>
        <bgColor rgb="FFE2EFDA"/>
      </patternFill>
    </fill>
    <fill>
      <patternFill patternType="solid">
        <fgColor theme="8"/>
        <bgColor rgb="FF2E75B6"/>
      </patternFill>
    </fill>
    <fill>
      <patternFill patternType="solid">
        <fgColor rgb="FFFF0000"/>
        <bgColor rgb="FF993300"/>
      </patternFill>
    </fill>
    <fill>
      <patternFill patternType="solid">
        <fgColor rgb="FFC9A227"/>
        <bgColor rgb="FFFFC000"/>
      </patternFill>
    </fill>
    <fill>
      <patternFill patternType="solid">
        <fgColor rgb="FFFFF2CC"/>
        <bgColor rgb="FFFFFFCC"/>
      </patternFill>
    </fill>
    <fill>
      <patternFill patternType="solid">
        <fgColor rgb="FFFFFF00"/>
      </patternFill>
    </fill>
    <fill>
      <patternFill patternType="solid">
        <fgColor rgb="FF2E75B6"/>
      </patternFill>
    </fill>
    <fill>
      <patternFill patternType="solid">
        <fgColor rgb="FF1F3864"/>
      </patternFill>
    </fill>
    <fill>
      <patternFill patternType="solid">
        <fgColor rgb="FFFFF2CC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3">
    <xf numFmtId="0" fontId="0" fillId="0" borderId="0"/>
    <xf numFmtId="0" fontId="1" fillId="0" borderId="0"/>
    <xf numFmtId="9" fontId="1" fillId="0" borderId="0"/>
  </cellStyleXfs>
  <cellXfs count="189">
    <xf numFmtId="0" fontId="0" fillId="0" borderId="0" pivotButton="0" quotePrefix="0" xfId="0"/>
    <xf numFmtId="0" fontId="0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4" fillId="0" borderId="0" pivotButton="0" quotePrefix="0" xfId="0"/>
    <xf numFmtId="9" fontId="4" fillId="0" borderId="0" pivotButton="0" quotePrefix="0" xfId="0"/>
    <xf numFmtId="0" fontId="5" fillId="4" borderId="1" applyAlignment="1" pivotButton="0" quotePrefix="0" xfId="0">
      <alignment horizontal="center" vertical="center"/>
    </xf>
    <xf numFmtId="0" fontId="6" fillId="0" borderId="1" pivotButton="0" quotePrefix="0" xfId="0"/>
    <xf numFmtId="3" fontId="4" fillId="0" borderId="1" applyAlignment="1" pivotButton="0" quotePrefix="0" xfId="0">
      <alignment horizontal="right"/>
    </xf>
    <xf numFmtId="3" fontId="4" fillId="0" borderId="1" applyAlignment="1" pivotButton="0" quotePrefix="0" xfId="0">
      <alignment horizontal="right" vertical="top" wrapText="1"/>
    </xf>
    <xf numFmtId="164" fontId="4" fillId="0" borderId="1" pivotButton="0" quotePrefix="0" xfId="0"/>
    <xf numFmtId="165" fontId="4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0" fontId="0" fillId="0" borderId="1" pivotButton="0" quotePrefix="0" xfId="0"/>
    <xf numFmtId="167" fontId="4" fillId="0" borderId="1" pivotButton="0" quotePrefix="0" xfId="0"/>
    <xf numFmtId="168" fontId="0" fillId="0" borderId="0" pivotButton="0" quotePrefix="0" xfId="0"/>
    <xf numFmtId="4" fontId="4" fillId="0" borderId="1" applyAlignment="1" pivotButton="0" quotePrefix="0" xfId="0">
      <alignment horizontal="right" vertical="top" wrapText="1"/>
    </xf>
    <xf numFmtId="4" fontId="4" fillId="0" borderId="1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169" fontId="4" fillId="0" borderId="0" pivotButton="0" quotePrefix="0" xfId="0"/>
    <xf numFmtId="9" fontId="0" fillId="0" borderId="0" pivotButton="0" quotePrefix="0" xfId="0"/>
    <xf numFmtId="0" fontId="5" fillId="5" borderId="0" pivotButton="0" quotePrefix="0" xfId="0"/>
    <xf numFmtId="0" fontId="3" fillId="0" borderId="0" pivotButton="0" quotePrefix="0" xfId="0"/>
    <xf numFmtId="169" fontId="0" fillId="0" borderId="0" pivotButton="0" quotePrefix="0" xfId="0"/>
    <xf numFmtId="0" fontId="5" fillId="4" borderId="2" applyAlignment="1" pivotButton="0" quotePrefix="0" xfId="0">
      <alignment horizontal="center" vertical="center"/>
    </xf>
    <xf numFmtId="169" fontId="5" fillId="4" borderId="3" applyAlignment="1" pivotButton="0" quotePrefix="0" xfId="0">
      <alignment horizontal="center" vertical="center"/>
    </xf>
    <xf numFmtId="169" fontId="5" fillId="4" borderId="4" applyAlignment="1" pivotButton="0" quotePrefix="0" xfId="0">
      <alignment horizontal="center" vertical="center"/>
    </xf>
    <xf numFmtId="0" fontId="4" fillId="6" borderId="5" pivotButton="0" quotePrefix="0" xfId="0"/>
    <xf numFmtId="169" fontId="0" fillId="6" borderId="1" pivotButton="0" quotePrefix="0" xfId="0"/>
    <xf numFmtId="169" fontId="4" fillId="6" borderId="1" pivotButton="0" quotePrefix="0" xfId="0"/>
    <xf numFmtId="169" fontId="4" fillId="6" borderId="6" pivotButton="0" quotePrefix="0" xfId="0"/>
    <xf numFmtId="164" fontId="4" fillId="6" borderId="1" pivotButton="0" quotePrefix="0" xfId="0"/>
    <xf numFmtId="164" fontId="4" fillId="6" borderId="6" pivotButton="0" quotePrefix="0" xfId="0"/>
    <xf numFmtId="0" fontId="3" fillId="7" borderId="7" pivotButton="0" quotePrefix="0" xfId="0"/>
    <xf numFmtId="169" fontId="7" fillId="7" borderId="8" pivotButton="0" quotePrefix="0" xfId="0"/>
    <xf numFmtId="167" fontId="3" fillId="7" borderId="8" pivotButton="0" quotePrefix="0" xfId="0"/>
    <xf numFmtId="167" fontId="3" fillId="7" borderId="9" pivotButton="0" quotePrefix="0" xfId="0"/>
    <xf numFmtId="167" fontId="4" fillId="6" borderId="1" pivotButton="0" quotePrefix="0" xfId="0"/>
    <xf numFmtId="167" fontId="4" fillId="6" borderId="6" pivotButton="0" quotePrefix="0" xfId="0"/>
    <xf numFmtId="0" fontId="8" fillId="7" borderId="7" pivotButton="0" quotePrefix="0" xfId="0"/>
    <xf numFmtId="169" fontId="0" fillId="7" borderId="8" pivotButton="0" quotePrefix="0" xfId="0"/>
    <xf numFmtId="169" fontId="0" fillId="8" borderId="0" pivotButton="0" quotePrefix="0" xfId="0"/>
    <xf numFmtId="0" fontId="0" fillId="8" borderId="0" pivotButton="0" quotePrefix="0" xfId="0"/>
    <xf numFmtId="0" fontId="3" fillId="8" borderId="0" pivotButton="0" quotePrefix="0" xfId="0"/>
    <xf numFmtId="167" fontId="0" fillId="6" borderId="1" pivotButton="0" quotePrefix="0" xfId="0"/>
    <xf numFmtId="167" fontId="7" fillId="7" borderId="8" pivotButton="0" quotePrefix="0" xfId="0"/>
    <xf numFmtId="0" fontId="3" fillId="6" borderId="5" pivotButton="0" quotePrefix="0" xfId="0"/>
    <xf numFmtId="167" fontId="7" fillId="6" borderId="1" pivotButton="0" quotePrefix="0" xfId="0"/>
    <xf numFmtId="167" fontId="3" fillId="6" borderId="1" pivotButton="0" quotePrefix="0" xfId="0"/>
    <xf numFmtId="167" fontId="3" fillId="6" borderId="6" pivotButton="0" quotePrefix="0" xfId="0"/>
    <xf numFmtId="0" fontId="3" fillId="7" borderId="5" pivotButton="0" quotePrefix="0" xfId="0"/>
    <xf numFmtId="167" fontId="7" fillId="7" borderId="1" pivotButton="0" quotePrefix="0" xfId="0"/>
    <xf numFmtId="167" fontId="3" fillId="7" borderId="1" pivotButton="0" quotePrefix="0" xfId="0"/>
    <xf numFmtId="167" fontId="3" fillId="7" borderId="6" pivotButton="0" quotePrefix="0" xfId="0"/>
    <xf numFmtId="166" fontId="0" fillId="6" borderId="1" pivotButton="0" quotePrefix="0" xfId="0"/>
    <xf numFmtId="166" fontId="0" fillId="6" borderId="6" pivotButton="0" quotePrefix="0" xfId="0"/>
    <xf numFmtId="166" fontId="4" fillId="6" borderId="1" pivotButton="0" quotePrefix="0" xfId="0"/>
    <xf numFmtId="166" fontId="3" fillId="6" borderId="6" pivotButton="0" quotePrefix="0" xfId="0"/>
    <xf numFmtId="166" fontId="3" fillId="7" borderId="8" pivotButton="0" quotePrefix="0" xfId="0"/>
    <xf numFmtId="166" fontId="3" fillId="7" borderId="9" pivotButton="0" quotePrefix="0" xfId="0"/>
    <xf numFmtId="0" fontId="3" fillId="9" borderId="1" pivotButton="0" quotePrefix="0" xfId="0"/>
    <xf numFmtId="169" fontId="3" fillId="9" borderId="1" applyAlignment="1" pivotButton="0" quotePrefix="0" xfId="0">
      <alignment horizontal="center"/>
    </xf>
    <xf numFmtId="0" fontId="4" fillId="0" borderId="1" pivotButton="0" quotePrefix="0" xfId="0"/>
    <xf numFmtId="169" fontId="4" fillId="0" borderId="1" pivotButton="0" quotePrefix="0" xfId="0"/>
    <xf numFmtId="0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66" fontId="4" fillId="0" borderId="1" pivotButton="0" quotePrefix="0" xfId="0"/>
    <xf numFmtId="0" fontId="8" fillId="7" borderId="5" pivotButton="0" quotePrefix="0" xfId="0"/>
    <xf numFmtId="166" fontId="7" fillId="7" borderId="1" pivotButton="0" quotePrefix="0" xfId="0"/>
    <xf numFmtId="166" fontId="3" fillId="7" borderId="1" pivotButton="0" quotePrefix="0" xfId="0"/>
    <xf numFmtId="0" fontId="0" fillId="6" borderId="5" pivotButton="0" quotePrefix="0" xfId="0"/>
    <xf numFmtId="167" fontId="4" fillId="0" borderId="0" pivotButton="0" quotePrefix="0" xfId="0"/>
    <xf numFmtId="166" fontId="4" fillId="6" borderId="6" pivotButton="0" quotePrefix="0" xfId="0"/>
    <xf numFmtId="167" fontId="0" fillId="0" borderId="0" pivotButton="0" quotePrefix="0" xfId="0"/>
    <xf numFmtId="166" fontId="7" fillId="7" borderId="8" pivotButton="0" quotePrefix="0" xfId="0"/>
    <xf numFmtId="169" fontId="3" fillId="9" borderId="3" applyAlignment="1" pivotButton="0" quotePrefix="0" xfId="0">
      <alignment horizontal="center"/>
    </xf>
    <xf numFmtId="169" fontId="3" fillId="9" borderId="4" applyAlignment="1" pivotButton="0" quotePrefix="0" xfId="0">
      <alignment horizontal="center"/>
    </xf>
    <xf numFmtId="169" fontId="5" fillId="4" borderId="1" applyAlignment="1" pivotButton="0" quotePrefix="0" xfId="0">
      <alignment horizontal="center" vertical="center"/>
    </xf>
    <xf numFmtId="169" fontId="3" fillId="9" borderId="6" applyAlignment="1" pivotButton="0" quotePrefix="0" xfId="0">
      <alignment horizontal="center"/>
    </xf>
    <xf numFmtId="166" fontId="4" fillId="6" borderId="7" pivotButton="0" quotePrefix="0" xfId="0"/>
    <xf numFmtId="166" fontId="4" fillId="6" borderId="8" pivotButton="0" quotePrefix="0" xfId="0"/>
    <xf numFmtId="166" fontId="4" fillId="6" borderId="9" pivotButton="0" quotePrefix="0" xfId="0"/>
    <xf numFmtId="166" fontId="3" fillId="7" borderId="11" pivotButton="0" quotePrefix="0" xfId="0"/>
    <xf numFmtId="0" fontId="4" fillId="6" borderId="2" pivotButton="0" quotePrefix="0" xfId="0"/>
    <xf numFmtId="167" fontId="4" fillId="6" borderId="12" pivotButton="0" quotePrefix="0" xfId="0"/>
    <xf numFmtId="0" fontId="0" fillId="6" borderId="13" pivotButton="0" quotePrefix="0" xfId="0"/>
    <xf numFmtId="9" fontId="4" fillId="8" borderId="0" pivotButton="0" quotePrefix="0" xfId="0"/>
    <xf numFmtId="9" fontId="4" fillId="6" borderId="14" pivotButton="0" quotePrefix="0" xfId="0"/>
    <xf numFmtId="0" fontId="0" fillId="6" borderId="15" pivotButton="0" quotePrefix="0" xfId="0"/>
    <xf numFmtId="169" fontId="4" fillId="6" borderId="14" pivotButton="0" quotePrefix="0" xfId="0"/>
    <xf numFmtId="0" fontId="4" fillId="6" borderId="15" pivotButton="0" quotePrefix="0" xfId="0"/>
    <xf numFmtId="0" fontId="4" fillId="6" borderId="7" pivotButton="0" quotePrefix="0" xfId="0"/>
    <xf numFmtId="166" fontId="0" fillId="6" borderId="8" pivotButton="0" quotePrefix="0" xfId="0"/>
    <xf numFmtId="49" fontId="8" fillId="0" borderId="5" applyAlignment="1" pivotButton="0" quotePrefix="0" xfId="0">
      <alignment horizontal="left" vertical="top"/>
    </xf>
    <xf numFmtId="167" fontId="7" fillId="0" borderId="1" pivotButton="0" quotePrefix="0" xfId="0"/>
    <xf numFmtId="167" fontId="3" fillId="0" borderId="1" pivotButton="0" quotePrefix="0" xfId="0"/>
    <xf numFmtId="167" fontId="3" fillId="0" borderId="6" pivotButton="0" quotePrefix="0" xfId="0"/>
    <xf numFmtId="49" fontId="3" fillId="0" borderId="5" applyAlignment="1" pivotButton="0" quotePrefix="0" xfId="0">
      <alignment horizontal="left" vertical="top"/>
    </xf>
    <xf numFmtId="49" fontId="4" fillId="0" borderId="5" applyAlignment="1" pivotButton="0" quotePrefix="0" xfId="0">
      <alignment horizontal="left" vertical="top"/>
    </xf>
    <xf numFmtId="167" fontId="0" fillId="0" borderId="1" pivotButton="0" quotePrefix="0" xfId="0"/>
    <xf numFmtId="167" fontId="4" fillId="0" borderId="6" pivotButton="0" quotePrefix="0" xfId="0"/>
    <xf numFmtId="167" fontId="0" fillId="0" borderId="6" pivotButton="0" quotePrefix="0" xfId="0"/>
    <xf numFmtId="167" fontId="7" fillId="0" borderId="6" pivotButton="0" quotePrefix="0" xfId="0"/>
    <xf numFmtId="49" fontId="8" fillId="7" borderId="5" applyAlignment="1" pivotButton="0" quotePrefix="0" xfId="0">
      <alignment horizontal="left" vertical="top"/>
    </xf>
    <xf numFmtId="0" fontId="9" fillId="10" borderId="0" pivotButton="0" quotePrefix="0" xfId="0"/>
    <xf numFmtId="164" fontId="0" fillId="0" borderId="0" pivotButton="0" quotePrefix="0" xfId="0"/>
    <xf numFmtId="0" fontId="3" fillId="11" borderId="0" applyAlignment="1" pivotButton="0" quotePrefix="0" xfId="0">
      <alignment horizontal="center"/>
    </xf>
    <xf numFmtId="10" fontId="10" fillId="12" borderId="0" pivotButton="0" quotePrefix="0" xfId="0"/>
    <xf numFmtId="0" fontId="8" fillId="12" borderId="0" applyAlignment="1" pivotButton="0" quotePrefix="0" xfId="0">
      <alignment horizontal="right"/>
    </xf>
    <xf numFmtId="170" fontId="8" fillId="12" borderId="0" pivotButton="0" quotePrefix="0" xfId="0"/>
    <xf numFmtId="10" fontId="8" fillId="12" borderId="0" pivotButton="0" quotePrefix="0" xfId="0"/>
    <xf numFmtId="171" fontId="8" fillId="12" borderId="0" pivotButton="0" quotePrefix="0" xfId="0"/>
    <xf numFmtId="9" fontId="9" fillId="10" borderId="0" pivotButton="0" quotePrefix="0" xfId="0"/>
    <xf numFmtId="167" fontId="9" fillId="10" borderId="0" pivotButton="0" quotePrefix="0" xfId="0"/>
    <xf numFmtId="172" fontId="9" fillId="10" borderId="0" pivotButton="0" quotePrefix="0" xfId="0"/>
    <xf numFmtId="165" fontId="5" fillId="5" borderId="1" applyAlignment="1" pivotButton="0" quotePrefix="0" xfId="0">
      <alignment horizontal="right"/>
    </xf>
    <xf numFmtId="3" fontId="4" fillId="13" borderId="1" applyAlignment="1" pivotButton="0" quotePrefix="0" xfId="0">
      <alignment horizontal="right" vertical="top" wrapText="1"/>
    </xf>
    <xf numFmtId="173" fontId="4" fillId="13" borderId="0" pivotButton="0" quotePrefix="0" xfId="0"/>
    <xf numFmtId="169" fontId="4" fillId="14" borderId="1" pivotButton="0" quotePrefix="0" xfId="0"/>
    <xf numFmtId="169" fontId="4" fillId="13" borderId="1" pivotButton="0" quotePrefix="0" xfId="0"/>
    <xf numFmtId="174" fontId="0" fillId="0" borderId="0" pivotButton="0" quotePrefix="0" xfId="0"/>
    <xf numFmtId="169" fontId="4" fillId="0" borderId="0" applyAlignment="1" pivotButton="0" quotePrefix="0" xfId="0">
      <alignment horizontal="right"/>
    </xf>
    <xf numFmtId="175" fontId="4" fillId="0" borderId="0" pivotButton="0" quotePrefix="0" xfId="0"/>
    <xf numFmtId="176" fontId="4" fillId="0" borderId="0" pivotButton="0" quotePrefix="0" xfId="0"/>
    <xf numFmtId="0" fontId="4" fillId="8" borderId="0" pivotButton="0" quotePrefix="0" xfId="0"/>
    <xf numFmtId="0" fontId="12" fillId="5" borderId="17" applyAlignment="1" pivotButton="0" quotePrefix="0" xfId="0">
      <alignment horizontal="center" vertical="center" wrapText="1"/>
    </xf>
    <xf numFmtId="10" fontId="14" fillId="10" borderId="18" applyAlignment="1" pivotButton="0" quotePrefix="0" xfId="0">
      <alignment horizontal="center" vertical="center"/>
    </xf>
    <xf numFmtId="1" fontId="14" fillId="10" borderId="18" applyAlignment="1" pivotButton="0" quotePrefix="0" xfId="0">
      <alignment horizontal="center" vertical="center"/>
    </xf>
    <xf numFmtId="177" fontId="14" fillId="10" borderId="18" applyAlignment="1" pivotButton="0" quotePrefix="0" xfId="0">
      <alignment horizontal="center" vertical="center"/>
    </xf>
    <xf numFmtId="10" fontId="14" fillId="8" borderId="18" applyAlignment="1" pivotButton="0" quotePrefix="0" xfId="0">
      <alignment horizontal="center" vertical="center"/>
    </xf>
    <xf numFmtId="1" fontId="14" fillId="8" borderId="18" applyAlignment="1" pivotButton="0" quotePrefix="0" xfId="0">
      <alignment horizontal="center" vertical="center"/>
    </xf>
    <xf numFmtId="177" fontId="14" fillId="8" borderId="18" applyAlignment="1" pivotButton="0" quotePrefix="0" xfId="0">
      <alignment horizontal="center" vertical="center"/>
    </xf>
    <xf numFmtId="0" fontId="12" fillId="15" borderId="17" applyAlignment="1" pivotButton="0" quotePrefix="0" xfId="0">
      <alignment horizontal="center" vertical="center"/>
    </xf>
    <xf numFmtId="178" fontId="15" fillId="16" borderId="17" applyAlignment="1" pivotButton="0" quotePrefix="0" xfId="0">
      <alignment horizontal="center" vertical="center"/>
    </xf>
    <xf numFmtId="10" fontId="15" fillId="16" borderId="17" applyAlignment="1" pivotButton="0" quotePrefix="0" xfId="0">
      <alignment horizontal="center" vertical="center"/>
    </xf>
    <xf numFmtId="1" fontId="15" fillId="16" borderId="17" applyAlignment="1" pivotButton="0" quotePrefix="0" xfId="0">
      <alignment horizontal="center" vertical="center"/>
    </xf>
    <xf numFmtId="177" fontId="15" fillId="16" borderId="17" applyAlignment="1" pivotButton="0" quotePrefix="0" xfId="0">
      <alignment horizontal="center" vertical="center"/>
    </xf>
    <xf numFmtId="0" fontId="13" fillId="10" borderId="18" applyAlignment="1" pivotButton="0" quotePrefix="0" xfId="0">
      <alignment horizontal="center" vertical="center"/>
    </xf>
    <xf numFmtId="178" fontId="14" fillId="10" borderId="18" applyAlignment="1" pivotButton="0" quotePrefix="0" xfId="0">
      <alignment horizontal="center" vertical="center"/>
    </xf>
    <xf numFmtId="0" fontId="13" fillId="8" borderId="18" applyAlignment="1" pivotButton="0" quotePrefix="0" xfId="0">
      <alignment horizontal="center" vertical="center"/>
    </xf>
    <xf numFmtId="178" fontId="14" fillId="8" borderId="18" applyAlignment="1" pivotButton="0" quotePrefix="0" xfId="0">
      <alignment horizontal="center" vertical="center"/>
    </xf>
    <xf numFmtId="179" fontId="8" fillId="12" borderId="0" pivotButton="0" quotePrefix="0" xfId="0"/>
    <xf numFmtId="1" fontId="8" fillId="12" borderId="0" pivotButton="0" quotePrefix="0" xfId="0"/>
    <xf numFmtId="171" fontId="8" fillId="12" borderId="0" applyAlignment="1" pivotButton="0" quotePrefix="0" xfId="0">
      <alignment horizontal="right"/>
    </xf>
    <xf numFmtId="0" fontId="16" fillId="10" borderId="0" pivotButton="0" quotePrefix="0" xfId="0"/>
    <xf numFmtId="0" fontId="17" fillId="10" borderId="0" pivotButton="0" quotePrefix="0" xfId="0"/>
    <xf numFmtId="3" fontId="10" fillId="12" borderId="0" pivotButton="0" quotePrefix="0" xfId="0"/>
    <xf numFmtId="3" fontId="10" fillId="12" borderId="16" pivotButton="0" quotePrefix="0" xfId="0"/>
    <xf numFmtId="9" fontId="10" fillId="12" borderId="0" pivotButton="0" quotePrefix="0" xfId="0"/>
    <xf numFmtId="9" fontId="10" fillId="12" borderId="16" pivotButton="0" quotePrefix="0" xfId="0"/>
    <xf numFmtId="9" fontId="8" fillId="12" borderId="0" pivotButton="0" quotePrefix="0" xfId="0"/>
    <xf numFmtId="0" fontId="18" fillId="10" borderId="0" pivotButton="0" quotePrefix="0" xfId="0"/>
    <xf numFmtId="0" fontId="19" fillId="10" borderId="0" pivotButton="0" quotePrefix="0" xfId="0"/>
    <xf numFmtId="0" fontId="20" fillId="0" borderId="0" pivotButton="0" quotePrefix="0" xfId="0"/>
    <xf numFmtId="0" fontId="21" fillId="4" borderId="0" applyAlignment="1" pivotButton="0" quotePrefix="0" xfId="0">
      <alignment horizontal="center" vertical="center" wrapText="1"/>
    </xf>
    <xf numFmtId="0" fontId="11" fillId="4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169" fontId="4" fillId="6" borderId="8" applyAlignment="1" pivotButton="0" quotePrefix="0" xfId="0">
      <alignment horizontal="left"/>
    </xf>
    <xf numFmtId="0" fontId="3" fillId="8" borderId="0" applyAlignment="1" pivotButton="0" quotePrefix="0" xfId="0">
      <alignment horizontal="center"/>
    </xf>
    <xf numFmtId="0" fontId="5" fillId="4" borderId="2" applyAlignment="1" pivotButton="0" quotePrefix="0" xfId="0">
      <alignment horizontal="center" vertical="center"/>
    </xf>
    <xf numFmtId="169" fontId="3" fillId="9" borderId="3" applyAlignment="1" pivotButton="0" quotePrefix="0" xfId="0">
      <alignment horizontal="center"/>
    </xf>
    <xf numFmtId="166" fontId="3" fillId="7" borderId="10" applyAlignment="1" pivotButton="0" quotePrefix="0" xfId="0">
      <alignment horizontal="center"/>
    </xf>
    <xf numFmtId="178" fontId="14" fillId="10" borderId="18" applyAlignment="1" pivotButton="0" quotePrefix="0" xfId="0">
      <alignment horizontal="center" vertical="center"/>
    </xf>
    <xf numFmtId="177" fontId="14" fillId="10" borderId="18" applyAlignment="1" pivotButton="0" quotePrefix="0" xfId="0">
      <alignment horizontal="center" vertical="center"/>
    </xf>
    <xf numFmtId="178" fontId="14" fillId="8" borderId="18" applyAlignment="1" pivotButton="0" quotePrefix="0" xfId="0">
      <alignment horizontal="center" vertical="center"/>
    </xf>
    <xf numFmtId="177" fontId="14" fillId="8" borderId="18" applyAlignment="1" pivotButton="0" quotePrefix="0" xfId="0">
      <alignment horizontal="center" vertical="center"/>
    </xf>
    <xf numFmtId="178" fontId="15" fillId="16" borderId="17" applyAlignment="1" pivotButton="0" quotePrefix="0" xfId="0">
      <alignment horizontal="center" vertical="center"/>
    </xf>
    <xf numFmtId="177" fontId="15" fillId="16" borderId="17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8" pivotButton="0" quotePrefix="0" xfId="0"/>
    <xf numFmtId="0" fontId="0" fillId="0" borderId="24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21" pivotButton="0" quotePrefix="0" xfId="0"/>
    <xf numFmtId="0" fontId="22" fillId="17" borderId="0" applyAlignment="1" pivotButton="0" quotePrefix="0" xfId="0">
      <alignment horizontal="left" vertical="center"/>
    </xf>
    <xf numFmtId="0" fontId="23" fillId="18" borderId="0" applyAlignment="1" pivotButton="0" quotePrefix="0" xfId="0">
      <alignment horizontal="center" vertical="center"/>
    </xf>
    <xf numFmtId="0" fontId="23" fillId="19" borderId="31" applyAlignment="1" pivotButton="0" quotePrefix="0" xfId="0">
      <alignment horizontal="center" vertical="center" wrapText="1"/>
    </xf>
    <xf numFmtId="0" fontId="0" fillId="0" borderId="31" pivotButton="0" quotePrefix="0" xfId="0"/>
    <xf numFmtId="0" fontId="0" fillId="0" borderId="31" applyAlignment="1" pivotButton="0" quotePrefix="0" xfId="0">
      <alignment horizontal="center"/>
    </xf>
    <xf numFmtId="180" fontId="24" fillId="17" borderId="31" applyAlignment="1" pivotButton="0" quotePrefix="0" xfId="0">
      <alignment horizontal="center"/>
    </xf>
    <xf numFmtId="165" fontId="24" fillId="17" borderId="31" applyAlignment="1" pivotButton="0" quotePrefix="0" xfId="0">
      <alignment horizontal="center"/>
    </xf>
    <xf numFmtId="0" fontId="25" fillId="20" borderId="0" applyAlignment="1" pivotButton="0" quotePrefix="0" xfId="0">
      <alignment horizontal="left" vertical="top" wrapText="1"/>
    </xf>
    <xf numFmtId="0" fontId="26" fillId="0" borderId="0" pivotButton="0" quotePrefix="0" xfId="0"/>
    <xf numFmtId="0" fontId="27" fillId="0" borderId="0" pivotButton="0" quotePrefix="0" xfId="0"/>
    <xf numFmtId="0" fontId="25" fillId="0" borderId="0" pivotButton="0" quotePrefix="0" xfId="0"/>
    <xf numFmtId="181" fontId="0" fillId="0" borderId="31" pivotButton="0" quotePrefix="0" xfId="0"/>
    <xf numFmtId="182" fontId="0" fillId="0" borderId="31" pivotButton="0" quotePrefix="0" xfId="0"/>
  </cellXfs>
  <cellStyles count="3">
    <cellStyle name="Normal" xfId="0" builtinId="0"/>
    <cellStyle name="Normal 2" xfId="1"/>
    <cellStyle name="Percent 2" xfId="2"/>
  </cellStyles>
  <dxfs count="6">
    <dxf>
      <font>
        <name val="Arial"/>
        <charset val="1"/>
        <b val="1"/>
        <color rgb="FF375623"/>
        <sz val="9"/>
      </font>
      <fill>
        <patternFill>
          <bgColor rgb="FFE2EFDA"/>
        </patternFill>
      </fill>
    </dxf>
    <dxf>
      <font>
        <name val="Arial"/>
        <charset val="1"/>
        <b val="1"/>
        <color rgb="FF375623"/>
        <sz val="9"/>
      </font>
      <fill>
        <patternFill>
          <bgColor rgb="FFE2EFDA"/>
        </patternFill>
      </fill>
    </dxf>
    <dxf>
      <font>
        <name val="Arial"/>
        <charset val="1"/>
        <b val="1"/>
        <color rgb="FF375623"/>
        <sz val="9"/>
      </font>
      <fill>
        <patternFill>
          <bgColor rgb="FFE2EFDA"/>
        </patternFill>
      </fill>
    </dxf>
    <dxf>
      <font>
        <name val="Arial"/>
        <charset val="1"/>
        <b val="1"/>
        <color rgb="FF375623"/>
        <sz val="9"/>
      </font>
      <fill>
        <patternFill>
          <bgColor rgb="FFE2EFDA"/>
        </patternFill>
      </fill>
    </dxf>
    <dxf>
      <font>
        <name val="Arial"/>
        <charset val="1"/>
        <b val="1"/>
        <color rgb="FF375623"/>
        <sz val="9"/>
      </font>
      <fill>
        <patternFill>
          <bgColor rgb="FFE2EFDA"/>
        </patternFill>
      </fill>
    </dxf>
    <dxf>
      <font>
        <name val="Arial"/>
        <charset val="1"/>
        <b val="1"/>
        <color rgb="FF375623"/>
        <sz val="9"/>
      </font>
      <fill>
        <patternFill>
          <bgColor rgb="FFE2EFDA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FCC"/>
      <rgbColor rgb="FFDEEA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CFFCC"/>
      <rgbColor rgb="FFFFF2CC"/>
      <rgbColor rgb="FF99CCFF"/>
      <rgbColor rgb="FFFF99CC"/>
      <rgbColor rgb="FFCC99FF"/>
      <rgbColor rgb="FFF2F2F2"/>
      <rgbColor rgb="FF2E75B6"/>
      <rgbColor rgb="FF33CCCC"/>
      <rgbColor rgb="FF99CC00"/>
      <rgbColor rgb="FFFFC000"/>
      <rgbColor rgb="FFC9A227"/>
      <rgbColor rgb="FFFF6600"/>
      <rgbColor rgb="FF595959"/>
      <rgbColor rgb="FFAAAAAA"/>
      <rgbColor rgb="FF1F3864"/>
      <rgbColor rgb="FF339966"/>
      <rgbColor rgb="FF003300"/>
      <rgbColor rgb="FF333300"/>
      <rgbColor rgb="FF993300"/>
      <rgbColor rgb="FF993366"/>
      <rgbColor rgb="FF1F497D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1"/>
  <sheetViews>
    <sheetView zoomScaleNormal="100" workbookViewId="0">
      <selection activeCell="I7" sqref="I7"/>
    </sheetView>
  </sheetViews>
  <sheetFormatPr baseColWidth="10" defaultColWidth="8.6640625" defaultRowHeight="14.4"/>
  <cols>
    <col width="32" customWidth="1" style="1" min="1" max="1"/>
    <col width="18" customWidth="1" style="1" min="2" max="2"/>
    <col width="22" customWidth="1" style="1" min="3" max="3"/>
    <col width="18" customWidth="1" style="1" min="4" max="5"/>
    <col width="12" customWidth="1" style="1" min="6" max="6"/>
    <col width="10" customWidth="1" style="1" min="7" max="8"/>
    <col width="16" customWidth="1" style="1" min="9" max="9"/>
    <col width="26.109375" customWidth="1" style="1" min="10" max="10"/>
  </cols>
  <sheetData>
    <row r="1" ht="48" customHeight="1" s="1">
      <c r="A1" s="156" t="inlineStr">
        <is>
          <t xml:space="preserve">CAMARONERA INDUSTRIAL — RESUMEN COMPARATIVO DE ESCENARIOS </t>
        </is>
      </c>
    </row>
    <row r="2" ht="48" customHeight="1" s="1">
      <c r="A2" s="155" t="inlineStr">
        <is>
          <t>Fredy Valladares, Andrea Zambrano</t>
        </is>
      </c>
    </row>
    <row r="3" ht="19.5" customHeight="1" s="1" thickBot="1">
      <c r="A3" s="157" t="inlineStr">
        <is>
          <t>Comparación de métodos de amortización vs escenario sin financiamiento · Horizonte 10 años · Inversión Total: $5,400,000</t>
        </is>
      </c>
    </row>
    <row r="4" ht="37.5" customHeight="1" s="1">
      <c r="A4" s="126" t="inlineStr">
        <is>
          <t>Método / Escenario</t>
        </is>
      </c>
      <c r="B4" s="126" t="inlineStr">
        <is>
          <t>Inversión
Total ($)</t>
        </is>
      </c>
      <c r="C4" s="126" t="inlineStr">
        <is>
          <t>Financiamiento
Bancario ($)</t>
        </is>
      </c>
      <c r="D4" s="126" t="inlineStr">
        <is>
          <t>WACC /
Tasa de Corte</t>
        </is>
      </c>
      <c r="E4" s="126" t="inlineStr">
        <is>
          <t>VAN ($)</t>
        </is>
      </c>
      <c r="F4" s="126" t="inlineStr">
        <is>
          <t>TIR (%)</t>
        </is>
      </c>
      <c r="G4" s="126" t="inlineStr">
        <is>
          <t>PRI
(años)</t>
        </is>
      </c>
      <c r="H4" s="126" t="inlineStr">
        <is>
          <t>PRID
(años)</t>
        </is>
      </c>
      <c r="I4" s="126" t="inlineStr">
        <is>
          <t>ID (Índice
Deseabilidad)</t>
        </is>
      </c>
      <c r="J4" s="126" t="inlineStr">
        <is>
          <t>Cuota
Representativa ($)</t>
        </is>
      </c>
    </row>
    <row r="5" ht="19.5" customHeight="1" s="1">
      <c r="A5" s="138" t="inlineStr">
        <is>
          <t>Sin Financiamiento</t>
        </is>
      </c>
      <c r="B5" s="164">
        <f>'Sin Financiamiento'!B77</f>
        <v/>
      </c>
      <c r="C5" s="164">
        <f>'Sin Financiamiento'!B102</f>
        <v/>
      </c>
      <c r="D5" s="127">
        <f>'Sin Financiamiento'!E150</f>
        <v/>
      </c>
      <c r="E5" s="164">
        <f>'Sin Financiamiento'!B153</f>
        <v/>
      </c>
      <c r="F5" s="127">
        <f>'Sin Financiamiento'!B154</f>
        <v/>
      </c>
      <c r="G5" s="128">
        <f>'Sin Financiamiento'!B155</f>
        <v/>
      </c>
      <c r="H5" s="128">
        <f>'Sin Financiamiento'!B156</f>
        <v/>
      </c>
      <c r="I5" s="165">
        <f>'Sin Financiamiento'!B157</f>
        <v/>
      </c>
      <c r="J5" s="164" t="inlineStr">
        <is>
          <t>"N/A"</t>
        </is>
      </c>
    </row>
    <row r="6" ht="19.5" customHeight="1" s="1">
      <c r="A6" s="140" t="inlineStr">
        <is>
          <t>Método Francés (Annuity)</t>
        </is>
      </c>
      <c r="B6" s="166">
        <f>Francés!B77</f>
        <v/>
      </c>
      <c r="C6" s="166">
        <f>Francés!B102</f>
        <v/>
      </c>
      <c r="D6" s="130">
        <f>Francés!E150</f>
        <v/>
      </c>
      <c r="E6" s="166">
        <f>Francés!B153</f>
        <v/>
      </c>
      <c r="F6" s="130">
        <f>Francés!B154</f>
        <v/>
      </c>
      <c r="G6" s="131">
        <f>Francés!B155</f>
        <v/>
      </c>
      <c r="H6" s="131">
        <f>Francés!B156</f>
        <v/>
      </c>
      <c r="I6" s="167">
        <f>Francés!B157</f>
        <v/>
      </c>
      <c r="J6" s="166">
        <f>Francés!E109</f>
        <v/>
      </c>
    </row>
    <row r="7" ht="19.5" customHeight="1" s="1">
      <c r="A7" s="138" t="inlineStr">
        <is>
          <t>Método Americano (Bullet)</t>
        </is>
      </c>
      <c r="B7" s="164">
        <f>Americano!B77</f>
        <v/>
      </c>
      <c r="C7" s="164">
        <f>Americano!B102</f>
        <v/>
      </c>
      <c r="D7" s="127">
        <f>Americano!E150</f>
        <v/>
      </c>
      <c r="E7" s="164">
        <f>Americano!B153</f>
        <v/>
      </c>
      <c r="F7" s="127">
        <f>Americano!B154</f>
        <v/>
      </c>
      <c r="G7" s="128">
        <f>Americano!B155</f>
        <v/>
      </c>
      <c r="H7" s="128">
        <f>Americano!B156</f>
        <v/>
      </c>
      <c r="I7" s="165">
        <f>Americano!B157</f>
        <v/>
      </c>
      <c r="J7" s="164">
        <f>Americano!C109</f>
        <v/>
      </c>
    </row>
    <row r="8" ht="19.5" customHeight="1" s="1">
      <c r="A8" s="140" t="inlineStr">
        <is>
          <t>Método Italiano (Amort. Constante)</t>
        </is>
      </c>
      <c r="B8" s="166">
        <f>Italiano!B77</f>
        <v/>
      </c>
      <c r="C8" s="166">
        <f>Italiano!B102</f>
        <v/>
      </c>
      <c r="D8" s="130">
        <f>Italiano!E150</f>
        <v/>
      </c>
      <c r="E8" s="166">
        <f>Italiano!B153</f>
        <v/>
      </c>
      <c r="F8" s="130">
        <f>Italiano!B154</f>
        <v/>
      </c>
      <c r="G8" s="131">
        <f>Italiano!B155</f>
        <v/>
      </c>
      <c r="H8" s="131">
        <f>Italiano!B156</f>
        <v/>
      </c>
      <c r="I8" s="167">
        <f>Italiano!B157</f>
        <v/>
      </c>
      <c r="J8" s="166">
        <f>Italiano!C109</f>
        <v/>
      </c>
    </row>
    <row r="9" ht="19.5" customHeight="1" s="1">
      <c r="A9" s="138" t="inlineStr">
        <is>
          <t>Método Alemán (Gradiente)</t>
        </is>
      </c>
      <c r="B9" s="164">
        <f>Alemán!B77</f>
        <v/>
      </c>
      <c r="C9" s="164">
        <f>Alemán!B102</f>
        <v/>
      </c>
      <c r="D9" s="127">
        <f>Alemán!E150</f>
        <v/>
      </c>
      <c r="E9" s="164">
        <f>Alemán!B153</f>
        <v/>
      </c>
      <c r="F9" s="127">
        <f>Alemán!B154</f>
        <v/>
      </c>
      <c r="G9" s="128">
        <f>Alemán!B155</f>
        <v/>
      </c>
      <c r="H9" s="128">
        <f>Alemán!B156</f>
        <v/>
      </c>
      <c r="I9" s="165">
        <f>Alemán!B157</f>
        <v/>
      </c>
      <c r="J9" s="164">
        <f>Alemán!C109</f>
        <v/>
      </c>
    </row>
    <row r="10" ht="21.75" customHeight="1" s="1">
      <c r="A10" s="133" t="inlineStr">
        <is>
          <t>MEJOR VALOR POR INDICADOR</t>
        </is>
      </c>
      <c r="B10" s="168">
        <f>MIN(B5:B9)</f>
        <v/>
      </c>
      <c r="C10" s="168">
        <f>MAX(C5:C9)</f>
        <v/>
      </c>
      <c r="D10" s="135">
        <f>MIN(D5:D9)</f>
        <v/>
      </c>
      <c r="E10" s="168">
        <f>MAX(E5:E9)</f>
        <v/>
      </c>
      <c r="F10" s="135">
        <f>MAX(F5:F9)</f>
        <v/>
      </c>
      <c r="G10" s="136">
        <f>MIN(G5:G9)</f>
        <v/>
      </c>
      <c r="H10" s="136">
        <f>MIN(H5:H9)</f>
        <v/>
      </c>
      <c r="I10" s="169">
        <f>MAX(I5:I9)</f>
        <v/>
      </c>
      <c r="J10" s="168">
        <f>MIN(J5:J9)</f>
        <v/>
      </c>
    </row>
    <row r="11" ht="6" customHeight="1" s="1">
      <c r="A11" s="158" t="n"/>
    </row>
    <row r="12" ht="25.5" customHeight="1" s="1"/>
    <row r="14" ht="10.8" customHeight="1" s="1"/>
    <row r="15" ht="15.75" customHeight="1" s="1"/>
    <row r="16" ht="9" customHeight="1" s="1"/>
    <row r="17" ht="15.75" customHeight="1" s="1"/>
    <row r="18" ht="9" customHeight="1" s="1"/>
    <row r="19" ht="15.75" customHeight="1" s="1"/>
    <row r="20" ht="10.8" customHeight="1" s="1"/>
    <row r="21" ht="15.75" customHeight="1" s="1"/>
    <row r="22" ht="12" customHeight="1" s="1"/>
  </sheetData>
  <mergeCells count="4">
    <mergeCell ref="A1:J1"/>
    <mergeCell ref="A2:J2"/>
    <mergeCell ref="A3:J3"/>
    <mergeCell ref="A11:J11"/>
  </mergeCells>
  <conditionalFormatting sqref="E5:F7 I5:I7">
    <cfRule type="cellIs" priority="2" operator="equal" dxfId="0">
      <formula>MAX(E5:E9)</formula>
    </cfRule>
  </conditionalFormatting>
  <conditionalFormatting sqref="E8:F8 I8">
    <cfRule type="cellIs" priority="7" operator="equal" dxfId="0">
      <formula>MAX(E8:E11)</formula>
    </cfRule>
  </conditionalFormatting>
  <conditionalFormatting sqref="E9:F9 I9">
    <cfRule type="cellIs" priority="16" operator="equal" dxfId="0">
      <formula>MAX(E9:E11)</formula>
    </cfRule>
  </conditionalFormatting>
  <conditionalFormatting sqref="G5:H7">
    <cfRule type="cellIs" priority="5" operator="equal" dxfId="0">
      <formula>MIN(G5:G9)</formula>
    </cfRule>
  </conditionalFormatting>
  <conditionalFormatting sqref="G8:H8">
    <cfRule type="cellIs" priority="9" operator="equal" dxfId="0">
      <formula>MIN(G8:G11)</formula>
    </cfRule>
  </conditionalFormatting>
  <conditionalFormatting sqref="G9:H9">
    <cfRule type="cellIs" priority="18" operator="equal" dxfId="0">
      <formula>MIN(G9:G11)</formula>
    </cfRule>
  </conditionalFormatting>
  <pageMargins left="0.75" right="0.75" top="1" bottom="1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6"/>
  <sheetViews>
    <sheetView showGridLines="0" topLeftCell="A121" zoomScaleNormal="100" workbookViewId="0">
      <selection activeCell="B128" sqref="B128"/>
    </sheetView>
  </sheetViews>
  <sheetFormatPr baseColWidth="10" defaultColWidth="8.6640625" defaultRowHeight="14.4"/>
  <cols>
    <col width="42.44140625" customWidth="1" style="1" min="1" max="1"/>
    <col width="15.5546875" customWidth="1" style="1" min="2" max="2"/>
    <col width="16.109375" customWidth="1" style="1" min="3" max="3"/>
    <col width="15.44140625" customWidth="1" style="1" min="4" max="8"/>
    <col width="15.5546875" customWidth="1" style="1" min="9" max="11"/>
    <col width="15.44140625" customWidth="1" style="1" min="12" max="12"/>
    <col width="13.5546875" customWidth="1" style="1" min="13" max="13"/>
    <col width="13.33203125" customWidth="1" style="1" min="14" max="14"/>
    <col width="10.6640625" customWidth="1" style="1" min="16" max="16"/>
    <col width="25.109375" customWidth="1" style="1" min="18" max="18"/>
    <col width="11.6640625" customWidth="1" style="1" min="19" max="19"/>
    <col width="13.44140625" customWidth="1" style="1" min="20" max="20"/>
    <col width="8.44140625" customWidth="1" style="1" min="21" max="21"/>
    <col width="10.6640625" customWidth="1" style="1" min="22" max="22"/>
  </cols>
  <sheetData>
    <row r="1" ht="15" customHeight="1" s="1">
      <c r="A1" s="2" t="inlineStr">
        <is>
          <t>Camaronera Industrial</t>
        </is>
      </c>
    </row>
    <row r="3" ht="14.25" customHeight="1" s="1">
      <c r="A3" s="3" t="inlineStr">
        <is>
          <t>Variables</t>
        </is>
      </c>
    </row>
    <row r="4" ht="14.25" customHeight="1" s="1">
      <c r="A4" s="4" t="inlineStr">
        <is>
          <t>Horizonte de evaluación (años)</t>
        </is>
      </c>
      <c r="B4" s="4" t="n">
        <v>10</v>
      </c>
    </row>
    <row r="5" ht="14.25" customHeight="1" s="1">
      <c r="A5" s="4" t="inlineStr">
        <is>
          <t>Devaluación</t>
        </is>
      </c>
      <c r="B5" s="5" t="n">
        <v>0.05</v>
      </c>
    </row>
    <row r="6" ht="14.25" customHeight="1" s="1">
      <c r="A6" s="4" t="inlineStr">
        <is>
          <t>Inflación</t>
        </is>
      </c>
      <c r="B6" s="5" t="n">
        <v>0.07000000000000001</v>
      </c>
    </row>
    <row r="7" ht="14.25" customHeight="1" s="1">
      <c r="B7" s="6" t="inlineStr">
        <is>
          <t>Año 0</t>
        </is>
      </c>
      <c r="C7" s="6" t="inlineStr">
        <is>
          <t>Año 1</t>
        </is>
      </c>
      <c r="D7" s="6" t="inlineStr">
        <is>
          <t>Año 2</t>
        </is>
      </c>
      <c r="E7" s="6" t="inlineStr">
        <is>
          <t>Año 3</t>
        </is>
      </c>
      <c r="F7" s="6" t="inlineStr">
        <is>
          <t>Año 4</t>
        </is>
      </c>
      <c r="G7" s="6" t="inlineStr">
        <is>
          <t>Año 5</t>
        </is>
      </c>
      <c r="H7" s="6" t="inlineStr">
        <is>
          <t>Año 6</t>
        </is>
      </c>
      <c r="I7" s="6" t="inlineStr">
        <is>
          <t>Año 7</t>
        </is>
      </c>
      <c r="J7" s="6" t="inlineStr">
        <is>
          <t>Año 8</t>
        </is>
      </c>
      <c r="K7" s="6" t="inlineStr">
        <is>
          <t>Año 9</t>
        </is>
      </c>
      <c r="L7" s="6" t="inlineStr">
        <is>
          <t>Año 10</t>
        </is>
      </c>
    </row>
    <row r="8" ht="14.25" customHeight="1" s="1">
      <c r="A8" s="4" t="inlineStr">
        <is>
          <t>Área en producción (Ha)</t>
        </is>
      </c>
      <c r="B8" s="7" t="n"/>
      <c r="C8" s="8" t="n">
        <v>750</v>
      </c>
      <c r="D8" s="8" t="n">
        <v>900</v>
      </c>
      <c r="E8" s="8" t="n">
        <v>900</v>
      </c>
      <c r="F8" s="8" t="n">
        <v>900</v>
      </c>
      <c r="G8" s="8" t="n">
        <v>900</v>
      </c>
      <c r="H8" s="8" t="n">
        <v>900</v>
      </c>
      <c r="I8" s="8" t="n">
        <v>900</v>
      </c>
      <c r="J8" s="8" t="n">
        <v>900</v>
      </c>
      <c r="K8" s="8" t="n">
        <v>900</v>
      </c>
      <c r="L8" s="8" t="n">
        <v>900</v>
      </c>
    </row>
    <row r="9" ht="14.25" customHeight="1" s="1">
      <c r="A9" s="4" t="inlineStr">
        <is>
          <t>Producción neta (Lb/Ha/año)</t>
        </is>
      </c>
      <c r="B9" s="7" t="n"/>
      <c r="C9" s="9">
        <f>1225</f>
        <v/>
      </c>
      <c r="D9" s="9">
        <f>1470</f>
        <v/>
      </c>
      <c r="E9" s="9">
        <f>1715</f>
        <v/>
      </c>
      <c r="F9" s="9">
        <f>1960</f>
        <v/>
      </c>
      <c r="G9" s="9">
        <f>2205</f>
        <v/>
      </c>
      <c r="H9" s="9">
        <f>2205</f>
        <v/>
      </c>
      <c r="I9" s="9">
        <f>2205</f>
        <v/>
      </c>
      <c r="J9" s="9">
        <f>2205</f>
        <v/>
      </c>
      <c r="K9" s="9">
        <f>2205</f>
        <v/>
      </c>
      <c r="L9" s="9">
        <f>2205</f>
        <v/>
      </c>
    </row>
    <row r="10" ht="14.25" customHeight="1" s="1">
      <c r="A10" s="4" t="inlineStr">
        <is>
          <t>Producción neta total (Lb/año)</t>
        </is>
      </c>
      <c r="B10" s="7" t="n"/>
      <c r="C10" s="9">
        <f>C9*C8</f>
        <v/>
      </c>
      <c r="D10" s="9">
        <f>D9*D8</f>
        <v/>
      </c>
      <c r="E10" s="9">
        <f>E9*E8</f>
        <v/>
      </c>
      <c r="F10" s="9">
        <f>F9*F8</f>
        <v/>
      </c>
      <c r="G10" s="9">
        <f>G9*G8</f>
        <v/>
      </c>
      <c r="H10" s="9">
        <f>H9*H8</f>
        <v/>
      </c>
      <c r="I10" s="9">
        <f>I9*I8</f>
        <v/>
      </c>
      <c r="J10" s="9">
        <f>J9*J8</f>
        <v/>
      </c>
      <c r="K10" s="9">
        <f>K9*K8</f>
        <v/>
      </c>
      <c r="L10" s="9">
        <f>L9*L8</f>
        <v/>
      </c>
    </row>
    <row r="11" ht="14.25" customHeight="1" s="1">
      <c r="A11" s="4" t="inlineStr">
        <is>
          <t>Tasa de cambio</t>
        </is>
      </c>
      <c r="B11" s="7" t="n"/>
      <c r="C11" s="10" t="n">
        <v>1</v>
      </c>
      <c r="D11" s="10">
        <f>C11+(C11*$B$5)</f>
        <v/>
      </c>
      <c r="E11" s="10">
        <f>D11+(D11*$B$5)</f>
        <v/>
      </c>
      <c r="F11" s="10">
        <f>E11+(E11*$B$5)</f>
        <v/>
      </c>
      <c r="G11" s="10">
        <f>F11+(F11*$B$5)</f>
        <v/>
      </c>
      <c r="H11" s="10">
        <f>G11+(G11*$B$5)</f>
        <v/>
      </c>
      <c r="I11" s="10">
        <f>H11+(H11*$B$5)</f>
        <v/>
      </c>
      <c r="J11" s="10">
        <f>I11+(I11*$B$5)</f>
        <v/>
      </c>
      <c r="K11" s="10">
        <f>J11+(J11*$B$5)</f>
        <v/>
      </c>
      <c r="L11" s="10">
        <f>K11+(K11*$B$5)</f>
        <v/>
      </c>
    </row>
    <row r="12" ht="14.25" customHeight="1" s="1">
      <c r="A12" s="4" t="inlineStr">
        <is>
          <t>Precio de venta FOB ($/Lb)</t>
        </is>
      </c>
      <c r="B12" s="7" t="n"/>
      <c r="C12" s="11" t="n">
        <v>3</v>
      </c>
      <c r="D12" s="11">
        <f>C12+(C12*$B$6)</f>
        <v/>
      </c>
      <c r="E12" s="11">
        <f>D12+(D12*$B$6)</f>
        <v/>
      </c>
      <c r="F12" s="11">
        <f>E12+(E12*$B$6)</f>
        <v/>
      </c>
      <c r="G12" s="11">
        <f>F12+(F12*$B$6)</f>
        <v/>
      </c>
      <c r="H12" s="11">
        <f>G12+(G12*$B$6)</f>
        <v/>
      </c>
      <c r="I12" s="11">
        <f>H12+(H12*$B$6)</f>
        <v/>
      </c>
      <c r="J12" s="11">
        <f>I12+(I12*$B$6)</f>
        <v/>
      </c>
      <c r="K12" s="11">
        <f>J12+(J12*$B$6)</f>
        <v/>
      </c>
      <c r="L12" s="11">
        <f>K12+(K12*$B$6)</f>
        <v/>
      </c>
    </row>
    <row r="13" ht="14.25" customHeight="1" s="1">
      <c r="A13" s="4" t="inlineStr">
        <is>
          <t>Capital de trabajo</t>
        </is>
      </c>
      <c r="B13" s="12" t="n"/>
      <c r="C13" s="13" t="n">
        <v>450000</v>
      </c>
      <c r="D13" s="13" t="n">
        <v>250000</v>
      </c>
      <c r="E13" s="13" t="n">
        <v>250000</v>
      </c>
      <c r="F13" s="13" t="n">
        <v>250000</v>
      </c>
      <c r="G13" s="13" t="n">
        <v>250000</v>
      </c>
      <c r="H13" s="13" t="n">
        <v>250000</v>
      </c>
      <c r="I13" s="13" t="n">
        <v>0</v>
      </c>
      <c r="J13" s="13" t="n">
        <v>0</v>
      </c>
      <c r="K13" s="13" t="n">
        <v>0</v>
      </c>
      <c r="L13" s="13" t="n">
        <v>0</v>
      </c>
    </row>
    <row r="14" ht="14.25" customHeight="1" s="1">
      <c r="A14" s="4" t="inlineStr">
        <is>
          <t>Costos variables ($1.45 x Lb)</t>
        </is>
      </c>
      <c r="B14" s="12" t="n"/>
      <c r="C14" s="11">
        <f>1.45</f>
        <v/>
      </c>
      <c r="D14" s="11">
        <f>C14+(C14*$B$6)</f>
        <v/>
      </c>
      <c r="E14" s="11">
        <f>D14+(D14*$B$6)</f>
        <v/>
      </c>
      <c r="F14" s="11">
        <f>E14+(E14*$B$6)</f>
        <v/>
      </c>
      <c r="G14" s="11">
        <f>F14+(F14*$B$6)</f>
        <v/>
      </c>
      <c r="H14" s="11">
        <f>G14+(G14*$B$6)</f>
        <v/>
      </c>
      <c r="I14" s="11">
        <f>H14+(H14*$B$6)</f>
        <v/>
      </c>
      <c r="J14" s="11">
        <f>I14+(I14*$B$6)</f>
        <v/>
      </c>
      <c r="K14" s="11">
        <f>J14+(J14*$B$6)</f>
        <v/>
      </c>
      <c r="L14" s="11">
        <f>K14+(K14*$B$6)</f>
        <v/>
      </c>
    </row>
    <row r="15" ht="14.25" customHeight="1" s="1">
      <c r="A15" s="4" t="inlineStr">
        <is>
          <t>Costos variables anuales</t>
        </is>
      </c>
      <c r="B15" s="14" t="n"/>
      <c r="C15" s="15">
        <f>C14*C10</f>
        <v/>
      </c>
      <c r="D15" s="15">
        <f>D14*D10</f>
        <v/>
      </c>
      <c r="E15" s="15">
        <f>E14*E10</f>
        <v/>
      </c>
      <c r="F15" s="15">
        <f>F14*F10</f>
        <v/>
      </c>
      <c r="G15" s="15">
        <f>G14*G10</f>
        <v/>
      </c>
      <c r="H15" s="15">
        <f>H14*H10</f>
        <v/>
      </c>
      <c r="I15" s="15">
        <f>I14*I10</f>
        <v/>
      </c>
      <c r="J15" s="15">
        <f>J14*J10</f>
        <v/>
      </c>
      <c r="K15" s="15">
        <f>K14*K10</f>
        <v/>
      </c>
      <c r="L15" s="15">
        <f>L14*L10</f>
        <v/>
      </c>
    </row>
    <row r="16" ht="14.25" customHeight="1" s="1">
      <c r="A16" s="4" t="inlineStr">
        <is>
          <t>Costos fijos de producción</t>
        </is>
      </c>
      <c r="B16" s="14" t="n"/>
      <c r="C16" s="15" t="n">
        <v>50000</v>
      </c>
      <c r="D16" s="15">
        <f>C16+(C16*$B$6)</f>
        <v/>
      </c>
      <c r="E16" s="15">
        <f>D16+(D16*$B$6)</f>
        <v/>
      </c>
      <c r="F16" s="15">
        <f>E16+(E16*$B$6)</f>
        <v/>
      </c>
      <c r="G16" s="15">
        <f>F16+(F16*$B$6)</f>
        <v/>
      </c>
      <c r="H16" s="15">
        <f>G16+(G16*$B$6)</f>
        <v/>
      </c>
      <c r="I16" s="15">
        <f>H16+(H16*$B$6)</f>
        <v/>
      </c>
      <c r="J16" s="15">
        <f>I16+(I16*$B$6)</f>
        <v/>
      </c>
      <c r="K16" s="15">
        <f>J16+(J16*$B$6)</f>
        <v/>
      </c>
      <c r="L16" s="15">
        <f>K16+(K16*$B$6)</f>
        <v/>
      </c>
    </row>
    <row r="17" ht="14.25" customHeight="1" s="1">
      <c r="A17" s="4" t="inlineStr">
        <is>
          <t>Gastos administrativos</t>
        </is>
      </c>
      <c r="B17" s="14" t="n"/>
      <c r="C17" s="15" t="n">
        <v>200000</v>
      </c>
      <c r="D17" s="15">
        <f>C17+(C17*$B$6)</f>
        <v/>
      </c>
      <c r="E17" s="15">
        <f>D17+(D17*$B$6)</f>
        <v/>
      </c>
      <c r="F17" s="15">
        <f>E17+(E17*$B$6)</f>
        <v/>
      </c>
      <c r="G17" s="15">
        <f>F17+(F17*$B$6)</f>
        <v/>
      </c>
      <c r="H17" s="15">
        <f>G17+(G17*$B$6)</f>
        <v/>
      </c>
      <c r="I17" s="15">
        <f>H17+(H17*$B$6)</f>
        <v/>
      </c>
      <c r="J17" s="15">
        <f>I17+(I17*$B$6)</f>
        <v/>
      </c>
      <c r="K17" s="15">
        <f>J17+(J17*$B$6)</f>
        <v/>
      </c>
      <c r="L17" s="15">
        <f>K17+(K17*$B$6)</f>
        <v/>
      </c>
    </row>
    <row r="18" ht="14.25" customHeight="1" s="1">
      <c r="K18" s="16" t="n"/>
    </row>
    <row r="19" ht="14.25" customHeight="1" s="1">
      <c r="A19" s="4" t="inlineStr">
        <is>
          <t>Valor residual del terreno</t>
        </is>
      </c>
      <c r="B19" s="17" t="n">
        <v>1250000</v>
      </c>
      <c r="K19" s="16" t="n"/>
    </row>
    <row r="20" ht="14.25" customHeight="1" s="1">
      <c r="A20" s="4" t="inlineStr">
        <is>
          <t>Valor residual de estanques y canales</t>
        </is>
      </c>
      <c r="B20" s="17" t="n">
        <v>1000000</v>
      </c>
      <c r="K20" s="16" t="n"/>
    </row>
    <row r="21" ht="14.25" customHeight="1" s="1">
      <c r="A21" s="4" t="inlineStr">
        <is>
          <t>Valor residual de edificios</t>
        </is>
      </c>
      <c r="B21" s="18" t="n">
        <v>50000</v>
      </c>
      <c r="K21" s="16" t="n"/>
    </row>
    <row r="22" ht="14.25" customHeight="1" s="1">
      <c r="A22" s="4" t="inlineStr">
        <is>
          <t>Tasa de fiananciamiento bancario</t>
        </is>
      </c>
      <c r="B22" s="5" t="n">
        <v>0.1</v>
      </c>
    </row>
    <row r="23" ht="14.25" customHeight="1" s="1">
      <c r="A23" s="4" t="inlineStr">
        <is>
          <t>Plazo del financiamiento bancario (años)</t>
        </is>
      </c>
      <c r="B23" s="19" t="n">
        <v>7</v>
      </c>
    </row>
    <row r="24" ht="14.25" customHeight="1" s="1">
      <c r="A24" s="4" t="inlineStr">
        <is>
          <t>Plazo del financiamiento bancario (valor)</t>
        </is>
      </c>
      <c r="B24" s="20">
        <f>5400000*0.5</f>
        <v/>
      </c>
    </row>
    <row r="25" ht="14.25" customHeight="1" s="1">
      <c r="A25" s="4" t="inlineStr">
        <is>
          <t>Tasa de corte</t>
        </is>
      </c>
      <c r="B25" s="5" t="n">
        <v>0.19</v>
      </c>
    </row>
    <row r="26" ht="14.25" customHeight="1" s="1">
      <c r="A26" s="4" t="inlineStr">
        <is>
          <t>Tasa de ISR</t>
        </is>
      </c>
      <c r="B26" s="5" t="n">
        <v>0.3</v>
      </c>
    </row>
    <row r="27" ht="14.25" customHeight="1" s="1">
      <c r="B27" s="21" t="n"/>
    </row>
    <row r="28" ht="14.25" customHeight="1" s="1">
      <c r="A28" s="22" t="inlineStr">
        <is>
          <t>1. Ingresos del proyecto</t>
        </is>
      </c>
      <c r="B28" s="21" t="n"/>
    </row>
    <row r="29" ht="15.75" customHeight="1" s="1">
      <c r="A29" s="23" t="inlineStr">
        <is>
          <t>Calendario de ingresos (venta del producto)</t>
        </is>
      </c>
      <c r="B29" s="24" t="n"/>
    </row>
    <row r="30" ht="14.25" customHeight="1" s="1">
      <c r="A30" s="161" t="inlineStr">
        <is>
          <t>Concepto</t>
        </is>
      </c>
      <c r="B30" s="26" t="inlineStr">
        <is>
          <t>Año 0</t>
        </is>
      </c>
      <c r="C30" s="26" t="inlineStr">
        <is>
          <t>Año 1</t>
        </is>
      </c>
      <c r="D30" s="26" t="inlineStr">
        <is>
          <t>Año 2</t>
        </is>
      </c>
      <c r="E30" s="26" t="inlineStr">
        <is>
          <t>Año 3</t>
        </is>
      </c>
      <c r="F30" s="26" t="inlineStr">
        <is>
          <t>Año 4</t>
        </is>
      </c>
      <c r="G30" s="26" t="inlineStr">
        <is>
          <t>Año 5</t>
        </is>
      </c>
      <c r="H30" s="26" t="inlineStr">
        <is>
          <t>Año 6</t>
        </is>
      </c>
      <c r="I30" s="26" t="inlineStr">
        <is>
          <t>Año 7</t>
        </is>
      </c>
      <c r="J30" s="26" t="inlineStr">
        <is>
          <t>Año 8</t>
        </is>
      </c>
      <c r="K30" s="26" t="inlineStr">
        <is>
          <t>Año 9</t>
        </is>
      </c>
      <c r="L30" s="27" t="inlineStr">
        <is>
          <t>Año 10</t>
        </is>
      </c>
    </row>
    <row r="31" ht="14.25" customHeight="1" s="1">
      <c r="A31" s="28" t="inlineStr">
        <is>
          <t>Cantidad de camarón (Lb)</t>
        </is>
      </c>
      <c r="B31" s="29" t="n"/>
      <c r="C31" s="30">
        <f>C10</f>
        <v/>
      </c>
      <c r="D31" s="30">
        <f>D10</f>
        <v/>
      </c>
      <c r="E31" s="30">
        <f>E10</f>
        <v/>
      </c>
      <c r="F31" s="30">
        <f>F10</f>
        <v/>
      </c>
      <c r="G31" s="30">
        <f>G10</f>
        <v/>
      </c>
      <c r="H31" s="30">
        <f>H10</f>
        <v/>
      </c>
      <c r="I31" s="30">
        <f>I10</f>
        <v/>
      </c>
      <c r="J31" s="30">
        <f>J10</f>
        <v/>
      </c>
      <c r="K31" s="30">
        <f>K10</f>
        <v/>
      </c>
      <c r="L31" s="31">
        <f>L10</f>
        <v/>
      </c>
    </row>
    <row r="32" ht="14.25" customHeight="1" s="1">
      <c r="A32" s="28" t="inlineStr">
        <is>
          <t>Precio unitario de venta ($/Lb)</t>
        </is>
      </c>
      <c r="B32" s="29" t="n"/>
      <c r="C32" s="32">
        <f>C12</f>
        <v/>
      </c>
      <c r="D32" s="32">
        <f>D12</f>
        <v/>
      </c>
      <c r="E32" s="32">
        <f>E12</f>
        <v/>
      </c>
      <c r="F32" s="32">
        <f>F12</f>
        <v/>
      </c>
      <c r="G32" s="32">
        <f>G12</f>
        <v/>
      </c>
      <c r="H32" s="32">
        <f>H12</f>
        <v/>
      </c>
      <c r="I32" s="32">
        <f>I12</f>
        <v/>
      </c>
      <c r="J32" s="32">
        <f>J12</f>
        <v/>
      </c>
      <c r="K32" s="32">
        <f>K12</f>
        <v/>
      </c>
      <c r="L32" s="33">
        <f>L12</f>
        <v/>
      </c>
    </row>
    <row r="33" ht="15.75" customHeight="1" s="1">
      <c r="A33" s="34" t="inlineStr">
        <is>
          <t>Ingresos</t>
        </is>
      </c>
      <c r="B33" s="35" t="n"/>
      <c r="C33" s="36">
        <f>C32*C31</f>
        <v/>
      </c>
      <c r="D33" s="36">
        <f>D32*D31</f>
        <v/>
      </c>
      <c r="E33" s="36">
        <f>E32*E31</f>
        <v/>
      </c>
      <c r="F33" s="36">
        <f>F32*F31</f>
        <v/>
      </c>
      <c r="G33" s="36">
        <f>G32*G31</f>
        <v/>
      </c>
      <c r="H33" s="36">
        <f>H32*H31</f>
        <v/>
      </c>
      <c r="I33" s="36">
        <f>I32*I31</f>
        <v/>
      </c>
      <c r="J33" s="36">
        <f>J32*J31</f>
        <v/>
      </c>
      <c r="K33" s="36">
        <f>K32*K31</f>
        <v/>
      </c>
      <c r="L33" s="37">
        <f>L32*L31</f>
        <v/>
      </c>
    </row>
    <row r="34" ht="14.25" customHeight="1" s="1">
      <c r="B34" s="21" t="n"/>
    </row>
    <row r="35" ht="14.25" customHeight="1" s="1">
      <c r="A35" s="22" t="inlineStr">
        <is>
          <t>2. Costos variables</t>
        </is>
      </c>
      <c r="B35" s="24" t="n"/>
    </row>
    <row r="36" ht="15.75" customHeight="1" s="1">
      <c r="A36" s="23" t="inlineStr">
        <is>
          <t>Calendario de costos variables</t>
        </is>
      </c>
      <c r="B36" s="24" t="n"/>
    </row>
    <row r="37" ht="14.25" customHeight="1" s="1">
      <c r="A37" s="161" t="inlineStr">
        <is>
          <t>Concepto</t>
        </is>
      </c>
      <c r="B37" s="26" t="inlineStr">
        <is>
          <t>Año 0</t>
        </is>
      </c>
      <c r="C37" s="26" t="inlineStr">
        <is>
          <t>Año 1</t>
        </is>
      </c>
      <c r="D37" s="26" t="inlineStr">
        <is>
          <t>Año 2</t>
        </is>
      </c>
      <c r="E37" s="26" t="inlineStr">
        <is>
          <t>Año 3</t>
        </is>
      </c>
      <c r="F37" s="26" t="inlineStr">
        <is>
          <t>Año 4</t>
        </is>
      </c>
      <c r="G37" s="26" t="inlineStr">
        <is>
          <t>Año 5</t>
        </is>
      </c>
      <c r="H37" s="26" t="inlineStr">
        <is>
          <t>Año 6</t>
        </is>
      </c>
      <c r="I37" s="26" t="inlineStr">
        <is>
          <t>Año 7</t>
        </is>
      </c>
      <c r="J37" s="26" t="inlineStr">
        <is>
          <t>Año 8</t>
        </is>
      </c>
      <c r="K37" s="26" t="inlineStr">
        <is>
          <t>Año 9</t>
        </is>
      </c>
      <c r="L37" s="27" t="inlineStr">
        <is>
          <t>Año 10</t>
        </is>
      </c>
    </row>
    <row r="38" ht="14.25" customHeight="1" s="1">
      <c r="A38" s="28" t="inlineStr">
        <is>
          <t>Costos variables</t>
        </is>
      </c>
      <c r="B38" s="29" t="n"/>
      <c r="C38" s="38">
        <f>C15</f>
        <v/>
      </c>
      <c r="D38" s="38">
        <f>D15</f>
        <v/>
      </c>
      <c r="E38" s="38">
        <f>E15</f>
        <v/>
      </c>
      <c r="F38" s="38">
        <f>F15</f>
        <v/>
      </c>
      <c r="G38" s="38">
        <f>G15</f>
        <v/>
      </c>
      <c r="H38" s="38">
        <f>H15</f>
        <v/>
      </c>
      <c r="I38" s="38">
        <f>I15</f>
        <v/>
      </c>
      <c r="J38" s="38">
        <f>J15</f>
        <v/>
      </c>
      <c r="K38" s="38">
        <f>K15</f>
        <v/>
      </c>
      <c r="L38" s="39">
        <f>L15</f>
        <v/>
      </c>
    </row>
    <row r="39" ht="15.75" customHeight="1" s="1">
      <c r="A39" s="40" t="inlineStr">
        <is>
          <t>Total de costos variables</t>
        </is>
      </c>
      <c r="B39" s="41" t="n"/>
      <c r="C39" s="36">
        <f>C38</f>
        <v/>
      </c>
      <c r="D39" s="36">
        <f>D38</f>
        <v/>
      </c>
      <c r="E39" s="36">
        <f>E38</f>
        <v/>
      </c>
      <c r="F39" s="36">
        <f>F38</f>
        <v/>
      </c>
      <c r="G39" s="36">
        <f>G38</f>
        <v/>
      </c>
      <c r="H39" s="36">
        <f>H38</f>
        <v/>
      </c>
      <c r="I39" s="36">
        <f>I38</f>
        <v/>
      </c>
      <c r="J39" s="36">
        <f>J38</f>
        <v/>
      </c>
      <c r="K39" s="36">
        <f>K38</f>
        <v/>
      </c>
      <c r="L39" s="37">
        <f>L38</f>
        <v/>
      </c>
    </row>
    <row r="40" ht="14.25" customHeight="1" s="1">
      <c r="B40" s="21" t="n"/>
    </row>
    <row r="41" ht="14.25" customHeight="1" s="1">
      <c r="A41" s="22" t="inlineStr">
        <is>
          <t xml:space="preserve">3. Costos  fijos </t>
        </is>
      </c>
      <c r="B41" s="24" t="n"/>
    </row>
    <row r="42" ht="15.75" customHeight="1" s="1">
      <c r="A42" s="23" t="inlineStr">
        <is>
          <t>Calendario de los costos fijos</t>
        </is>
      </c>
      <c r="B42" s="24" t="n"/>
    </row>
    <row r="43" ht="14.25" customHeight="1" s="1">
      <c r="A43" s="161" t="inlineStr">
        <is>
          <t>Concepto</t>
        </is>
      </c>
      <c r="B43" s="26" t="inlineStr">
        <is>
          <t>Año 0</t>
        </is>
      </c>
      <c r="C43" s="26" t="inlineStr">
        <is>
          <t>Año 1</t>
        </is>
      </c>
      <c r="D43" s="26" t="inlineStr">
        <is>
          <t>Año 2</t>
        </is>
      </c>
      <c r="E43" s="26" t="inlineStr">
        <is>
          <t>Año 3</t>
        </is>
      </c>
      <c r="F43" s="26" t="inlineStr">
        <is>
          <t>Año 4</t>
        </is>
      </c>
      <c r="G43" s="26" t="inlineStr">
        <is>
          <t>Año 5</t>
        </is>
      </c>
      <c r="H43" s="26" t="inlineStr">
        <is>
          <t>Año 6</t>
        </is>
      </c>
      <c r="I43" s="26" t="inlineStr">
        <is>
          <t>Año 7</t>
        </is>
      </c>
      <c r="J43" s="26" t="inlineStr">
        <is>
          <t>Año 8</t>
        </is>
      </c>
      <c r="K43" s="26" t="inlineStr">
        <is>
          <t>Año 9</t>
        </is>
      </c>
      <c r="L43" s="27" t="inlineStr">
        <is>
          <t>Año 10</t>
        </is>
      </c>
    </row>
    <row r="44" ht="14.25" customHeight="1" s="1">
      <c r="A44" s="28" t="inlineStr">
        <is>
          <t>Costos fijos de producción</t>
        </is>
      </c>
      <c r="B44" s="29" t="n"/>
      <c r="C44" s="38">
        <f>C16</f>
        <v/>
      </c>
      <c r="D44" s="38">
        <f>D16</f>
        <v/>
      </c>
      <c r="E44" s="38">
        <f>E16</f>
        <v/>
      </c>
      <c r="F44" s="38">
        <f>F16</f>
        <v/>
      </c>
      <c r="G44" s="38">
        <f>G16</f>
        <v/>
      </c>
      <c r="H44" s="38">
        <f>H16</f>
        <v/>
      </c>
      <c r="I44" s="38">
        <f>I16</f>
        <v/>
      </c>
      <c r="J44" s="38">
        <f>J16</f>
        <v/>
      </c>
      <c r="K44" s="38">
        <f>K16</f>
        <v/>
      </c>
      <c r="L44" s="39">
        <f>L16</f>
        <v/>
      </c>
    </row>
    <row r="45" ht="14.25" customHeight="1" s="1">
      <c r="A45" s="28" t="inlineStr">
        <is>
          <t>Gastos administrativos</t>
        </is>
      </c>
      <c r="B45" s="29" t="n"/>
      <c r="C45" s="38">
        <f>C17</f>
        <v/>
      </c>
      <c r="D45" s="38">
        <f>D17</f>
        <v/>
      </c>
      <c r="E45" s="38">
        <f>E17</f>
        <v/>
      </c>
      <c r="F45" s="38">
        <f>F17</f>
        <v/>
      </c>
      <c r="G45" s="38">
        <f>G17</f>
        <v/>
      </c>
      <c r="H45" s="38">
        <f>H17</f>
        <v/>
      </c>
      <c r="I45" s="38">
        <f>I17</f>
        <v/>
      </c>
      <c r="J45" s="38">
        <f>J17</f>
        <v/>
      </c>
      <c r="K45" s="38">
        <f>K17</f>
        <v/>
      </c>
      <c r="L45" s="39">
        <f>L17</f>
        <v/>
      </c>
    </row>
    <row r="46" ht="15.75" customHeight="1" s="1">
      <c r="A46" s="40" t="inlineStr">
        <is>
          <t>Total de costos fijos</t>
        </is>
      </c>
      <c r="B46" s="41" t="n"/>
      <c r="C46" s="36">
        <f>SUM(C44:C45)</f>
        <v/>
      </c>
      <c r="D46" s="36">
        <f>SUM(D44:D45)</f>
        <v/>
      </c>
      <c r="E46" s="36">
        <f>SUM(E44:E45)</f>
        <v/>
      </c>
      <c r="F46" s="36">
        <f>SUM(F44:F45)</f>
        <v/>
      </c>
      <c r="G46" s="36">
        <f>SUM(G44:G45)</f>
        <v/>
      </c>
      <c r="H46" s="36">
        <f>SUM(H44:H45)</f>
        <v/>
      </c>
      <c r="I46" s="36">
        <f>SUM(I44:I45)</f>
        <v/>
      </c>
      <c r="J46" s="36">
        <f>SUM(J44:J45)</f>
        <v/>
      </c>
      <c r="K46" s="36">
        <f>SUM(K44:K45)</f>
        <v/>
      </c>
      <c r="L46" s="37">
        <f>SUM(L44:L45)</f>
        <v/>
      </c>
    </row>
    <row r="47" ht="14.25" customHeight="1" s="1">
      <c r="B47" s="21" t="n"/>
    </row>
    <row r="48" ht="14.25" customHeight="1" s="1">
      <c r="A48" s="22" t="inlineStr">
        <is>
          <t>4. Capital de trabajo</t>
        </is>
      </c>
      <c r="B48" s="42" t="n"/>
      <c r="C48" s="43" t="n"/>
      <c r="D48" s="43" t="n"/>
      <c r="E48" s="43" t="n"/>
      <c r="F48" s="43" t="n"/>
      <c r="G48" s="43" t="n"/>
      <c r="H48" s="43" t="n"/>
    </row>
    <row r="49" ht="14.25" customHeight="1" s="1">
      <c r="A49" s="44" t="inlineStr">
        <is>
          <t>Capital de trabajo</t>
        </is>
      </c>
      <c r="B49" s="42" t="n"/>
      <c r="C49" s="43" t="n"/>
      <c r="D49" s="43" t="n"/>
      <c r="E49" s="43" t="n"/>
      <c r="F49" s="43" t="n"/>
      <c r="G49" s="43" t="n"/>
      <c r="H49" s="43" t="n"/>
    </row>
    <row r="50" ht="15.75" customHeight="1" s="1">
      <c r="A50" s="160" t="inlineStr">
        <is>
          <t>Necesidad de Efectivo</t>
        </is>
      </c>
    </row>
    <row r="51" ht="14.25" customHeight="1" s="1">
      <c r="A51" s="161" t="inlineStr">
        <is>
          <t>Concepto</t>
        </is>
      </c>
      <c r="B51" s="26" t="inlineStr">
        <is>
          <t>Año 0</t>
        </is>
      </c>
      <c r="C51" s="26" t="inlineStr">
        <is>
          <t>Año 1</t>
        </is>
      </c>
      <c r="D51" s="26" t="inlineStr">
        <is>
          <t>Año 2</t>
        </is>
      </c>
      <c r="E51" s="26" t="inlineStr">
        <is>
          <t>Año 3</t>
        </is>
      </c>
      <c r="F51" s="26" t="inlineStr">
        <is>
          <t>Año 4</t>
        </is>
      </c>
      <c r="G51" s="26" t="inlineStr">
        <is>
          <t>Año 5</t>
        </is>
      </c>
      <c r="H51" s="26" t="inlineStr">
        <is>
          <t>Año 6</t>
        </is>
      </c>
      <c r="I51" s="26" t="inlineStr">
        <is>
          <t>Año 7</t>
        </is>
      </c>
      <c r="J51" s="26" t="inlineStr">
        <is>
          <t>Año 8</t>
        </is>
      </c>
      <c r="K51" s="26" t="inlineStr">
        <is>
          <t>Año 9</t>
        </is>
      </c>
      <c r="L51" s="27" t="inlineStr">
        <is>
          <t>Año 10</t>
        </is>
      </c>
    </row>
    <row r="52" ht="14.25" customHeight="1" s="1">
      <c r="A52" s="28" t="inlineStr">
        <is>
          <t>Capital de trabajo</t>
        </is>
      </c>
      <c r="B52" s="45" t="n"/>
      <c r="C52" s="38">
        <f>C13+B52</f>
        <v/>
      </c>
      <c r="D52" s="38">
        <f>D13+C52</f>
        <v/>
      </c>
      <c r="E52" s="38">
        <f>E13+D52</f>
        <v/>
      </c>
      <c r="F52" s="38">
        <f>F13+E52</f>
        <v/>
      </c>
      <c r="G52" s="38">
        <f>G13+F52</f>
        <v/>
      </c>
      <c r="H52" s="38">
        <f>H13+G52</f>
        <v/>
      </c>
      <c r="I52" s="38">
        <f>I13+H52</f>
        <v/>
      </c>
      <c r="J52" s="38">
        <f>J13+I52</f>
        <v/>
      </c>
      <c r="K52" s="38">
        <f>K13+J52</f>
        <v/>
      </c>
      <c r="L52" s="38">
        <f>L13+K52</f>
        <v/>
      </c>
    </row>
    <row r="53" ht="15.75" customHeight="1" s="1">
      <c r="A53" s="34" t="inlineStr">
        <is>
          <t>Efectivo requerido en caja</t>
        </is>
      </c>
      <c r="B53" s="46" t="n"/>
      <c r="C53" s="36">
        <f>SUM(C52:C52)</f>
        <v/>
      </c>
      <c r="D53" s="36">
        <f>SUM(D52:D52)</f>
        <v/>
      </c>
      <c r="E53" s="36">
        <f>SUM(E52:E52)</f>
        <v/>
      </c>
      <c r="F53" s="36">
        <f>SUM(F52:F52)</f>
        <v/>
      </c>
      <c r="G53" s="36">
        <f>SUM(G52:G52)</f>
        <v/>
      </c>
      <c r="H53" s="36">
        <f>SUM(H52:H52)</f>
        <v/>
      </c>
      <c r="I53" s="36">
        <f>SUM(I52:I52)</f>
        <v/>
      </c>
      <c r="J53" s="36">
        <f>SUM(J52:J52)</f>
        <v/>
      </c>
      <c r="K53" s="36">
        <f>SUM(K52:K52)</f>
        <v/>
      </c>
      <c r="L53" s="37">
        <f>SUM(L52:L52)</f>
        <v/>
      </c>
    </row>
    <row r="54" ht="14.25" customHeight="1" s="1">
      <c r="A54" s="43" t="n"/>
      <c r="B54" s="42" t="n"/>
      <c r="C54" s="43" t="n"/>
      <c r="D54" s="43" t="n"/>
      <c r="E54" s="43" t="n"/>
      <c r="F54" s="43" t="n"/>
      <c r="G54" s="43" t="n"/>
      <c r="H54" s="43" t="n"/>
    </row>
    <row r="55" ht="15.75" customHeight="1" s="1">
      <c r="A55" s="160" t="inlineStr">
        <is>
          <t>Cálculo del Capital de Trabajo</t>
        </is>
      </c>
    </row>
    <row r="56" ht="14.25" customHeight="1" s="1">
      <c r="A56" s="161" t="inlineStr">
        <is>
          <t>Concepto</t>
        </is>
      </c>
      <c r="B56" s="26" t="inlineStr">
        <is>
          <t>Cobertura</t>
        </is>
      </c>
      <c r="C56" s="26" t="inlineStr">
        <is>
          <t>Año 1</t>
        </is>
      </c>
      <c r="D56" s="26" t="inlineStr">
        <is>
          <t>Año 2</t>
        </is>
      </c>
      <c r="E56" s="26" t="inlineStr">
        <is>
          <t>Año 3</t>
        </is>
      </c>
      <c r="F56" s="26" t="inlineStr">
        <is>
          <t>Año 4</t>
        </is>
      </c>
      <c r="G56" s="26" t="inlineStr">
        <is>
          <t>Año 5</t>
        </is>
      </c>
      <c r="H56" s="26" t="inlineStr">
        <is>
          <t>Año 6</t>
        </is>
      </c>
      <c r="I56" s="26" t="inlineStr">
        <is>
          <t>Año 7</t>
        </is>
      </c>
      <c r="J56" s="26" t="inlineStr">
        <is>
          <t>Año 8</t>
        </is>
      </c>
      <c r="K56" s="26" t="inlineStr">
        <is>
          <t>Año 9</t>
        </is>
      </c>
      <c r="L56" s="27" t="inlineStr">
        <is>
          <t>Año 10</t>
        </is>
      </c>
    </row>
    <row r="57" ht="14.25" customHeight="1" s="1">
      <c r="A57" s="47" t="inlineStr">
        <is>
          <t>Activo circulante</t>
        </is>
      </c>
      <c r="B57" s="48" t="n"/>
      <c r="C57" s="49">
        <f>C58</f>
        <v/>
      </c>
      <c r="D57" s="49">
        <f>D58</f>
        <v/>
      </c>
      <c r="E57" s="49">
        <f>E58</f>
        <v/>
      </c>
      <c r="F57" s="49">
        <f>F58</f>
        <v/>
      </c>
      <c r="G57" s="49">
        <f>G58</f>
        <v/>
      </c>
      <c r="H57" s="49">
        <f>H58</f>
        <v/>
      </c>
      <c r="I57" s="49">
        <f>I58</f>
        <v/>
      </c>
      <c r="J57" s="49">
        <f>J58</f>
        <v/>
      </c>
      <c r="K57" s="49">
        <f>K58</f>
        <v/>
      </c>
      <c r="L57" s="50">
        <f>L58</f>
        <v/>
      </c>
    </row>
    <row r="58" ht="14.25" customHeight="1" s="1">
      <c r="A58" s="28" t="inlineStr">
        <is>
          <t xml:space="preserve">     Efectivo </t>
        </is>
      </c>
      <c r="B58" s="45" t="n"/>
      <c r="C58" s="38">
        <f>C53</f>
        <v/>
      </c>
      <c r="D58" s="38">
        <f>D53</f>
        <v/>
      </c>
      <c r="E58" s="38">
        <f>E53</f>
        <v/>
      </c>
      <c r="F58" s="38">
        <f>F53</f>
        <v/>
      </c>
      <c r="G58" s="38">
        <f>G53</f>
        <v/>
      </c>
      <c r="H58" s="38">
        <f>H53</f>
        <v/>
      </c>
      <c r="I58" s="38">
        <f>I53</f>
        <v/>
      </c>
      <c r="J58" s="38">
        <f>J53</f>
        <v/>
      </c>
      <c r="K58" s="38">
        <f>K53</f>
        <v/>
      </c>
      <c r="L58" s="39">
        <f>L53</f>
        <v/>
      </c>
    </row>
    <row r="59" ht="14.25" customHeight="1" s="1">
      <c r="A59" s="47" t="inlineStr">
        <is>
          <t>Pasivo circulante</t>
        </is>
      </c>
      <c r="B59" s="48" t="n"/>
      <c r="C59" s="49">
        <f>SUM(C60:C61)</f>
        <v/>
      </c>
      <c r="D59" s="49">
        <f>SUM(D60:D61)</f>
        <v/>
      </c>
      <c r="E59" s="49">
        <f>SUM(E60:E61)</f>
        <v/>
      </c>
      <c r="F59" s="49">
        <f>SUM(F60:F61)</f>
        <v/>
      </c>
      <c r="G59" s="49">
        <f>SUM(G60:G61)</f>
        <v/>
      </c>
      <c r="H59" s="49">
        <f>SUM(H60:H61)</f>
        <v/>
      </c>
      <c r="I59" s="49">
        <f>SUM(I60:I61)</f>
        <v/>
      </c>
      <c r="J59" s="49">
        <f>SUM(J60:J61)</f>
        <v/>
      </c>
      <c r="K59" s="49">
        <f>SUM(K60:K61)</f>
        <v/>
      </c>
      <c r="L59" s="50">
        <f>SUM(L60:L61)</f>
        <v/>
      </c>
    </row>
    <row r="60" ht="14.25" customHeight="1" s="1">
      <c r="A60" s="28" t="inlineStr">
        <is>
          <t xml:space="preserve">     Cuentas por pagar</t>
        </is>
      </c>
      <c r="B60" s="45" t="n"/>
      <c r="C60" s="38" t="n">
        <v>0</v>
      </c>
      <c r="D60" s="38" t="n">
        <v>0</v>
      </c>
      <c r="E60" s="38" t="n">
        <v>0</v>
      </c>
      <c r="F60" s="38" t="n">
        <v>0</v>
      </c>
      <c r="G60" s="38" t="n">
        <v>0</v>
      </c>
      <c r="H60" s="38" t="n">
        <v>0</v>
      </c>
      <c r="I60" s="38" t="n">
        <v>0</v>
      </c>
      <c r="J60" s="38" t="n">
        <v>0</v>
      </c>
      <c r="K60" s="38" t="n">
        <v>0</v>
      </c>
      <c r="L60" s="39" t="n">
        <v>0</v>
      </c>
    </row>
    <row r="61" ht="14.25" customHeight="1" s="1">
      <c r="A61" s="28" t="inlineStr">
        <is>
          <t xml:space="preserve">     Proveedores</t>
        </is>
      </c>
      <c r="B61" s="45" t="n"/>
      <c r="C61" s="38" t="n">
        <v>0</v>
      </c>
      <c r="D61" s="38" t="n">
        <v>0</v>
      </c>
      <c r="E61" s="38" t="n">
        <v>0</v>
      </c>
      <c r="F61" s="38" t="n">
        <v>0</v>
      </c>
      <c r="G61" s="38" t="n">
        <v>0</v>
      </c>
      <c r="H61" s="38" t="n">
        <v>0</v>
      </c>
      <c r="I61" s="38" t="n">
        <v>0</v>
      </c>
      <c r="J61" s="38" t="n">
        <v>0</v>
      </c>
      <c r="K61" s="38" t="n">
        <v>0</v>
      </c>
      <c r="L61" s="39" t="n">
        <v>0</v>
      </c>
    </row>
    <row r="62" ht="14.25" customHeight="1" s="1">
      <c r="A62" s="51" t="inlineStr">
        <is>
          <t>Capital de Trabajo (Ac - Pc)</t>
        </is>
      </c>
      <c r="B62" s="52" t="n"/>
      <c r="C62" s="53">
        <f>C57-C59</f>
        <v/>
      </c>
      <c r="D62" s="53">
        <f>D57-D59</f>
        <v/>
      </c>
      <c r="E62" s="53">
        <f>E57-E59</f>
        <v/>
      </c>
      <c r="F62" s="53">
        <f>F57-F59</f>
        <v/>
      </c>
      <c r="G62" s="53">
        <f>G57-G59</f>
        <v/>
      </c>
      <c r="H62" s="53">
        <f>H57-H59</f>
        <v/>
      </c>
      <c r="I62" s="53">
        <f>I57-I59</f>
        <v/>
      </c>
      <c r="J62" s="53">
        <f>J57-J59</f>
        <v/>
      </c>
      <c r="K62" s="53">
        <f>K57-K59</f>
        <v/>
      </c>
      <c r="L62" s="54">
        <f>L57-L59</f>
        <v/>
      </c>
    </row>
    <row r="63" ht="15.75" customHeight="1" s="1">
      <c r="A63" s="34" t="inlineStr">
        <is>
          <t>Incremento Capital Trabajo</t>
        </is>
      </c>
      <c r="B63" s="36">
        <f>C62-B62</f>
        <v/>
      </c>
      <c r="C63" s="36">
        <f>D62-C62</f>
        <v/>
      </c>
      <c r="D63" s="36">
        <f>E62-D62</f>
        <v/>
      </c>
      <c r="E63" s="36">
        <f>F62-E62</f>
        <v/>
      </c>
      <c r="F63" s="36">
        <f>G62-F62</f>
        <v/>
      </c>
      <c r="G63" s="36">
        <f>H62-G62</f>
        <v/>
      </c>
      <c r="H63" s="36">
        <f>I62-H62</f>
        <v/>
      </c>
      <c r="I63" s="36">
        <f>J62-I62</f>
        <v/>
      </c>
      <c r="J63" s="36">
        <f>K62-J62</f>
        <v/>
      </c>
      <c r="K63" s="36">
        <f>L62-K62</f>
        <v/>
      </c>
      <c r="L63" s="37">
        <f>M62-L62</f>
        <v/>
      </c>
    </row>
    <row r="64" ht="14.25" customHeight="1" s="1">
      <c r="B64" s="24" t="n"/>
    </row>
    <row r="65" ht="14.25" customHeight="1" s="1">
      <c r="A65" s="22" t="inlineStr">
        <is>
          <t>5. Inversiones</t>
        </is>
      </c>
      <c r="B65" s="24" t="n"/>
    </row>
    <row r="66" ht="15.75" customHeight="1" s="1">
      <c r="A66" s="23" t="inlineStr">
        <is>
          <t>Calendario de inversiones</t>
        </is>
      </c>
      <c r="B66" s="24" t="n"/>
    </row>
    <row r="67" ht="14.25" customHeight="1" s="1">
      <c r="A67" s="161" t="inlineStr">
        <is>
          <t>Concepto</t>
        </is>
      </c>
      <c r="B67" s="26" t="inlineStr">
        <is>
          <t>Año 0</t>
        </is>
      </c>
      <c r="C67" s="26" t="inlineStr">
        <is>
          <t>Año 1</t>
        </is>
      </c>
      <c r="D67" s="26" t="inlineStr">
        <is>
          <t>Año 2</t>
        </is>
      </c>
      <c r="E67" s="26" t="inlineStr">
        <is>
          <t>Año 3</t>
        </is>
      </c>
      <c r="F67" s="26" t="inlineStr">
        <is>
          <t>Año 4</t>
        </is>
      </c>
      <c r="G67" s="26" t="inlineStr">
        <is>
          <t>Año 5</t>
        </is>
      </c>
      <c r="H67" s="26" t="inlineStr">
        <is>
          <t>Año 6</t>
        </is>
      </c>
      <c r="I67" s="26" t="inlineStr">
        <is>
          <t>Año 7</t>
        </is>
      </c>
      <c r="J67" s="26" t="inlineStr">
        <is>
          <t>Año 8</t>
        </is>
      </c>
      <c r="K67" s="26" t="inlineStr">
        <is>
          <t>Año 9</t>
        </is>
      </c>
      <c r="L67" s="27" t="inlineStr">
        <is>
          <t>Año 10</t>
        </is>
      </c>
    </row>
    <row r="68" ht="14.25" customHeight="1" s="1">
      <c r="A68" s="47" t="inlineStr">
        <is>
          <t>Activos Fijos</t>
        </is>
      </c>
      <c r="B68" s="55" t="n"/>
      <c r="C68" s="55" t="n"/>
      <c r="D68" s="55" t="n"/>
      <c r="E68" s="55" t="n"/>
      <c r="F68" s="55" t="n"/>
      <c r="G68" s="55" t="n"/>
      <c r="H68" s="55" t="n"/>
      <c r="I68" s="55" t="n"/>
      <c r="J68" s="55" t="n"/>
      <c r="K68" s="55" t="n"/>
      <c r="L68" s="56" t="n"/>
    </row>
    <row r="69" ht="14.25" customHeight="1" s="1">
      <c r="A69" s="28" t="inlineStr">
        <is>
          <t xml:space="preserve">   Inversiones a 20 años</t>
        </is>
      </c>
      <c r="B69" s="57" t="n">
        <v>100000</v>
      </c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6" t="n"/>
    </row>
    <row r="70" ht="14.25" customHeight="1" s="1">
      <c r="A70" s="28" t="inlineStr">
        <is>
          <t xml:space="preserve">  Inversiones a 10 años</t>
        </is>
      </c>
      <c r="B70" s="57">
        <f>3000000+200000+450000+50000</f>
        <v/>
      </c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6" t="n"/>
    </row>
    <row r="71" ht="14.25" customHeight="1" s="1">
      <c r="A71" s="28" t="inlineStr">
        <is>
          <t xml:space="preserve">  Inversiones a 5 años</t>
        </is>
      </c>
      <c r="B71" s="57">
        <f>300000+100000</f>
        <v/>
      </c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6" t="n"/>
    </row>
    <row r="72" ht="14.25" customHeight="1" s="1">
      <c r="A72" s="28" t="inlineStr">
        <is>
          <t xml:space="preserve">  Inversion terrenos</t>
        </is>
      </c>
      <c r="B72" s="57" t="n">
        <v>750000</v>
      </c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6" t="n"/>
    </row>
    <row r="73" ht="14.25" customHeight="1" s="1">
      <c r="A73" s="47" t="inlineStr">
        <is>
          <t>Gastos Pre-operativos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6" t="n"/>
    </row>
    <row r="74" ht="14.25" customHeight="1" s="1">
      <c r="A74" s="28" t="inlineStr">
        <is>
          <t xml:space="preserve">  Gastos puesta en marcha</t>
        </is>
      </c>
      <c r="B74" s="57" t="n">
        <v>0</v>
      </c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6" t="n"/>
    </row>
    <row r="75" ht="14.25" customHeight="1" s="1">
      <c r="A75" s="47" t="inlineStr">
        <is>
          <t>Capital de trabajo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6" t="n"/>
    </row>
    <row r="76" ht="14.25" customHeight="1" s="1">
      <c r="A76" s="28" t="inlineStr">
        <is>
          <t xml:space="preserve">   Capital de trabajo</t>
        </is>
      </c>
      <c r="B76" s="57">
        <f>B63</f>
        <v/>
      </c>
      <c r="C76" s="57">
        <f>C63</f>
        <v/>
      </c>
      <c r="D76" s="57">
        <f>D63</f>
        <v/>
      </c>
      <c r="E76" s="57">
        <f>E63</f>
        <v/>
      </c>
      <c r="F76" s="57">
        <f>F63</f>
        <v/>
      </c>
      <c r="G76" s="57">
        <f>G63</f>
        <v/>
      </c>
      <c r="H76" s="57">
        <f>H63</f>
        <v/>
      </c>
      <c r="I76" s="57">
        <f>I63</f>
        <v/>
      </c>
      <c r="J76" s="57">
        <f>J63</f>
        <v/>
      </c>
      <c r="K76" s="57">
        <f>K63</f>
        <v/>
      </c>
      <c r="L76" s="58">
        <f>L63</f>
        <v/>
      </c>
    </row>
    <row r="77" ht="15.75" customHeight="1" s="1">
      <c r="A77" s="40" t="inlineStr">
        <is>
          <t>Total Inversiones</t>
        </is>
      </c>
      <c r="B77" s="59">
        <f>SUM(B68:B76)</f>
        <v/>
      </c>
      <c r="C77" s="59">
        <f>SUM(C68:C76)</f>
        <v/>
      </c>
      <c r="D77" s="59">
        <f>SUM(D68:D76)</f>
        <v/>
      </c>
      <c r="E77" s="59">
        <f>SUM(E68:E76)</f>
        <v/>
      </c>
      <c r="F77" s="59">
        <f>SUM(F68:F76)</f>
        <v/>
      </c>
      <c r="G77" s="59">
        <f>SUM(G68:G76)</f>
        <v/>
      </c>
      <c r="H77" s="59">
        <f>SUM(H68:H76)</f>
        <v/>
      </c>
      <c r="I77" s="59">
        <f>SUM(I68:I76)</f>
        <v/>
      </c>
      <c r="J77" s="59">
        <f>SUM(J68:J76)</f>
        <v/>
      </c>
      <c r="K77" s="59">
        <f>SUM(K68:K76)</f>
        <v/>
      </c>
      <c r="L77" s="60">
        <f>SUM(L68:L76)</f>
        <v/>
      </c>
    </row>
    <row r="78" ht="14.25" customHeight="1" s="1">
      <c r="B78" s="21" t="n"/>
    </row>
    <row r="79" ht="14.25" customHeight="1" s="1">
      <c r="A79" s="22" t="inlineStr">
        <is>
          <t>6.  Depreciaciones y Amortizaciones</t>
        </is>
      </c>
      <c r="B79" s="24" t="n"/>
    </row>
    <row r="80" ht="15.75" customHeight="1" s="1">
      <c r="A80" s="23" t="inlineStr">
        <is>
          <t>Calendario de Depreciaciones y Amortizaciones</t>
        </is>
      </c>
      <c r="B80" s="24" t="n"/>
    </row>
    <row r="81" ht="14.25" customHeight="1" s="1">
      <c r="A81" s="161" t="inlineStr">
        <is>
          <t>Concepto</t>
        </is>
      </c>
      <c r="B81" s="26" t="inlineStr">
        <is>
          <t>Año 0</t>
        </is>
      </c>
      <c r="C81" s="26" t="inlineStr">
        <is>
          <t>Año 1</t>
        </is>
      </c>
      <c r="D81" s="26" t="inlineStr">
        <is>
          <t>Año 2</t>
        </is>
      </c>
      <c r="E81" s="26" t="inlineStr">
        <is>
          <t>Año 3</t>
        </is>
      </c>
      <c r="F81" s="26" t="inlineStr">
        <is>
          <t>Año 4</t>
        </is>
      </c>
      <c r="G81" s="26" t="inlineStr">
        <is>
          <t>Año 5</t>
        </is>
      </c>
      <c r="H81" s="26" t="inlineStr">
        <is>
          <t>Año 6</t>
        </is>
      </c>
      <c r="I81" s="26" t="inlineStr">
        <is>
          <t>Año 7</t>
        </is>
      </c>
      <c r="J81" s="26" t="inlineStr">
        <is>
          <t>Año 8</t>
        </is>
      </c>
      <c r="K81" s="26" t="inlineStr">
        <is>
          <t>Año 9</t>
        </is>
      </c>
      <c r="L81" s="27" t="inlineStr">
        <is>
          <t>Año 10</t>
        </is>
      </c>
      <c r="R81" s="61" t="inlineStr">
        <is>
          <t>Inversión</t>
        </is>
      </c>
      <c r="S81" s="62" t="inlineStr">
        <is>
          <t>Valor Activo</t>
        </is>
      </c>
      <c r="T81" s="62" t="inlineStr">
        <is>
          <t>Valor residual</t>
        </is>
      </c>
      <c r="U81" s="62" t="inlineStr">
        <is>
          <t>Vida útil</t>
        </is>
      </c>
      <c r="V81" s="62" t="inlineStr">
        <is>
          <t>Dep. Anual</t>
        </is>
      </c>
    </row>
    <row r="82" ht="14.25" customHeight="1" s="1">
      <c r="A82" s="28" t="inlineStr">
        <is>
          <t>Inversiones a 20 años</t>
        </is>
      </c>
      <c r="B82" s="55" t="n"/>
      <c r="C82" s="57">
        <f>$V$82</f>
        <v/>
      </c>
      <c r="D82" s="57">
        <f>$V$82</f>
        <v/>
      </c>
      <c r="E82" s="57">
        <f>$V$82</f>
        <v/>
      </c>
      <c r="F82" s="57">
        <f>$V$82</f>
        <v/>
      </c>
      <c r="G82" s="57">
        <f>$V$82</f>
        <v/>
      </c>
      <c r="H82" s="57">
        <f>$V$82</f>
        <v/>
      </c>
      <c r="I82" s="57">
        <f>$V$82</f>
        <v/>
      </c>
      <c r="J82" s="57">
        <f>$V$82</f>
        <v/>
      </c>
      <c r="K82" s="57">
        <f>$V$82</f>
        <v/>
      </c>
      <c r="L82" s="57">
        <f>$V$82</f>
        <v/>
      </c>
      <c r="R82" s="63" t="inlineStr">
        <is>
          <t>Edificio</t>
        </is>
      </c>
      <c r="S82" s="15">
        <f>B69</f>
        <v/>
      </c>
      <c r="T82" s="64" t="n">
        <v>50000</v>
      </c>
      <c r="U82" s="65" t="n">
        <v>20</v>
      </c>
      <c r="V82" s="15">
        <f>(S82-T82)/U82</f>
        <v/>
      </c>
    </row>
    <row r="83" ht="14.25" customHeight="1" s="1">
      <c r="A83" s="28" t="inlineStr">
        <is>
          <t>Inversiones a 10 años</t>
        </is>
      </c>
      <c r="B83" s="55" t="n"/>
      <c r="C83" s="57">
        <f>$V$83+$V$84</f>
        <v/>
      </c>
      <c r="D83" s="57">
        <f>$V$83+$V$84</f>
        <v/>
      </c>
      <c r="E83" s="57">
        <f>$V$83+$V$84</f>
        <v/>
      </c>
      <c r="F83" s="57">
        <f>$V$83+$V$84</f>
        <v/>
      </c>
      <c r="G83" s="57">
        <f>$V$83+$V$84</f>
        <v/>
      </c>
      <c r="H83" s="57">
        <f>$V$83+$V$84</f>
        <v/>
      </c>
      <c r="I83" s="57">
        <f>$V$83+$V$84</f>
        <v/>
      </c>
      <c r="J83" s="57">
        <f>$V$83+$V$84</f>
        <v/>
      </c>
      <c r="K83" s="57">
        <f>$V$83+$V$84</f>
        <v/>
      </c>
      <c r="L83" s="57">
        <f>$V$83+$V$84</f>
        <v/>
      </c>
      <c r="R83" s="63" t="inlineStr">
        <is>
          <t>Estanque y canales</t>
        </is>
      </c>
      <c r="S83" s="15" t="n">
        <v>3000000</v>
      </c>
      <c r="T83" s="64" t="n">
        <v>1000000</v>
      </c>
      <c r="U83" s="66" t="n">
        <v>10</v>
      </c>
      <c r="V83" s="15">
        <f>(S83-T83)/U83</f>
        <v/>
      </c>
    </row>
    <row r="84" ht="14.25" customHeight="1" s="1">
      <c r="A84" s="28" t="inlineStr">
        <is>
          <t>Inversiones a 5 años</t>
        </is>
      </c>
      <c r="B84" s="55" t="n"/>
      <c r="C84" s="57">
        <f>$V$85</f>
        <v/>
      </c>
      <c r="D84" s="57">
        <f>$V$85</f>
        <v/>
      </c>
      <c r="E84" s="57">
        <f>$V$85</f>
        <v/>
      </c>
      <c r="F84" s="57">
        <f>$V$85</f>
        <v/>
      </c>
      <c r="G84" s="57">
        <f>$V$85</f>
        <v/>
      </c>
      <c r="H84" s="57" t="n">
        <v>0</v>
      </c>
      <c r="I84" s="57" t="n">
        <v>0</v>
      </c>
      <c r="J84" s="57" t="n">
        <v>0</v>
      </c>
      <c r="K84" s="57" t="n">
        <v>0</v>
      </c>
      <c r="L84" s="57" t="n">
        <v>0</v>
      </c>
      <c r="R84" s="63" t="inlineStr">
        <is>
          <t>Maq &amp; Equipo</t>
        </is>
      </c>
      <c r="S84" s="67">
        <f>B70-S83</f>
        <v/>
      </c>
      <c r="T84" s="63" t="n">
        <v>0</v>
      </c>
      <c r="U84" s="65" t="n">
        <v>10</v>
      </c>
      <c r="V84" s="15">
        <f>(S84-T84)/U84</f>
        <v/>
      </c>
    </row>
    <row r="85" ht="14.25" customHeight="1" s="1">
      <c r="A85" s="68" t="inlineStr">
        <is>
          <t>Total Depreciación</t>
        </is>
      </c>
      <c r="B85" s="69" t="n"/>
      <c r="C85" s="70">
        <f>SUM(C82:C84)</f>
        <v/>
      </c>
      <c r="D85" s="70">
        <f>SUM(D82:D84)</f>
        <v/>
      </c>
      <c r="E85" s="70">
        <f>SUM(E82:E84)</f>
        <v/>
      </c>
      <c r="F85" s="70">
        <f>SUM(F82:F84)</f>
        <v/>
      </c>
      <c r="G85" s="70">
        <f>SUM(G82:G84)</f>
        <v/>
      </c>
      <c r="H85" s="70">
        <f>SUM(H82:H84)</f>
        <v/>
      </c>
      <c r="I85" s="70">
        <f>SUM(I82:I84)</f>
        <v/>
      </c>
      <c r="J85" s="70">
        <f>SUM(J82:J84)</f>
        <v/>
      </c>
      <c r="K85" s="70">
        <f>SUM(K82:K84)</f>
        <v/>
      </c>
      <c r="L85" s="70">
        <f>SUM(L82:L84)</f>
        <v/>
      </c>
      <c r="R85" s="63" t="inlineStr">
        <is>
          <t>Vehículos y embarcaciones</t>
        </is>
      </c>
      <c r="S85" s="15">
        <f>B71</f>
        <v/>
      </c>
      <c r="T85" s="64" t="n">
        <v>0</v>
      </c>
      <c r="U85" s="66" t="n">
        <v>5</v>
      </c>
      <c r="V85" s="15">
        <f>(S85-T85)/U85</f>
        <v/>
      </c>
    </row>
    <row r="86" ht="14.25" customHeight="1" s="1">
      <c r="A86" s="71" t="n"/>
      <c r="B86" s="55" t="n"/>
      <c r="C86" s="55" t="n"/>
      <c r="D86" s="55" t="n"/>
      <c r="E86" s="55" t="n"/>
      <c r="F86" s="55" t="n"/>
      <c r="G86" s="55" t="n"/>
      <c r="H86" s="55" t="n"/>
      <c r="I86" s="55" t="n"/>
      <c r="J86" s="55" t="n"/>
      <c r="K86" s="55" t="n"/>
      <c r="L86" s="56" t="n"/>
      <c r="S86" s="72">
        <f>SUM(S82:S85)</f>
        <v/>
      </c>
    </row>
    <row r="87" ht="14.25" customHeight="1" s="1">
      <c r="A87" s="28" t="inlineStr">
        <is>
          <t>Amortización pre-operativos</t>
        </is>
      </c>
      <c r="B87" s="55" t="n"/>
      <c r="C87" s="57">
        <f>$B$74/10</f>
        <v/>
      </c>
      <c r="D87" s="57">
        <f>$B$74/10</f>
        <v/>
      </c>
      <c r="E87" s="57">
        <f>$B$74/10</f>
        <v/>
      </c>
      <c r="F87" s="57">
        <f>$B$74/10</f>
        <v/>
      </c>
      <c r="G87" s="57">
        <f>$B$74/10</f>
        <v/>
      </c>
      <c r="H87" s="57">
        <f>$B$74/10</f>
        <v/>
      </c>
      <c r="I87" s="57">
        <f>$B$74/10</f>
        <v/>
      </c>
      <c r="J87" s="57">
        <f>$B$74/10</f>
        <v/>
      </c>
      <c r="K87" s="57">
        <f>$B$74/10</f>
        <v/>
      </c>
      <c r="L87" s="73">
        <f>$B$74/10</f>
        <v/>
      </c>
      <c r="O87" s="74" t="n"/>
    </row>
    <row r="88" ht="15.75" customHeight="1" s="1">
      <c r="A88" s="40" t="inlineStr">
        <is>
          <t>Total Amortización</t>
        </is>
      </c>
      <c r="B88" s="75" t="n"/>
      <c r="C88" s="59">
        <f>SUM(C87)</f>
        <v/>
      </c>
      <c r="D88" s="59">
        <f>SUM(D87)</f>
        <v/>
      </c>
      <c r="E88" s="59">
        <f>SUM(E87)</f>
        <v/>
      </c>
      <c r="F88" s="59">
        <f>SUM(F87)</f>
        <v/>
      </c>
      <c r="G88" s="59">
        <f>SUM(G87)</f>
        <v/>
      </c>
      <c r="H88" s="59">
        <f>SUM(H87)</f>
        <v/>
      </c>
      <c r="I88" s="59">
        <f>SUM(I87)</f>
        <v/>
      </c>
      <c r="J88" s="59">
        <f>SUM(J87)</f>
        <v/>
      </c>
      <c r="K88" s="59">
        <f>SUM(K87)</f>
        <v/>
      </c>
      <c r="L88" s="60">
        <f>SUM(L87)</f>
        <v/>
      </c>
      <c r="O88" s="74" t="n"/>
    </row>
    <row r="89" ht="14.25" customHeight="1" s="1">
      <c r="B89" s="21" t="n"/>
    </row>
    <row r="90" ht="14.25" customHeight="1" s="1">
      <c r="A90" s="22" t="inlineStr">
        <is>
          <t>7. Valor de desecho del proyecto</t>
        </is>
      </c>
      <c r="B90" s="24" t="n"/>
    </row>
    <row r="91" ht="15.75" customHeight="1" s="1">
      <c r="A91" s="23" t="inlineStr">
        <is>
          <t>Clalculo del valor de desecho del proyecto (método contable)</t>
        </is>
      </c>
      <c r="B91" s="24" t="n"/>
    </row>
    <row r="92" ht="14.25" customHeight="1" s="1">
      <c r="A92" s="161" t="inlineStr">
        <is>
          <t>Concepto</t>
        </is>
      </c>
      <c r="B92" s="162" t="inlineStr">
        <is>
          <t>Valor del</t>
        </is>
      </c>
      <c r="C92" s="162" t="inlineStr">
        <is>
          <t>Depreciación por periodo</t>
        </is>
      </c>
      <c r="D92" s="170" t="n"/>
      <c r="E92" s="170" t="n"/>
      <c r="F92" s="170" t="n"/>
      <c r="G92" s="170" t="n"/>
      <c r="H92" s="170" t="n"/>
      <c r="I92" s="170" t="n"/>
      <c r="J92" s="170" t="n"/>
      <c r="K92" s="170" t="n"/>
      <c r="L92" s="171" t="n"/>
      <c r="M92" s="77" t="inlineStr">
        <is>
          <t>Valor de</t>
        </is>
      </c>
    </row>
    <row r="93" ht="14.25" customHeight="1" s="1">
      <c r="A93" s="172" t="n"/>
      <c r="B93" s="62" t="inlineStr">
        <is>
          <t>Activo</t>
        </is>
      </c>
      <c r="C93" s="78" t="inlineStr">
        <is>
          <t>Año 1</t>
        </is>
      </c>
      <c r="D93" s="78" t="inlineStr">
        <is>
          <t>Año 2</t>
        </is>
      </c>
      <c r="E93" s="78" t="inlineStr">
        <is>
          <t>Año 3</t>
        </is>
      </c>
      <c r="F93" s="78" t="inlineStr">
        <is>
          <t>Año 4</t>
        </is>
      </c>
      <c r="G93" s="78" t="inlineStr">
        <is>
          <t>Año 5</t>
        </is>
      </c>
      <c r="H93" s="78" t="inlineStr">
        <is>
          <t>Año 6</t>
        </is>
      </c>
      <c r="I93" s="78" t="inlineStr">
        <is>
          <t>Año 7</t>
        </is>
      </c>
      <c r="J93" s="78" t="inlineStr">
        <is>
          <t>Año 8</t>
        </is>
      </c>
      <c r="K93" s="78" t="inlineStr">
        <is>
          <t>Año 9</t>
        </is>
      </c>
      <c r="L93" s="78" t="inlineStr">
        <is>
          <t>Año 10</t>
        </is>
      </c>
      <c r="M93" s="79" t="inlineStr">
        <is>
          <t>Desecho</t>
        </is>
      </c>
    </row>
    <row r="94" ht="14.25" customHeight="1" s="1">
      <c r="A94" s="28" t="inlineStr">
        <is>
          <t>Inversiones a 20 años</t>
        </is>
      </c>
      <c r="B94" s="57">
        <f>B69</f>
        <v/>
      </c>
      <c r="C94" s="57">
        <f>C82</f>
        <v/>
      </c>
      <c r="D94" s="57">
        <f>D82</f>
        <v/>
      </c>
      <c r="E94" s="57">
        <f>E82</f>
        <v/>
      </c>
      <c r="F94" s="57">
        <f>F82</f>
        <v/>
      </c>
      <c r="G94" s="57">
        <f>G82</f>
        <v/>
      </c>
      <c r="H94" s="57">
        <f>H82</f>
        <v/>
      </c>
      <c r="I94" s="57">
        <f>I82</f>
        <v/>
      </c>
      <c r="J94" s="57">
        <f>J82</f>
        <v/>
      </c>
      <c r="K94" s="57">
        <f>K82</f>
        <v/>
      </c>
      <c r="L94" s="57">
        <f>L82</f>
        <v/>
      </c>
      <c r="M94" s="73">
        <f>B94-SUM(C94:L94)</f>
        <v/>
      </c>
    </row>
    <row r="95" ht="14.25" customHeight="1" s="1">
      <c r="A95" s="28" t="inlineStr">
        <is>
          <t>Inversiones a 10 años</t>
        </is>
      </c>
      <c r="B95" s="57">
        <f>B70</f>
        <v/>
      </c>
      <c r="C95" s="57">
        <f>C83</f>
        <v/>
      </c>
      <c r="D95" s="57">
        <f>D83</f>
        <v/>
      </c>
      <c r="E95" s="57">
        <f>E83</f>
        <v/>
      </c>
      <c r="F95" s="57">
        <f>F83</f>
        <v/>
      </c>
      <c r="G95" s="57">
        <f>G83</f>
        <v/>
      </c>
      <c r="H95" s="57">
        <f>H83</f>
        <v/>
      </c>
      <c r="I95" s="57">
        <f>I83</f>
        <v/>
      </c>
      <c r="J95" s="57">
        <f>J83</f>
        <v/>
      </c>
      <c r="K95" s="57">
        <f>K83</f>
        <v/>
      </c>
      <c r="L95" s="57">
        <f>L83</f>
        <v/>
      </c>
      <c r="M95" s="73">
        <f>B95-SUM(C95:L95)</f>
        <v/>
      </c>
    </row>
    <row r="96" ht="14.25" customHeight="1" s="1">
      <c r="A96" s="28" t="inlineStr">
        <is>
          <t>Inversiones a 5 años</t>
        </is>
      </c>
      <c r="B96" s="57">
        <f>B71</f>
        <v/>
      </c>
      <c r="C96" s="57">
        <f>C84</f>
        <v/>
      </c>
      <c r="D96" s="57">
        <f>D84</f>
        <v/>
      </c>
      <c r="E96" s="57">
        <f>E84</f>
        <v/>
      </c>
      <c r="F96" s="57">
        <f>F84</f>
        <v/>
      </c>
      <c r="G96" s="57">
        <f>G84</f>
        <v/>
      </c>
      <c r="H96" s="57">
        <f>H84</f>
        <v/>
      </c>
      <c r="I96" s="57">
        <f>I84</f>
        <v/>
      </c>
      <c r="J96" s="57">
        <f>J84</f>
        <v/>
      </c>
      <c r="K96" s="57">
        <f>K84</f>
        <v/>
      </c>
      <c r="L96" s="57">
        <f>L84</f>
        <v/>
      </c>
      <c r="M96" s="73">
        <f>B96-SUM(C96:L96)</f>
        <v/>
      </c>
    </row>
    <row r="97" ht="15.75" customHeight="1" s="1">
      <c r="A97" s="80" t="inlineStr">
        <is>
          <t>Amortización pre-operativos</t>
        </is>
      </c>
      <c r="B97" s="81">
        <f>B74</f>
        <v/>
      </c>
      <c r="C97" s="81">
        <f>C87</f>
        <v/>
      </c>
      <c r="D97" s="81">
        <f>D87</f>
        <v/>
      </c>
      <c r="E97" s="81">
        <f>E87</f>
        <v/>
      </c>
      <c r="F97" s="81">
        <f>F87</f>
        <v/>
      </c>
      <c r="G97" s="81">
        <f>G87</f>
        <v/>
      </c>
      <c r="H97" s="81">
        <f>H87</f>
        <v/>
      </c>
      <c r="I97" s="81">
        <f>I87</f>
        <v/>
      </c>
      <c r="J97" s="81">
        <f>J87</f>
        <v/>
      </c>
      <c r="K97" s="81">
        <f>K87</f>
        <v/>
      </c>
      <c r="L97" s="81">
        <f>L87</f>
        <v/>
      </c>
      <c r="M97" s="82">
        <f>B97-SUM(C97:L97)</f>
        <v/>
      </c>
    </row>
    <row r="98" ht="15.75" customHeight="1" s="1">
      <c r="A98" s="163" t="inlineStr">
        <is>
          <t>Valor de desecho total</t>
        </is>
      </c>
      <c r="B98" s="173" t="n"/>
      <c r="C98" s="173" t="n"/>
      <c r="D98" s="173" t="n"/>
      <c r="E98" s="173" t="n"/>
      <c r="F98" s="173" t="n"/>
      <c r="G98" s="173" t="n"/>
      <c r="H98" s="173" t="n"/>
      <c r="I98" s="173" t="n"/>
      <c r="J98" s="173" t="n"/>
      <c r="K98" s="173" t="n"/>
      <c r="L98" s="174" t="n"/>
      <c r="M98" s="83">
        <f>SUM(M94:M97)</f>
        <v/>
      </c>
    </row>
    <row r="99" ht="14.25" customHeight="1" s="1">
      <c r="B99" s="21" t="n"/>
    </row>
    <row r="100" ht="14.25" customHeight="1" s="1">
      <c r="A100" s="22" t="inlineStr">
        <is>
          <t>8. Financiamiento</t>
        </is>
      </c>
      <c r="B100" s="24" t="n"/>
    </row>
    <row r="101" ht="15.75" customHeight="1" s="1">
      <c r="A101" s="44" t="inlineStr">
        <is>
          <t>Cálculo del Financiamiento</t>
        </is>
      </c>
      <c r="B101" s="42" t="n"/>
      <c r="C101" s="43" t="n"/>
      <c r="D101" s="43" t="n"/>
      <c r="E101" s="43" t="n"/>
    </row>
    <row r="102" ht="14.25" customHeight="1" s="1">
      <c r="A102" s="84" t="inlineStr">
        <is>
          <t>Financiamiento bancario (valor)</t>
        </is>
      </c>
      <c r="B102" s="85">
        <f>B77*E102</f>
        <v/>
      </c>
      <c r="C102" s="86" t="n"/>
      <c r="D102" s="43" t="n"/>
      <c r="E102" s="87" t="n">
        <v>0</v>
      </c>
    </row>
    <row r="103" ht="14.25" customHeight="1" s="1">
      <c r="A103" s="28" t="inlineStr">
        <is>
          <t>Financiamiento bancario (tasa)</t>
        </is>
      </c>
      <c r="B103" s="88">
        <f>B22</f>
        <v/>
      </c>
      <c r="C103" s="89" t="n"/>
      <c r="D103" s="43" t="n"/>
      <c r="E103" s="43" t="n"/>
    </row>
    <row r="104" ht="14.25" customHeight="1" s="1">
      <c r="A104" s="28" t="inlineStr">
        <is>
          <t>Financiamiento bancario (periodos)</t>
        </is>
      </c>
      <c r="B104" s="90" t="n">
        <v>7</v>
      </c>
      <c r="C104" s="91" t="inlineStr">
        <is>
          <t>años</t>
        </is>
      </c>
      <c r="D104" s="43" t="n"/>
      <c r="E104" s="43" t="n"/>
    </row>
    <row r="105" ht="15.75" customHeight="1" s="1">
      <c r="A105" s="92" t="inlineStr">
        <is>
          <t>Modalidad</t>
        </is>
      </c>
      <c r="B105" s="159" t="inlineStr">
        <is>
          <t>Pagos exactos</t>
        </is>
      </c>
      <c r="C105" s="175" t="n"/>
      <c r="D105" s="43" t="n"/>
      <c r="E105" s="43" t="n"/>
    </row>
    <row r="106" ht="15.75" customHeight="1" s="1">
      <c r="A106" s="43" t="n"/>
      <c r="B106" s="42" t="n"/>
      <c r="C106" s="43" t="n"/>
      <c r="D106" s="43" t="n"/>
      <c r="E106" s="43" t="n"/>
    </row>
    <row r="107" ht="14.25" customHeight="1" s="1">
      <c r="A107" s="161" t="inlineStr">
        <is>
          <t>Concepto</t>
        </is>
      </c>
      <c r="B107" s="26" t="inlineStr">
        <is>
          <t>Año 0</t>
        </is>
      </c>
      <c r="C107" s="26" t="inlineStr">
        <is>
          <t>Año 1</t>
        </is>
      </c>
      <c r="D107" s="26" t="inlineStr">
        <is>
          <t>Año 2</t>
        </is>
      </c>
      <c r="E107" s="26" t="inlineStr">
        <is>
          <t>Año 3</t>
        </is>
      </c>
      <c r="F107" s="26" t="inlineStr">
        <is>
          <t>Año 4</t>
        </is>
      </c>
      <c r="G107" s="26" t="inlineStr">
        <is>
          <t>Año 5</t>
        </is>
      </c>
      <c r="H107" s="26" t="inlineStr">
        <is>
          <t>Año 6</t>
        </is>
      </c>
      <c r="I107" s="26" t="inlineStr">
        <is>
          <t>Año 7</t>
        </is>
      </c>
    </row>
    <row r="108" ht="14.25" customHeight="1" s="1">
      <c r="A108" s="28" t="inlineStr">
        <is>
          <t xml:space="preserve">Saldo crédito </t>
        </is>
      </c>
      <c r="B108" s="57">
        <f>B102</f>
        <v/>
      </c>
      <c r="C108" s="57">
        <f>B108-C111</f>
        <v/>
      </c>
      <c r="D108" s="57">
        <f>C108-D111</f>
        <v/>
      </c>
      <c r="E108" s="57">
        <f>D108-E111</f>
        <v/>
      </c>
      <c r="F108" s="57">
        <f>E108-F111</f>
        <v/>
      </c>
      <c r="G108" s="57">
        <f>F108-G111</f>
        <v/>
      </c>
      <c r="H108" s="57">
        <f>G108-H111</f>
        <v/>
      </c>
      <c r="I108" s="57">
        <f>H108-I111</f>
        <v/>
      </c>
    </row>
    <row r="109" ht="14.25" customHeight="1" s="1">
      <c r="A109" s="28" t="inlineStr">
        <is>
          <t>Cuota mensual (anualidad)</t>
        </is>
      </c>
      <c r="B109" s="55" t="n"/>
      <c r="C109" s="57">
        <f>C110</f>
        <v/>
      </c>
      <c r="D109" s="57">
        <f>D110</f>
        <v/>
      </c>
      <c r="E109" s="57" t="n">
        <v>0</v>
      </c>
      <c r="F109" s="57" t="n">
        <v>0</v>
      </c>
      <c r="G109" s="57" t="n">
        <v>0</v>
      </c>
      <c r="H109" s="57" t="n">
        <v>0</v>
      </c>
      <c r="I109" s="57">
        <f>(H108*B103)+H108</f>
        <v/>
      </c>
    </row>
    <row r="110" ht="14.25" customHeight="1" s="1">
      <c r="A110" s="28" t="inlineStr">
        <is>
          <t>Intereses</t>
        </is>
      </c>
      <c r="B110" s="55" t="n"/>
      <c r="C110" s="57">
        <f>B108*$B$103</f>
        <v/>
      </c>
      <c r="D110" s="57">
        <f>C108*$B$103</f>
        <v/>
      </c>
      <c r="E110" s="57">
        <f>D108*$B$103</f>
        <v/>
      </c>
      <c r="F110" s="57">
        <f>E108*$B$103</f>
        <v/>
      </c>
      <c r="G110" s="57">
        <f>F108*$B$103</f>
        <v/>
      </c>
      <c r="H110" s="57">
        <f>G108*$B$103</f>
        <v/>
      </c>
      <c r="I110" s="57">
        <f>H108*$B$103</f>
        <v/>
      </c>
    </row>
    <row r="111" ht="15.75" customHeight="1" s="1">
      <c r="A111" s="92" t="inlineStr">
        <is>
          <t>Abono a capital (amortización)</t>
        </is>
      </c>
      <c r="B111" s="93" t="n"/>
      <c r="C111" s="81">
        <f>C109-C110</f>
        <v/>
      </c>
      <c r="D111" s="81">
        <f>D109-D110</f>
        <v/>
      </c>
      <c r="E111" s="81">
        <f>E109-E110</f>
        <v/>
      </c>
      <c r="F111" s="81">
        <f>F109-F110</f>
        <v/>
      </c>
      <c r="G111" s="81">
        <f>G109-G110</f>
        <v/>
      </c>
      <c r="H111" s="81">
        <f>H109-H110</f>
        <v/>
      </c>
      <c r="I111" s="81">
        <f>I109-I110</f>
        <v/>
      </c>
    </row>
    <row r="112" ht="14.25" customHeight="1" s="1">
      <c r="B112" s="21" t="n"/>
    </row>
    <row r="113" ht="14.25" customHeight="1" s="1">
      <c r="A113" s="22" t="inlineStr">
        <is>
          <t>9.Flujo de caja del proyecto</t>
        </is>
      </c>
      <c r="B113" s="24" t="n"/>
    </row>
    <row r="114" ht="15.75" customHeight="1" s="1">
      <c r="A114" s="4" t="inlineStr">
        <is>
          <t>Flujo de caja del proyecto (con) Financiamiento)</t>
        </is>
      </c>
      <c r="B114" s="24" t="n"/>
    </row>
    <row r="115" ht="14.25" customHeight="1" s="1">
      <c r="A115" s="161" t="inlineStr">
        <is>
          <t>Concepto</t>
        </is>
      </c>
      <c r="B115" s="26" t="inlineStr">
        <is>
          <t>Año 0</t>
        </is>
      </c>
      <c r="C115" s="26" t="inlineStr">
        <is>
          <t>Año 1</t>
        </is>
      </c>
      <c r="D115" s="26" t="inlineStr">
        <is>
          <t>Año 2</t>
        </is>
      </c>
      <c r="E115" s="26" t="inlineStr">
        <is>
          <t>Año 3</t>
        </is>
      </c>
      <c r="F115" s="26" t="inlineStr">
        <is>
          <t>Año 4</t>
        </is>
      </c>
      <c r="G115" s="26" t="inlineStr">
        <is>
          <t>Año 5</t>
        </is>
      </c>
      <c r="H115" s="26" t="inlineStr">
        <is>
          <t>Año 6</t>
        </is>
      </c>
      <c r="I115" s="26" t="inlineStr">
        <is>
          <t>Año 7</t>
        </is>
      </c>
      <c r="J115" s="26" t="inlineStr">
        <is>
          <t>Año 8</t>
        </is>
      </c>
      <c r="K115" s="26" t="inlineStr">
        <is>
          <t>Año 9</t>
        </is>
      </c>
      <c r="L115" s="27" t="inlineStr">
        <is>
          <t>Año 10</t>
        </is>
      </c>
    </row>
    <row r="116" ht="14.25" customHeight="1" s="1">
      <c r="A116" s="94" t="inlineStr">
        <is>
          <t>+ Ingreso por ventas</t>
        </is>
      </c>
      <c r="B116" s="95" t="n"/>
      <c r="C116" s="96">
        <f>C33</f>
        <v/>
      </c>
      <c r="D116" s="96">
        <f>D33</f>
        <v/>
      </c>
      <c r="E116" s="96">
        <f>E33</f>
        <v/>
      </c>
      <c r="F116" s="96">
        <f>F33</f>
        <v/>
      </c>
      <c r="G116" s="96">
        <f>G33</f>
        <v/>
      </c>
      <c r="H116" s="96">
        <f>H33</f>
        <v/>
      </c>
      <c r="I116" s="96">
        <f>I33</f>
        <v/>
      </c>
      <c r="J116" s="96">
        <f>J33</f>
        <v/>
      </c>
      <c r="K116" s="96">
        <f>K33</f>
        <v/>
      </c>
      <c r="L116" s="97">
        <f>L33</f>
        <v/>
      </c>
    </row>
    <row r="117" ht="14.25" customHeight="1" s="1">
      <c r="A117" s="98" t="inlineStr">
        <is>
          <t>Ingreso por venta del terreno</t>
        </is>
      </c>
      <c r="B117" s="95" t="n"/>
      <c r="C117" s="95" t="n"/>
      <c r="D117" s="95" t="n"/>
      <c r="E117" s="95" t="n"/>
      <c r="F117" s="95" t="n"/>
      <c r="G117" s="95" t="n"/>
      <c r="H117" s="95" t="n"/>
      <c r="I117" s="95" t="n"/>
      <c r="J117" s="95" t="n"/>
      <c r="K117" s="95" t="n"/>
      <c r="L117" s="97">
        <f>B19</f>
        <v/>
      </c>
    </row>
    <row r="118" ht="14.25" customHeight="1" s="1">
      <c r="A118" s="94" t="inlineStr">
        <is>
          <t>- Egresos deducibles de impuestos</t>
        </is>
      </c>
      <c r="B118" s="95" t="n"/>
      <c r="C118" s="96">
        <f>SUM(C119:C121)</f>
        <v/>
      </c>
      <c r="D118" s="96">
        <f>SUM(D119:D121)</f>
        <v/>
      </c>
      <c r="E118" s="96">
        <f>SUM(E119:E121)</f>
        <v/>
      </c>
      <c r="F118" s="96">
        <f>SUM(F119:F121)</f>
        <v/>
      </c>
      <c r="G118" s="96">
        <f>SUM(G119:G121)</f>
        <v/>
      </c>
      <c r="H118" s="96">
        <f>SUM(H119:H121)</f>
        <v/>
      </c>
      <c r="I118" s="96">
        <f>SUM(I119:I121)</f>
        <v/>
      </c>
      <c r="J118" s="96">
        <f>SUM(J119:J121)</f>
        <v/>
      </c>
      <c r="K118" s="96">
        <f>SUM(K119:K121)</f>
        <v/>
      </c>
      <c r="L118" s="97">
        <f>SUM(L119:L121)</f>
        <v/>
      </c>
    </row>
    <row r="119" ht="14.25" customHeight="1" s="1">
      <c r="A119" s="99" t="inlineStr">
        <is>
          <t xml:space="preserve">     Costos variables</t>
        </is>
      </c>
      <c r="B119" s="100" t="n"/>
      <c r="C119" s="15">
        <f>C39</f>
        <v/>
      </c>
      <c r="D119" s="15">
        <f>D39</f>
        <v/>
      </c>
      <c r="E119" s="15">
        <f>E39</f>
        <v/>
      </c>
      <c r="F119" s="15">
        <f>F39</f>
        <v/>
      </c>
      <c r="G119" s="15">
        <f>G39</f>
        <v/>
      </c>
      <c r="H119" s="15">
        <f>H39</f>
        <v/>
      </c>
      <c r="I119" s="15">
        <f>I39</f>
        <v/>
      </c>
      <c r="J119" s="15">
        <f>J39</f>
        <v/>
      </c>
      <c r="K119" s="15">
        <f>K39</f>
        <v/>
      </c>
      <c r="L119" s="101">
        <f>L39</f>
        <v/>
      </c>
    </row>
    <row r="120" ht="14.25" customHeight="1" s="1">
      <c r="A120" s="99" t="inlineStr">
        <is>
          <t xml:space="preserve">     Costos Fijos</t>
        </is>
      </c>
      <c r="B120" s="100" t="n"/>
      <c r="C120" s="15">
        <f>C46</f>
        <v/>
      </c>
      <c r="D120" s="15">
        <f>D46</f>
        <v/>
      </c>
      <c r="E120" s="15">
        <f>E46</f>
        <v/>
      </c>
      <c r="F120" s="15">
        <f>F46</f>
        <v/>
      </c>
      <c r="G120" s="15">
        <f>G46</f>
        <v/>
      </c>
      <c r="H120" s="15">
        <f>H46</f>
        <v/>
      </c>
      <c r="I120" s="15">
        <f>I46</f>
        <v/>
      </c>
      <c r="J120" s="15">
        <f>J46</f>
        <v/>
      </c>
      <c r="K120" s="15">
        <f>K46</f>
        <v/>
      </c>
      <c r="L120" s="101">
        <f>L46</f>
        <v/>
      </c>
    </row>
    <row r="121" ht="14.25" customHeight="1" s="1">
      <c r="A121" s="99" t="inlineStr">
        <is>
          <t xml:space="preserve">     Gastos financieros</t>
        </is>
      </c>
      <c r="B121" s="100" t="n"/>
      <c r="C121" s="15">
        <f>C110</f>
        <v/>
      </c>
      <c r="D121" s="15">
        <f>D110</f>
        <v/>
      </c>
      <c r="E121" s="15">
        <f>E110</f>
        <v/>
      </c>
      <c r="F121" s="15">
        <f>F110</f>
        <v/>
      </c>
      <c r="G121" s="15">
        <f>G110</f>
        <v/>
      </c>
      <c r="H121" s="15">
        <f>H110</f>
        <v/>
      </c>
      <c r="I121" s="15">
        <f>I110</f>
        <v/>
      </c>
      <c r="J121" s="15">
        <f>J110</f>
        <v/>
      </c>
      <c r="K121" s="15">
        <f>K110</f>
        <v/>
      </c>
      <c r="L121" s="101">
        <f>L110</f>
        <v/>
      </c>
    </row>
    <row r="122" ht="14.25" customHeight="1" s="1">
      <c r="A122" s="94" t="inlineStr">
        <is>
          <t>- Gastos no desembolsables</t>
        </is>
      </c>
      <c r="B122" s="95" t="n"/>
      <c r="C122" s="96">
        <f>SUM(C123:C124)</f>
        <v/>
      </c>
      <c r="D122" s="96">
        <f>SUM(D123:D124)</f>
        <v/>
      </c>
      <c r="E122" s="96">
        <f>SUM(E123:E124)</f>
        <v/>
      </c>
      <c r="F122" s="96">
        <f>SUM(F123:F124)</f>
        <v/>
      </c>
      <c r="G122" s="96">
        <f>SUM(G123:G124)</f>
        <v/>
      </c>
      <c r="H122" s="96">
        <f>SUM(H123:H124)</f>
        <v/>
      </c>
      <c r="I122" s="96">
        <f>SUM(I123:I124)</f>
        <v/>
      </c>
      <c r="J122" s="96">
        <f>SUM(J123:J124)</f>
        <v/>
      </c>
      <c r="K122" s="96">
        <f>SUM(K123:K124)</f>
        <v/>
      </c>
      <c r="L122" s="97">
        <f>SUM(L123:L124)</f>
        <v/>
      </c>
    </row>
    <row r="123" ht="14.25" customHeight="1" s="1">
      <c r="A123" s="99" t="inlineStr">
        <is>
          <t xml:space="preserve">     Depreciación de activos</t>
        </is>
      </c>
      <c r="B123" s="100" t="n"/>
      <c r="C123" s="15">
        <f>C85</f>
        <v/>
      </c>
      <c r="D123" s="15">
        <f>D85</f>
        <v/>
      </c>
      <c r="E123" s="15">
        <f>E85</f>
        <v/>
      </c>
      <c r="F123" s="15">
        <f>F85</f>
        <v/>
      </c>
      <c r="G123" s="15">
        <f>G85</f>
        <v/>
      </c>
      <c r="H123" s="15">
        <f>H85</f>
        <v/>
      </c>
      <c r="I123" s="15">
        <f>I85</f>
        <v/>
      </c>
      <c r="J123" s="15">
        <f>J85</f>
        <v/>
      </c>
      <c r="K123" s="15">
        <f>K85</f>
        <v/>
      </c>
      <c r="L123" s="101">
        <f>L85</f>
        <v/>
      </c>
    </row>
    <row r="124" ht="14.25" customHeight="1" s="1">
      <c r="A124" s="99" t="inlineStr">
        <is>
          <t xml:space="preserve">     Amortización de pre-operativos</t>
        </is>
      </c>
      <c r="B124" s="100" t="n"/>
      <c r="C124" s="15">
        <f>C87</f>
        <v/>
      </c>
      <c r="D124" s="15">
        <f>D87</f>
        <v/>
      </c>
      <c r="E124" s="15">
        <f>E87</f>
        <v/>
      </c>
      <c r="F124" s="15">
        <f>F87</f>
        <v/>
      </c>
      <c r="G124" s="15">
        <f>G87</f>
        <v/>
      </c>
      <c r="H124" s="15">
        <f>H87</f>
        <v/>
      </c>
      <c r="I124" s="15">
        <f>I87</f>
        <v/>
      </c>
      <c r="J124" s="15">
        <f>J87</f>
        <v/>
      </c>
      <c r="K124" s="15">
        <f>K87</f>
        <v/>
      </c>
      <c r="L124" s="101">
        <f>L87</f>
        <v/>
      </c>
    </row>
    <row r="125" ht="14.25" customHeight="1" s="1">
      <c r="A125" s="94" t="inlineStr">
        <is>
          <t>= Utilidad antes de impuestos</t>
        </is>
      </c>
      <c r="B125" s="95" t="n"/>
      <c r="C125" s="96">
        <f>C116+C117-C118-C122</f>
        <v/>
      </c>
      <c r="D125" s="96">
        <f>D116+D117-D118-D122</f>
        <v/>
      </c>
      <c r="E125" s="96">
        <f>E116+E117-E118-E122</f>
        <v/>
      </c>
      <c r="F125" s="96">
        <f>F116+F117-F118-F122</f>
        <v/>
      </c>
      <c r="G125" s="96">
        <f>G116+G117-G118-G122</f>
        <v/>
      </c>
      <c r="H125" s="96">
        <f>H116+H117-H118-H122</f>
        <v/>
      </c>
      <c r="I125" s="96">
        <f>I116+I117-I118-I122</f>
        <v/>
      </c>
      <c r="J125" s="96">
        <f>J116+J117-J118-J122</f>
        <v/>
      </c>
      <c r="K125" s="96">
        <f>K116+K117-K118-K122</f>
        <v/>
      </c>
      <c r="L125" s="96">
        <f>L116+L117-L118-L122</f>
        <v/>
      </c>
    </row>
    <row r="126" ht="14.25" customHeight="1" s="1">
      <c r="A126" s="99" t="inlineStr">
        <is>
          <t>- Impuestos (30%)</t>
        </is>
      </c>
      <c r="B126" s="100" t="n"/>
      <c r="C126" s="10">
        <f>C125*$B$26</f>
        <v/>
      </c>
      <c r="D126" s="15">
        <f>D125*$B$26</f>
        <v/>
      </c>
      <c r="E126" s="15">
        <f>E125*$B$26</f>
        <v/>
      </c>
      <c r="F126" s="15">
        <f>F125*$B$26</f>
        <v/>
      </c>
      <c r="G126" s="15">
        <f>G125*$B$26</f>
        <v/>
      </c>
      <c r="H126" s="15">
        <f>H125*$B$26</f>
        <v/>
      </c>
      <c r="I126" s="15">
        <f>I125*$B$26</f>
        <v/>
      </c>
      <c r="J126" s="15">
        <f>J125*$B$26</f>
        <v/>
      </c>
      <c r="K126" s="15">
        <f>K125*$B$26</f>
        <v/>
      </c>
      <c r="L126" s="101">
        <f>L125*$B$26</f>
        <v/>
      </c>
    </row>
    <row r="127" ht="14.25" customHeight="1" s="1">
      <c r="A127" s="94" t="inlineStr">
        <is>
          <t>= Utilidad después de impuestos</t>
        </is>
      </c>
      <c r="B127" s="95" t="n"/>
      <c r="C127" s="96">
        <f>C125-C126</f>
        <v/>
      </c>
      <c r="D127" s="96">
        <f>D125-D126</f>
        <v/>
      </c>
      <c r="E127" s="96">
        <f>E125-E126</f>
        <v/>
      </c>
      <c r="F127" s="96">
        <f>F125-F126</f>
        <v/>
      </c>
      <c r="G127" s="96">
        <f>G125-G126</f>
        <v/>
      </c>
      <c r="H127" s="96">
        <f>H125-H126</f>
        <v/>
      </c>
      <c r="I127" s="96">
        <f>I125-I126</f>
        <v/>
      </c>
      <c r="J127" s="96">
        <f>J125-J126</f>
        <v/>
      </c>
      <c r="K127" s="96">
        <f>K125-K126</f>
        <v/>
      </c>
      <c r="L127" s="97">
        <f>L125-L126</f>
        <v/>
      </c>
    </row>
    <row r="128" ht="14.25" customHeight="1" s="1">
      <c r="A128" s="98" t="inlineStr">
        <is>
          <t>+ Gastos no desembolsables</t>
        </is>
      </c>
      <c r="B128" s="95" t="n"/>
      <c r="C128" s="96">
        <f>SUM(C129:C130)</f>
        <v/>
      </c>
      <c r="D128" s="96">
        <f>SUM(D129:D130)</f>
        <v/>
      </c>
      <c r="E128" s="96">
        <f>SUM(E129:E130)</f>
        <v/>
      </c>
      <c r="F128" s="96">
        <f>SUM(F129:F130)</f>
        <v/>
      </c>
      <c r="G128" s="96">
        <f>SUM(G129:G130)</f>
        <v/>
      </c>
      <c r="H128" s="96">
        <f>SUM(H129:H130)</f>
        <v/>
      </c>
      <c r="I128" s="96">
        <f>SUM(I129:I130)</f>
        <v/>
      </c>
      <c r="J128" s="96">
        <f>SUM(J129:J130)</f>
        <v/>
      </c>
      <c r="K128" s="96">
        <f>SUM(K129:K130)</f>
        <v/>
      </c>
      <c r="L128" s="97">
        <f>SUM(L129:L130)</f>
        <v/>
      </c>
    </row>
    <row r="129" ht="14.25" customHeight="1" s="1">
      <c r="A129" s="99" t="inlineStr">
        <is>
          <t xml:space="preserve">     Depreciación de activos</t>
        </is>
      </c>
      <c r="B129" s="100" t="n"/>
      <c r="C129" s="15">
        <f>C123</f>
        <v/>
      </c>
      <c r="D129" s="15">
        <f>D123</f>
        <v/>
      </c>
      <c r="E129" s="15">
        <f>E123</f>
        <v/>
      </c>
      <c r="F129" s="15">
        <f>F123</f>
        <v/>
      </c>
      <c r="G129" s="15">
        <f>G123</f>
        <v/>
      </c>
      <c r="H129" s="15">
        <f>H123</f>
        <v/>
      </c>
      <c r="I129" s="15">
        <f>I123</f>
        <v/>
      </c>
      <c r="J129" s="15">
        <f>J123</f>
        <v/>
      </c>
      <c r="K129" s="15">
        <f>K123</f>
        <v/>
      </c>
      <c r="L129" s="101">
        <f>L123</f>
        <v/>
      </c>
    </row>
    <row r="130" ht="14.25" customHeight="1" s="1">
      <c r="A130" s="99" t="inlineStr">
        <is>
          <t xml:space="preserve">     Amortización de pre-operativos</t>
        </is>
      </c>
      <c r="B130" s="100" t="n"/>
      <c r="C130" s="15">
        <f>C124</f>
        <v/>
      </c>
      <c r="D130" s="15">
        <f>D124</f>
        <v/>
      </c>
      <c r="E130" s="15">
        <f>E124</f>
        <v/>
      </c>
      <c r="F130" s="15">
        <f>F124</f>
        <v/>
      </c>
      <c r="G130" s="15">
        <f>G124</f>
        <v/>
      </c>
      <c r="H130" s="15">
        <f>H124</f>
        <v/>
      </c>
      <c r="I130" s="15">
        <f>I124</f>
        <v/>
      </c>
      <c r="J130" s="15">
        <f>J124</f>
        <v/>
      </c>
      <c r="K130" s="15">
        <f>K124</f>
        <v/>
      </c>
      <c r="L130" s="101">
        <f>L124</f>
        <v/>
      </c>
    </row>
    <row r="131" ht="14.25" customHeight="1" s="1">
      <c r="A131" s="94" t="inlineStr">
        <is>
          <t>+ Ingresos no sujetos a impuestos</t>
        </is>
      </c>
      <c r="B131" s="96">
        <f>SUM(B132:B134)</f>
        <v/>
      </c>
      <c r="C131" s="96">
        <f>SUM(C132:C134)</f>
        <v/>
      </c>
      <c r="D131" s="96">
        <f>SUM(D132:D134)</f>
        <v/>
      </c>
      <c r="E131" s="96">
        <f>SUM(E132:E134)</f>
        <v/>
      </c>
      <c r="F131" s="96">
        <f>SUM(F132:F134)</f>
        <v/>
      </c>
      <c r="G131" s="96">
        <f>SUM(G132:G134)</f>
        <v/>
      </c>
      <c r="H131" s="96">
        <f>SUM(H132:H134)</f>
        <v/>
      </c>
      <c r="I131" s="96">
        <f>SUM(I132:I134)</f>
        <v/>
      </c>
      <c r="J131" s="96">
        <f>SUM(J132:J134)</f>
        <v/>
      </c>
      <c r="K131" s="96">
        <f>SUM(K132:K134)</f>
        <v/>
      </c>
      <c r="L131" s="97">
        <f>SUM(L132:L134)</f>
        <v/>
      </c>
    </row>
    <row r="132" ht="14.25" customHeight="1" s="1">
      <c r="A132" s="99" t="inlineStr">
        <is>
          <t xml:space="preserve">     Valor de desecho</t>
        </is>
      </c>
      <c r="B132" s="100" t="n"/>
      <c r="C132" s="100" t="n"/>
      <c r="D132" s="100" t="n"/>
      <c r="E132" s="100" t="n"/>
      <c r="F132" s="100" t="n"/>
      <c r="G132" s="100" t="n"/>
      <c r="H132" s="100" t="n"/>
      <c r="I132" s="100" t="n"/>
      <c r="J132" s="100" t="n"/>
      <c r="K132" s="100" t="n"/>
      <c r="L132" s="101">
        <f>M98</f>
        <v/>
      </c>
    </row>
    <row r="133" ht="14.25" customHeight="1" s="1">
      <c r="A133" s="99" t="inlineStr">
        <is>
          <t xml:space="preserve">     Recuperación del capital de trabajo</t>
        </is>
      </c>
      <c r="B133" s="100" t="n"/>
      <c r="C133" s="100" t="n"/>
      <c r="D133" s="100" t="n"/>
      <c r="E133" s="100" t="n"/>
      <c r="F133" s="100" t="n"/>
      <c r="G133" s="100" t="n"/>
      <c r="H133" s="100" t="n"/>
      <c r="I133" s="100" t="n"/>
      <c r="J133" s="100" t="n"/>
      <c r="K133" s="100" t="n"/>
      <c r="L133" s="101">
        <f>-L77</f>
        <v/>
      </c>
    </row>
    <row r="134" ht="14.25" customHeight="1" s="1">
      <c r="A134" s="99" t="inlineStr">
        <is>
          <t xml:space="preserve">     Préstamo bancario</t>
        </is>
      </c>
      <c r="B134" s="15">
        <f>B102</f>
        <v/>
      </c>
      <c r="C134" s="100" t="n"/>
      <c r="D134" s="100" t="n"/>
      <c r="E134" s="100" t="n"/>
      <c r="F134" s="100" t="n"/>
      <c r="G134" s="100" t="n"/>
      <c r="H134" s="100" t="n"/>
      <c r="I134" s="100" t="n"/>
      <c r="J134" s="100" t="n"/>
      <c r="K134" s="100" t="n"/>
      <c r="L134" s="102" t="n"/>
    </row>
    <row r="135" ht="14.25" customHeight="1" s="1">
      <c r="A135" s="94" t="inlineStr">
        <is>
          <t>- Egresos no deducibles de impuestos</t>
        </is>
      </c>
      <c r="B135" s="96">
        <f>SUM(B136:B139)</f>
        <v/>
      </c>
      <c r="C135" s="96">
        <f>SUM(C136:C139)</f>
        <v/>
      </c>
      <c r="D135" s="96">
        <f>SUM(D136:D139)</f>
        <v/>
      </c>
      <c r="E135" s="96">
        <f>SUM(E136:E139)</f>
        <v/>
      </c>
      <c r="F135" s="96">
        <f>SUM(F136:F139)</f>
        <v/>
      </c>
      <c r="G135" s="96">
        <f>SUM(G136:G139)</f>
        <v/>
      </c>
      <c r="H135" s="96">
        <f>SUM(H136:H139)</f>
        <v/>
      </c>
      <c r="I135" s="96">
        <f>SUM(I136:I139)</f>
        <v/>
      </c>
      <c r="J135" s="96">
        <f>SUM(J136:J139)</f>
        <v/>
      </c>
      <c r="K135" s="96">
        <f>SUM(K136:K139)</f>
        <v/>
      </c>
      <c r="L135" s="97">
        <f>SUM(L136:L139)</f>
        <v/>
      </c>
    </row>
    <row r="136" ht="14.25" customHeight="1" s="1">
      <c r="A136" s="99" t="inlineStr">
        <is>
          <t xml:space="preserve">     Activos (inv. 20 años, 10 años, 5 años, terreno)</t>
        </is>
      </c>
      <c r="B136" s="96">
        <f>SUM(B69:B72)</f>
        <v/>
      </c>
      <c r="C136" s="95" t="n"/>
      <c r="D136" s="95" t="n"/>
      <c r="E136" s="95" t="n"/>
      <c r="F136" s="95" t="n"/>
      <c r="G136" s="96">
        <f>G69</f>
        <v/>
      </c>
      <c r="H136" s="95" t="n"/>
      <c r="I136" s="95" t="n"/>
      <c r="J136" s="95" t="n"/>
      <c r="K136" s="95" t="n"/>
      <c r="L136" s="103" t="n"/>
    </row>
    <row r="137" ht="14.25" customHeight="1" s="1">
      <c r="A137" s="99" t="inlineStr">
        <is>
          <t xml:space="preserve">     Gastos de puesta en marcha (pre-operativos)</t>
        </is>
      </c>
      <c r="B137" s="15">
        <f>B74</f>
        <v/>
      </c>
      <c r="C137" s="100" t="n"/>
      <c r="D137" s="100" t="n"/>
      <c r="E137" s="100" t="n"/>
      <c r="F137" s="100" t="n"/>
      <c r="G137" s="100" t="n"/>
      <c r="H137" s="100" t="n"/>
      <c r="I137" s="100" t="n"/>
      <c r="J137" s="100" t="n"/>
      <c r="K137" s="100" t="n"/>
      <c r="L137" s="102" t="n"/>
    </row>
    <row r="138" ht="14.25" customHeight="1" s="1">
      <c r="A138" s="99" t="inlineStr">
        <is>
          <t xml:space="preserve">     Inversión en capital de trabajo</t>
        </is>
      </c>
      <c r="B138" s="15">
        <f>B76</f>
        <v/>
      </c>
      <c r="C138" s="15">
        <f>C76</f>
        <v/>
      </c>
      <c r="D138" s="15">
        <f>D76</f>
        <v/>
      </c>
      <c r="E138" s="15">
        <f>E76</f>
        <v/>
      </c>
      <c r="F138" s="15">
        <f>F76</f>
        <v/>
      </c>
      <c r="G138" s="15">
        <f>G76</f>
        <v/>
      </c>
      <c r="H138" s="15">
        <f>H76</f>
        <v/>
      </c>
      <c r="I138" s="15">
        <f>I76</f>
        <v/>
      </c>
      <c r="J138" s="15">
        <f>J76</f>
        <v/>
      </c>
      <c r="K138" s="15">
        <f>K76</f>
        <v/>
      </c>
      <c r="L138" s="100" t="n"/>
    </row>
    <row r="139" ht="14.25" customHeight="1" s="1">
      <c r="A139" s="99" t="inlineStr">
        <is>
          <t xml:space="preserve">     Pago préstamo bancario</t>
        </is>
      </c>
      <c r="B139" s="100" t="n"/>
      <c r="C139" s="15">
        <f>C111</f>
        <v/>
      </c>
      <c r="D139" s="15">
        <f>D111</f>
        <v/>
      </c>
      <c r="E139" s="15">
        <f>E111</f>
        <v/>
      </c>
      <c r="F139" s="15">
        <f>F111</f>
        <v/>
      </c>
      <c r="G139" s="15">
        <f>G111</f>
        <v/>
      </c>
      <c r="H139" s="15">
        <f>H111</f>
        <v/>
      </c>
      <c r="I139" s="15">
        <f>I111</f>
        <v/>
      </c>
      <c r="J139" s="15">
        <f>J111</f>
        <v/>
      </c>
      <c r="K139" s="15">
        <f>K111</f>
        <v/>
      </c>
      <c r="L139" s="101">
        <f>L111</f>
        <v/>
      </c>
    </row>
    <row r="140" ht="14.25" customHeight="1" s="1">
      <c r="A140" s="104" t="inlineStr">
        <is>
          <t>= Flujo de caja</t>
        </is>
      </c>
      <c r="B140" s="53">
        <f>B127+B128+B131-B135</f>
        <v/>
      </c>
      <c r="C140" s="53">
        <f>C127+C128+C131-C135</f>
        <v/>
      </c>
      <c r="D140" s="53">
        <f>D127+D128+D131-D135</f>
        <v/>
      </c>
      <c r="E140" s="53">
        <f>E127+E128+E131-E135</f>
        <v/>
      </c>
      <c r="F140" s="53">
        <f>F127+F128+F131-F135</f>
        <v/>
      </c>
      <c r="G140" s="53">
        <f>G127+G128+G131-G135</f>
        <v/>
      </c>
      <c r="H140" s="53">
        <f>H127+H128+H131-H135</f>
        <v/>
      </c>
      <c r="I140" s="53">
        <f>I127+I128+I131-I135</f>
        <v/>
      </c>
      <c r="J140" s="53">
        <f>J127+J128+J131-J135</f>
        <v/>
      </c>
      <c r="K140" s="53">
        <f>K127+K128+K131-K135</f>
        <v/>
      </c>
      <c r="L140" s="53">
        <f>L127+L128+L131-L135</f>
        <v/>
      </c>
    </row>
    <row r="141" ht="14.25" customHeight="1" s="1">
      <c r="A141" s="152" t="inlineStr">
        <is>
          <t>Flujo de caja acumulado (PRI)</t>
        </is>
      </c>
    </row>
    <row r="142" ht="14.25" customHeight="1" s="1">
      <c r="A142" s="153" t="inlineStr">
        <is>
          <t xml:space="preserve">     Flujo acumulado</t>
        </is>
      </c>
      <c r="B142" s="53">
        <f>B140</f>
        <v/>
      </c>
      <c r="C142" s="53">
        <f>B142+C140</f>
        <v/>
      </c>
      <c r="D142" s="53">
        <f>C142+D140</f>
        <v/>
      </c>
      <c r="E142" s="53">
        <f>D142+E140</f>
        <v/>
      </c>
      <c r="F142" s="53">
        <f>E142+F140</f>
        <v/>
      </c>
      <c r="G142" s="53">
        <f>F142+G140</f>
        <v/>
      </c>
      <c r="H142" s="53">
        <f>G142+H140</f>
        <v/>
      </c>
      <c r="I142" s="53">
        <f>H142+I140</f>
        <v/>
      </c>
      <c r="J142" s="53">
        <f>I142+J140</f>
        <v/>
      </c>
      <c r="K142" s="53">
        <f>J142+K140</f>
        <v/>
      </c>
      <c r="L142" s="53">
        <f>K142+L140</f>
        <v/>
      </c>
    </row>
    <row r="143" ht="14.25" customHeight="1" s="1">
      <c r="A143" s="152" t="inlineStr">
        <is>
          <t>Flujo descontado acumulado (PRID)</t>
        </is>
      </c>
    </row>
    <row r="144" ht="14.25" customHeight="1" s="1">
      <c r="A144" s="153" t="inlineStr">
        <is>
          <t xml:space="preserve">     Flujo desc. acumulado</t>
        </is>
      </c>
      <c r="B144" s="53">
        <f>B140</f>
        <v/>
      </c>
      <c r="C144" s="53">
        <f>B144+C140/(1+B25)^1</f>
        <v/>
      </c>
      <c r="D144" s="53">
        <f>C144+D140/(1+B25)^2</f>
        <v/>
      </c>
      <c r="E144" s="53">
        <f>D144+E140/(1+B25)^3</f>
        <v/>
      </c>
      <c r="F144" s="53">
        <f>E144+F140/(1+B25)^4</f>
        <v/>
      </c>
      <c r="G144" s="53">
        <f>F144+G140/(1+B25)^5</f>
        <v/>
      </c>
      <c r="H144" s="53">
        <f>G144+H140/(1+B25)^6</f>
        <v/>
      </c>
      <c r="I144" s="53">
        <f>H144+I140/(1+B25)^7</f>
        <v/>
      </c>
      <c r="J144" s="53">
        <f>I144+J140/(1+B25)^8</f>
        <v/>
      </c>
      <c r="K144" s="53">
        <f>J144+K140/(1+B25)^9</f>
        <v/>
      </c>
      <c r="L144" s="53">
        <f>K144+L140/(1+B25)^10</f>
        <v/>
      </c>
    </row>
    <row r="145" ht="14.25" customHeight="1" s="1">
      <c r="A145" s="154" t="n"/>
      <c r="B145" s="21" t="n"/>
      <c r="F145" s="106" t="n"/>
    </row>
    <row r="146" ht="14.25" customHeight="1" s="1">
      <c r="A146" s="22" t="inlineStr">
        <is>
          <t>10. Costo del capital</t>
        </is>
      </c>
    </row>
    <row r="147" ht="14.25" customHeight="1" s="1">
      <c r="B147" s="107" t="inlineStr">
        <is>
          <t>Participación ($)</t>
        </is>
      </c>
      <c r="C147" s="107" t="inlineStr">
        <is>
          <t>Participación (%)</t>
        </is>
      </c>
      <c r="D147" s="107" t="inlineStr">
        <is>
          <t>Costo</t>
        </is>
      </c>
      <c r="E147" s="107" t="inlineStr">
        <is>
          <t>Costo promedio</t>
        </is>
      </c>
    </row>
    <row r="148" ht="14.25" customHeight="1" s="1">
      <c r="A148" s="4" t="inlineStr">
        <is>
          <t>Préstamo bancario</t>
        </is>
      </c>
      <c r="B148" s="147">
        <f>B77</f>
        <v/>
      </c>
      <c r="C148" s="149" t="n">
        <v>0</v>
      </c>
      <c r="D148" s="149" t="n">
        <v>0</v>
      </c>
      <c r="E148" s="149" t="n">
        <v>0</v>
      </c>
    </row>
    <row r="149" ht="18" customHeight="1" s="1">
      <c r="A149" s="4" t="inlineStr">
        <is>
          <t>Fondos propios</t>
        </is>
      </c>
      <c r="B149" s="148">
        <f>B77</f>
        <v/>
      </c>
      <c r="C149" s="150" t="n">
        <v>1</v>
      </c>
      <c r="D149" s="149">
        <f>B25</f>
        <v/>
      </c>
      <c r="E149" s="150">
        <f>C149*D149</f>
        <v/>
      </c>
    </row>
    <row r="150" ht="14.25" customHeight="1" s="1">
      <c r="B150" s="147">
        <f>B148+B149</f>
        <v/>
      </c>
      <c r="C150" s="149">
        <f>C148+C149</f>
        <v/>
      </c>
      <c r="D150" s="108" t="n"/>
      <c r="E150" s="149">
        <f>E148+E149</f>
        <v/>
      </c>
    </row>
    <row r="152" ht="14.25" customHeight="1" s="1">
      <c r="A152" s="22" t="inlineStr">
        <is>
          <t>11. Indicadores financieros</t>
        </is>
      </c>
    </row>
    <row r="153" ht="14.25" customHeight="1" s="1">
      <c r="A153" s="109" t="inlineStr">
        <is>
          <t>VAN(19%) =</t>
        </is>
      </c>
      <c r="B153" s="110">
        <f>NPV(B25,C140:L140)+B140</f>
        <v/>
      </c>
    </row>
    <row r="154" ht="14.25" customHeight="1" s="1">
      <c r="A154" s="109" t="inlineStr">
        <is>
          <t>TIR =</t>
        </is>
      </c>
      <c r="B154" s="151">
        <f>IRR(B140:L140)</f>
        <v/>
      </c>
    </row>
    <row r="155" ht="14.25" customHeight="1" s="1">
      <c r="A155" s="109" t="inlineStr">
        <is>
          <t>PRI =</t>
        </is>
      </c>
      <c r="B155" s="112">
        <f>IFERROR(MATCH(1,INDEX((C142:L142&gt;=0)*1,0),0),"&gt;10")</f>
        <v/>
      </c>
    </row>
    <row r="156" ht="14.25" customHeight="1" s="1">
      <c r="A156" s="109" t="inlineStr">
        <is>
          <t>PRID =</t>
        </is>
      </c>
      <c r="B156" s="112">
        <f>IFERROR(MATCH(1,INDEX((C144:L144&gt;=0)*1,0),0),"&gt;10")</f>
        <v/>
      </c>
    </row>
    <row r="157" ht="14.25" customHeight="1" s="1">
      <c r="A157" s="109" t="inlineStr">
        <is>
          <t>ID =</t>
        </is>
      </c>
      <c r="B157" s="142">
        <f>(NPV(B25,C140:L140)+B140+ABS(B140))/ABS(B140)</f>
        <v/>
      </c>
    </row>
    <row r="158" ht="14.25" customHeight="1" s="1">
      <c r="B158" s="21" t="n"/>
    </row>
    <row r="159" ht="14.25" customHeight="1" s="1">
      <c r="B159" s="21" t="n"/>
    </row>
    <row r="160" ht="14.25" customHeight="1" s="1">
      <c r="A160" s="105" t="n"/>
      <c r="B160" s="113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</row>
    <row r="161" ht="14.25" customHeight="1" s="1">
      <c r="A161" s="105" t="n"/>
      <c r="B161" s="113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</row>
    <row r="162" ht="14.25" customHeight="1" s="1">
      <c r="A162" s="105" t="n"/>
      <c r="B162" s="113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</row>
    <row r="163" ht="14.25" customHeight="1" s="1">
      <c r="A163" s="105" t="n"/>
      <c r="B163" s="113" t="n"/>
      <c r="C163" s="115" t="n"/>
      <c r="D163" s="115" t="n"/>
      <c r="E163" s="115" t="n"/>
      <c r="F163" s="115" t="n"/>
      <c r="G163" s="115" t="n"/>
      <c r="H163" s="115" t="n"/>
      <c r="I163" s="115" t="n"/>
      <c r="J163" s="115" t="n"/>
      <c r="K163" s="115" t="n"/>
      <c r="L163" s="115" t="n"/>
    </row>
    <row r="164" ht="14.25" customHeight="1" s="1">
      <c r="B164" s="21" t="n"/>
    </row>
    <row r="165" ht="14.25" customHeight="1" s="1">
      <c r="B165" s="21" t="n"/>
    </row>
    <row r="166" ht="14.25" customHeight="1" s="1">
      <c r="B166" s="21" t="n"/>
    </row>
  </sheetData>
  <mergeCells count="6">
    <mergeCell ref="A50:H50"/>
    <mergeCell ref="A55:H55"/>
    <mergeCell ref="A98:L98"/>
    <mergeCell ref="A92:A93"/>
    <mergeCell ref="C92:L92"/>
    <mergeCell ref="B105:C105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6"/>
  <sheetViews>
    <sheetView showGridLines="0" topLeftCell="A131" zoomScaleNormal="100" workbookViewId="0">
      <selection activeCell="E156" sqref="E156"/>
    </sheetView>
  </sheetViews>
  <sheetFormatPr baseColWidth="10" defaultColWidth="8.6640625" defaultRowHeight="14.4"/>
  <cols>
    <col width="42.44140625" customWidth="1" style="1" min="1" max="1"/>
    <col width="15.5546875" customWidth="1" style="1" min="2" max="2"/>
    <col width="16.109375" customWidth="1" style="1" min="3" max="3"/>
    <col width="15.44140625" customWidth="1" style="1" min="4" max="8"/>
    <col width="15.5546875" customWidth="1" style="1" min="9" max="11"/>
    <col width="15.44140625" customWidth="1" style="1" min="12" max="12"/>
    <col width="13.5546875" customWidth="1" style="1" min="13" max="13"/>
    <col width="13.33203125" customWidth="1" style="1" min="14" max="14"/>
    <col width="10.6640625" customWidth="1" style="1" min="16" max="16"/>
    <col width="25.109375" customWidth="1" style="1" min="18" max="18"/>
    <col width="11.6640625" customWidth="1" style="1" min="19" max="19"/>
    <col width="13.44140625" customWidth="1" style="1" min="20" max="20"/>
    <col width="8.44140625" customWidth="1" style="1" min="21" max="21"/>
    <col width="10.6640625" customWidth="1" style="1" min="22" max="22"/>
  </cols>
  <sheetData>
    <row r="1" ht="15" customHeight="1" s="1">
      <c r="A1" s="2" t="inlineStr">
        <is>
          <t>Camaronera Industrial</t>
        </is>
      </c>
    </row>
    <row r="3" ht="14.25" customHeight="1" s="1">
      <c r="A3" s="3" t="inlineStr">
        <is>
          <t>Variables</t>
        </is>
      </c>
    </row>
    <row r="4" ht="14.25" customHeight="1" s="1">
      <c r="A4" s="4" t="inlineStr">
        <is>
          <t>Horizonte de evaluación (años)</t>
        </is>
      </c>
      <c r="B4" s="4" t="n">
        <v>10</v>
      </c>
    </row>
    <row r="5" ht="14.25" customHeight="1" s="1">
      <c r="A5" s="4" t="inlineStr">
        <is>
          <t>Devaluación</t>
        </is>
      </c>
      <c r="B5" s="5" t="n">
        <v>0.05</v>
      </c>
    </row>
    <row r="6" ht="14.25" customHeight="1" s="1">
      <c r="A6" s="4" t="inlineStr">
        <is>
          <t>Inflación</t>
        </is>
      </c>
      <c r="B6" s="5" t="n">
        <v>0.07000000000000001</v>
      </c>
    </row>
    <row r="7" ht="14.25" customHeight="1" s="1">
      <c r="B7" s="6" t="inlineStr">
        <is>
          <t>Año 0</t>
        </is>
      </c>
      <c r="C7" s="6" t="inlineStr">
        <is>
          <t>Año 1</t>
        </is>
      </c>
      <c r="D7" s="6" t="inlineStr">
        <is>
          <t>Año 2</t>
        </is>
      </c>
      <c r="E7" s="6" t="inlineStr">
        <is>
          <t>Año 3</t>
        </is>
      </c>
      <c r="F7" s="6" t="inlineStr">
        <is>
          <t>Año 4</t>
        </is>
      </c>
      <c r="G7" s="6" t="inlineStr">
        <is>
          <t>Año 5</t>
        </is>
      </c>
      <c r="H7" s="6" t="inlineStr">
        <is>
          <t>Año 6</t>
        </is>
      </c>
      <c r="I7" s="6" t="inlineStr">
        <is>
          <t>Año 7</t>
        </is>
      </c>
      <c r="J7" s="6" t="inlineStr">
        <is>
          <t>Año 8</t>
        </is>
      </c>
      <c r="K7" s="6" t="inlineStr">
        <is>
          <t>Año 9</t>
        </is>
      </c>
      <c r="L7" s="6" t="inlineStr">
        <is>
          <t>Año 10</t>
        </is>
      </c>
    </row>
    <row r="8" ht="14.25" customHeight="1" s="1">
      <c r="A8" s="4" t="inlineStr">
        <is>
          <t>Área en producción (Ha)</t>
        </is>
      </c>
      <c r="B8" s="7" t="n"/>
      <c r="C8" s="8" t="n">
        <v>750</v>
      </c>
      <c r="D8" s="8" t="n">
        <v>900</v>
      </c>
      <c r="E8" s="8" t="n">
        <v>900</v>
      </c>
      <c r="F8" s="8" t="n">
        <v>900</v>
      </c>
      <c r="G8" s="8" t="n">
        <v>900</v>
      </c>
      <c r="H8" s="8" t="n">
        <v>900</v>
      </c>
      <c r="I8" s="8" t="n">
        <v>900</v>
      </c>
      <c r="J8" s="8" t="n">
        <v>900</v>
      </c>
      <c r="K8" s="8" t="n">
        <v>900</v>
      </c>
      <c r="L8" s="8" t="n">
        <v>900</v>
      </c>
    </row>
    <row r="9" ht="14.25" customHeight="1" s="1">
      <c r="A9" s="4" t="inlineStr">
        <is>
          <t>Producción neta (Lb/Ha/año)</t>
        </is>
      </c>
      <c r="B9" s="7" t="n"/>
      <c r="C9" s="9">
        <f>1225</f>
        <v/>
      </c>
      <c r="D9" s="9">
        <f>1470</f>
        <v/>
      </c>
      <c r="E9" s="9">
        <f>1715</f>
        <v/>
      </c>
      <c r="F9" s="9">
        <f>1960</f>
        <v/>
      </c>
      <c r="G9" s="9">
        <f>2205</f>
        <v/>
      </c>
      <c r="H9" s="9">
        <f>2205</f>
        <v/>
      </c>
      <c r="I9" s="9">
        <f>2205</f>
        <v/>
      </c>
      <c r="J9" s="9">
        <f>2205</f>
        <v/>
      </c>
      <c r="K9" s="9">
        <f>2205</f>
        <v/>
      </c>
      <c r="L9" s="9">
        <f>2205</f>
        <v/>
      </c>
    </row>
    <row r="10" ht="14.25" customHeight="1" s="1">
      <c r="A10" s="4" t="inlineStr">
        <is>
          <t>Producción neta total (Lb/año)</t>
        </is>
      </c>
      <c r="B10" s="7" t="n"/>
      <c r="C10" s="9">
        <f>C9*C8</f>
        <v/>
      </c>
      <c r="D10" s="9">
        <f>D9*D8</f>
        <v/>
      </c>
      <c r="E10" s="9">
        <f>E9*E8</f>
        <v/>
      </c>
      <c r="F10" s="9">
        <f>F9*F8</f>
        <v/>
      </c>
      <c r="G10" s="9">
        <f>G9*G8</f>
        <v/>
      </c>
      <c r="H10" s="9">
        <f>H9*H8</f>
        <v/>
      </c>
      <c r="I10" s="9">
        <f>I9*I8</f>
        <v/>
      </c>
      <c r="J10" s="9">
        <f>J9*J8</f>
        <v/>
      </c>
      <c r="K10" s="9">
        <f>K9*K8</f>
        <v/>
      </c>
      <c r="L10" s="9">
        <f>L9*L8</f>
        <v/>
      </c>
    </row>
    <row r="11" ht="14.25" customHeight="1" s="1">
      <c r="A11" s="4" t="inlineStr">
        <is>
          <t>Tasa de cambio</t>
        </is>
      </c>
      <c r="B11" s="7" t="n"/>
      <c r="C11" s="10" t="n">
        <v>1</v>
      </c>
      <c r="D11" s="10">
        <f>C11+(C11*$B$5)</f>
        <v/>
      </c>
      <c r="E11" s="10">
        <f>D11+(D11*$B$5)</f>
        <v/>
      </c>
      <c r="F11" s="10">
        <f>E11+(E11*$B$5)</f>
        <v/>
      </c>
      <c r="G11" s="10">
        <f>F11+(F11*$B$5)</f>
        <v/>
      </c>
      <c r="H11" s="10">
        <f>G11+(G11*$B$5)</f>
        <v/>
      </c>
      <c r="I11" s="10">
        <f>H11+(H11*$B$5)</f>
        <v/>
      </c>
      <c r="J11" s="10">
        <f>I11+(I11*$B$5)</f>
        <v/>
      </c>
      <c r="K11" s="10">
        <f>J11+(J11*$B$5)</f>
        <v/>
      </c>
      <c r="L11" s="10">
        <f>K11+(K11*$B$5)</f>
        <v/>
      </c>
    </row>
    <row r="12" ht="14.25" customHeight="1" s="1">
      <c r="A12" s="4" t="inlineStr">
        <is>
          <t>Precio de venta FOB ($/Lb)</t>
        </is>
      </c>
      <c r="B12" s="7" t="n"/>
      <c r="C12" s="116" t="n">
        <v>2.4108299009557</v>
      </c>
      <c r="D12" s="11">
        <f>C12+(C12*$B$6)</f>
        <v/>
      </c>
      <c r="E12" s="11">
        <f>D12+(D12*$B$6)</f>
        <v/>
      </c>
      <c r="F12" s="11">
        <f>E12+(E12*$B$6)</f>
        <v/>
      </c>
      <c r="G12" s="11">
        <f>F12+(F12*$B$6)</f>
        <v/>
      </c>
      <c r="H12" s="11">
        <f>G12+(G12*$B$6)</f>
        <v/>
      </c>
      <c r="I12" s="11">
        <f>H12+(H12*$B$6)</f>
        <v/>
      </c>
      <c r="J12" s="11">
        <f>I12+(I12*$B$6)</f>
        <v/>
      </c>
      <c r="K12" s="11">
        <f>J12+(J12*$B$6)</f>
        <v/>
      </c>
      <c r="L12" s="11">
        <f>K12+(K12*$B$6)</f>
        <v/>
      </c>
    </row>
    <row r="13" ht="14.25" customHeight="1" s="1">
      <c r="A13" s="4" t="inlineStr">
        <is>
          <t>Capital de trabajo</t>
        </is>
      </c>
      <c r="B13" s="12" t="n"/>
      <c r="C13" s="13" t="n">
        <v>450000</v>
      </c>
      <c r="D13" s="13" t="n">
        <v>250000</v>
      </c>
      <c r="E13" s="13" t="n">
        <v>250000</v>
      </c>
      <c r="F13" s="13" t="n">
        <v>250000</v>
      </c>
      <c r="G13" s="13" t="n">
        <v>250000</v>
      </c>
      <c r="H13" s="13" t="n">
        <v>250000</v>
      </c>
      <c r="I13" s="13" t="n">
        <v>0</v>
      </c>
      <c r="J13" s="13" t="n">
        <v>0</v>
      </c>
      <c r="K13" s="13" t="n">
        <v>0</v>
      </c>
      <c r="L13" s="13" t="n">
        <v>0</v>
      </c>
    </row>
    <row r="14" ht="14.25" customHeight="1" s="1">
      <c r="A14" s="4" t="inlineStr">
        <is>
          <t>Costos variables ($1.45 x Lb)</t>
        </is>
      </c>
      <c r="B14" s="12" t="n"/>
      <c r="C14" s="11">
        <f>1.45</f>
        <v/>
      </c>
      <c r="D14" s="11">
        <f>C14+(C14*$B$6)</f>
        <v/>
      </c>
      <c r="E14" s="11">
        <f>D14+(D14*$B$6)</f>
        <v/>
      </c>
      <c r="F14" s="11">
        <f>E14+(E14*$B$6)</f>
        <v/>
      </c>
      <c r="G14" s="11">
        <f>F14+(F14*$B$6)</f>
        <v/>
      </c>
      <c r="H14" s="11">
        <f>G14+(G14*$B$6)</f>
        <v/>
      </c>
      <c r="I14" s="11">
        <f>H14+(H14*$B$6)</f>
        <v/>
      </c>
      <c r="J14" s="11">
        <f>I14+(I14*$B$6)</f>
        <v/>
      </c>
      <c r="K14" s="11">
        <f>J14+(J14*$B$6)</f>
        <v/>
      </c>
      <c r="L14" s="11">
        <f>K14+(K14*$B$6)</f>
        <v/>
      </c>
    </row>
    <row r="15" ht="14.25" customHeight="1" s="1">
      <c r="A15" s="4" t="inlineStr">
        <is>
          <t>Costos variables anuales</t>
        </is>
      </c>
      <c r="B15" s="14" t="n"/>
      <c r="C15" s="15">
        <f>C14*C10</f>
        <v/>
      </c>
      <c r="D15" s="15">
        <f>D14*D10</f>
        <v/>
      </c>
      <c r="E15" s="15">
        <f>E14*E10</f>
        <v/>
      </c>
      <c r="F15" s="15">
        <f>F14*F10</f>
        <v/>
      </c>
      <c r="G15" s="15">
        <f>G14*G10</f>
        <v/>
      </c>
      <c r="H15" s="15">
        <f>H14*H10</f>
        <v/>
      </c>
      <c r="I15" s="15">
        <f>I14*I10</f>
        <v/>
      </c>
      <c r="J15" s="15">
        <f>J14*J10</f>
        <v/>
      </c>
      <c r="K15" s="15">
        <f>K14*K10</f>
        <v/>
      </c>
      <c r="L15" s="15">
        <f>L14*L10</f>
        <v/>
      </c>
    </row>
    <row r="16" ht="14.25" customHeight="1" s="1">
      <c r="A16" s="4" t="inlineStr">
        <is>
          <t>Costos fijos de producción</t>
        </is>
      </c>
      <c r="B16" s="14" t="n"/>
      <c r="C16" s="15" t="n">
        <v>50000</v>
      </c>
      <c r="D16" s="15">
        <f>C16+(C16*$B$6)</f>
        <v/>
      </c>
      <c r="E16" s="15">
        <f>D16+(D16*$B$6)</f>
        <v/>
      </c>
      <c r="F16" s="15">
        <f>E16+(E16*$B$6)</f>
        <v/>
      </c>
      <c r="G16" s="15">
        <f>F16+(F16*$B$6)</f>
        <v/>
      </c>
      <c r="H16" s="15">
        <f>G16+(G16*$B$6)</f>
        <v/>
      </c>
      <c r="I16" s="15">
        <f>H16+(H16*$B$6)</f>
        <v/>
      </c>
      <c r="J16" s="15">
        <f>I16+(I16*$B$6)</f>
        <v/>
      </c>
      <c r="K16" s="15">
        <f>J16+(J16*$B$6)</f>
        <v/>
      </c>
      <c r="L16" s="15">
        <f>K16+(K16*$B$6)</f>
        <v/>
      </c>
    </row>
    <row r="17" ht="14.25" customHeight="1" s="1">
      <c r="A17" s="4" t="inlineStr">
        <is>
          <t>Gastos administrativos</t>
        </is>
      </c>
      <c r="B17" s="14" t="n"/>
      <c r="C17" s="15" t="n">
        <v>200000</v>
      </c>
      <c r="D17" s="15">
        <f>C17+(C17*$B$6)</f>
        <v/>
      </c>
      <c r="E17" s="15">
        <f>D17+(D17*$B$6)</f>
        <v/>
      </c>
      <c r="F17" s="15">
        <f>E17+(E17*$B$6)</f>
        <v/>
      </c>
      <c r="G17" s="15">
        <f>F17+(F17*$B$6)</f>
        <v/>
      </c>
      <c r="H17" s="15">
        <f>G17+(G17*$B$6)</f>
        <v/>
      </c>
      <c r="I17" s="15">
        <f>H17+(H17*$B$6)</f>
        <v/>
      </c>
      <c r="J17" s="15">
        <f>I17+(I17*$B$6)</f>
        <v/>
      </c>
      <c r="K17" s="15">
        <f>J17+(J17*$B$6)</f>
        <v/>
      </c>
      <c r="L17" s="15">
        <f>K17+(K17*$B$6)</f>
        <v/>
      </c>
    </row>
    <row r="18" ht="14.25" customHeight="1" s="1">
      <c r="K18" s="16" t="n"/>
    </row>
    <row r="19" ht="14.25" customHeight="1" s="1">
      <c r="A19" s="4" t="inlineStr">
        <is>
          <t>Valor residual del terreno</t>
        </is>
      </c>
      <c r="B19" s="17" t="n">
        <v>1250000</v>
      </c>
      <c r="K19" s="16" t="n"/>
    </row>
    <row r="20" ht="14.25" customHeight="1" s="1">
      <c r="A20" s="4" t="inlineStr">
        <is>
          <t>Valor residual de estanques y canales</t>
        </is>
      </c>
      <c r="B20" s="17" t="n">
        <v>1000000</v>
      </c>
      <c r="K20" s="16" t="n"/>
    </row>
    <row r="21" ht="14.25" customHeight="1" s="1">
      <c r="A21" s="4" t="inlineStr">
        <is>
          <t>Valor residual de edificios</t>
        </is>
      </c>
      <c r="B21" s="18" t="n">
        <v>50000</v>
      </c>
      <c r="K21" s="16" t="n"/>
    </row>
    <row r="22" ht="14.25" customHeight="1" s="1">
      <c r="A22" s="4" t="inlineStr">
        <is>
          <t>Tasa de fiananciamiento bancario</t>
        </is>
      </c>
      <c r="B22" s="5" t="n">
        <v>0.1</v>
      </c>
    </row>
    <row r="23" ht="14.25" customHeight="1" s="1">
      <c r="A23" s="4" t="inlineStr">
        <is>
          <t>Plazo del financiamiento bancario (años)</t>
        </is>
      </c>
      <c r="B23" s="19" t="n">
        <v>7</v>
      </c>
    </row>
    <row r="24" ht="14.25" customHeight="1" s="1">
      <c r="A24" s="4" t="inlineStr">
        <is>
          <t>Plazo del financiamiento bancario (valor)</t>
        </is>
      </c>
      <c r="B24" s="20">
        <f>5400000*0.5</f>
        <v/>
      </c>
    </row>
    <row r="25" ht="14.25" customHeight="1" s="1">
      <c r="A25" s="4" t="inlineStr">
        <is>
          <t>Tasa de corte</t>
        </is>
      </c>
      <c r="B25" s="5" t="n">
        <v>0.19</v>
      </c>
    </row>
    <row r="26" ht="14.25" customHeight="1" s="1">
      <c r="A26" s="4" t="inlineStr">
        <is>
          <t>Tasa de ISR</t>
        </is>
      </c>
      <c r="B26" s="5" t="n">
        <v>0.3</v>
      </c>
    </row>
    <row r="27" ht="14.25" customHeight="1" s="1">
      <c r="B27" s="21" t="n"/>
    </row>
    <row r="28" ht="14.25" customHeight="1" s="1">
      <c r="A28" s="22" t="inlineStr">
        <is>
          <t>1. Ingresos del proyecto</t>
        </is>
      </c>
      <c r="B28" s="21" t="n"/>
    </row>
    <row r="29" ht="15.75" customHeight="1" s="1">
      <c r="A29" s="23" t="inlineStr">
        <is>
          <t>Calendario de ingresos (venta del producto)</t>
        </is>
      </c>
      <c r="B29" s="24" t="n"/>
    </row>
    <row r="30" ht="14.25" customHeight="1" s="1">
      <c r="A30" s="161" t="inlineStr">
        <is>
          <t>Concepto</t>
        </is>
      </c>
      <c r="B30" s="26" t="inlineStr">
        <is>
          <t>Año 0</t>
        </is>
      </c>
      <c r="C30" s="26" t="inlineStr">
        <is>
          <t>Año 1</t>
        </is>
      </c>
      <c r="D30" s="26" t="inlineStr">
        <is>
          <t>Año 2</t>
        </is>
      </c>
      <c r="E30" s="26" t="inlineStr">
        <is>
          <t>Año 3</t>
        </is>
      </c>
      <c r="F30" s="26" t="inlineStr">
        <is>
          <t>Año 4</t>
        </is>
      </c>
      <c r="G30" s="26" t="inlineStr">
        <is>
          <t>Año 5</t>
        </is>
      </c>
      <c r="H30" s="26" t="inlineStr">
        <is>
          <t>Año 6</t>
        </is>
      </c>
      <c r="I30" s="26" t="inlineStr">
        <is>
          <t>Año 7</t>
        </is>
      </c>
      <c r="J30" s="26" t="inlineStr">
        <is>
          <t>Año 8</t>
        </is>
      </c>
      <c r="K30" s="26" t="inlineStr">
        <is>
          <t>Año 9</t>
        </is>
      </c>
      <c r="L30" s="27" t="inlineStr">
        <is>
          <t>Año 10</t>
        </is>
      </c>
    </row>
    <row r="31" ht="14.25" customHeight="1" s="1">
      <c r="A31" s="28" t="inlineStr">
        <is>
          <t>Cantidad de camarón (Lb)</t>
        </is>
      </c>
      <c r="B31" s="29" t="n"/>
      <c r="C31" s="30">
        <f>C10</f>
        <v/>
      </c>
      <c r="D31" s="30">
        <f>D10</f>
        <v/>
      </c>
      <c r="E31" s="30">
        <f>E10</f>
        <v/>
      </c>
      <c r="F31" s="30">
        <f>F10</f>
        <v/>
      </c>
      <c r="G31" s="30">
        <f>G10</f>
        <v/>
      </c>
      <c r="H31" s="30">
        <f>H10</f>
        <v/>
      </c>
      <c r="I31" s="30">
        <f>I10</f>
        <v/>
      </c>
      <c r="J31" s="30">
        <f>J10</f>
        <v/>
      </c>
      <c r="K31" s="30">
        <f>K10</f>
        <v/>
      </c>
      <c r="L31" s="31">
        <f>L10</f>
        <v/>
      </c>
    </row>
    <row r="32" ht="14.25" customHeight="1" s="1">
      <c r="A32" s="28" t="inlineStr">
        <is>
          <t>Precio unitario de venta ($/Lb)</t>
        </is>
      </c>
      <c r="B32" s="29" t="n"/>
      <c r="C32" s="32">
        <f>C12</f>
        <v/>
      </c>
      <c r="D32" s="32">
        <f>D12</f>
        <v/>
      </c>
      <c r="E32" s="32">
        <f>E12</f>
        <v/>
      </c>
      <c r="F32" s="32">
        <f>F12</f>
        <v/>
      </c>
      <c r="G32" s="32">
        <f>G12</f>
        <v/>
      </c>
      <c r="H32" s="32">
        <f>H12</f>
        <v/>
      </c>
      <c r="I32" s="32">
        <f>I12</f>
        <v/>
      </c>
      <c r="J32" s="32">
        <f>J12</f>
        <v/>
      </c>
      <c r="K32" s="32">
        <f>K12</f>
        <v/>
      </c>
      <c r="L32" s="33">
        <f>L12</f>
        <v/>
      </c>
    </row>
    <row r="33" ht="15.75" customHeight="1" s="1">
      <c r="A33" s="34" t="inlineStr">
        <is>
          <t>Ingresos</t>
        </is>
      </c>
      <c r="B33" s="35" t="n"/>
      <c r="C33" s="36">
        <f>C32*C31</f>
        <v/>
      </c>
      <c r="D33" s="36">
        <f>D32*D31</f>
        <v/>
      </c>
      <c r="E33" s="36">
        <f>E32*E31</f>
        <v/>
      </c>
      <c r="F33" s="36">
        <f>F32*F31</f>
        <v/>
      </c>
      <c r="G33" s="36">
        <f>G32*G31</f>
        <v/>
      </c>
      <c r="H33" s="36">
        <f>H32*H31</f>
        <v/>
      </c>
      <c r="I33" s="36">
        <f>I32*I31</f>
        <v/>
      </c>
      <c r="J33" s="36">
        <f>J32*J31</f>
        <v/>
      </c>
      <c r="K33" s="36">
        <f>K32*K31</f>
        <v/>
      </c>
      <c r="L33" s="37">
        <f>L32*L31</f>
        <v/>
      </c>
    </row>
    <row r="34" ht="14.25" customHeight="1" s="1">
      <c r="B34" s="21" t="n"/>
    </row>
    <row r="35" ht="14.25" customHeight="1" s="1">
      <c r="A35" s="22" t="inlineStr">
        <is>
          <t>2. Costos variables</t>
        </is>
      </c>
      <c r="B35" s="24" t="n"/>
    </row>
    <row r="36" ht="15.75" customHeight="1" s="1">
      <c r="A36" s="23" t="inlineStr">
        <is>
          <t>Calendario de costos variables</t>
        </is>
      </c>
      <c r="B36" s="24" t="n"/>
    </row>
    <row r="37" ht="14.25" customHeight="1" s="1">
      <c r="A37" s="161" t="inlineStr">
        <is>
          <t>Concepto</t>
        </is>
      </c>
      <c r="B37" s="26" t="inlineStr">
        <is>
          <t>Año 0</t>
        </is>
      </c>
      <c r="C37" s="26" t="inlineStr">
        <is>
          <t>Año 1</t>
        </is>
      </c>
      <c r="D37" s="26" t="inlineStr">
        <is>
          <t>Año 2</t>
        </is>
      </c>
      <c r="E37" s="26" t="inlineStr">
        <is>
          <t>Año 3</t>
        </is>
      </c>
      <c r="F37" s="26" t="inlineStr">
        <is>
          <t>Año 4</t>
        </is>
      </c>
      <c r="G37" s="26" t="inlineStr">
        <is>
          <t>Año 5</t>
        </is>
      </c>
      <c r="H37" s="26" t="inlineStr">
        <is>
          <t>Año 6</t>
        </is>
      </c>
      <c r="I37" s="26" t="inlineStr">
        <is>
          <t>Año 7</t>
        </is>
      </c>
      <c r="J37" s="26" t="inlineStr">
        <is>
          <t>Año 8</t>
        </is>
      </c>
      <c r="K37" s="26" t="inlineStr">
        <is>
          <t>Año 9</t>
        </is>
      </c>
      <c r="L37" s="27" t="inlineStr">
        <is>
          <t>Año 10</t>
        </is>
      </c>
    </row>
    <row r="38" ht="14.25" customHeight="1" s="1">
      <c r="A38" s="28" t="inlineStr">
        <is>
          <t>Costos variables</t>
        </is>
      </c>
      <c r="B38" s="29" t="n"/>
      <c r="C38" s="38">
        <f>C15</f>
        <v/>
      </c>
      <c r="D38" s="38">
        <f>D15</f>
        <v/>
      </c>
      <c r="E38" s="38">
        <f>E15</f>
        <v/>
      </c>
      <c r="F38" s="38">
        <f>F15</f>
        <v/>
      </c>
      <c r="G38" s="38">
        <f>G15</f>
        <v/>
      </c>
      <c r="H38" s="38">
        <f>H15</f>
        <v/>
      </c>
      <c r="I38" s="38">
        <f>I15</f>
        <v/>
      </c>
      <c r="J38" s="38">
        <f>J15</f>
        <v/>
      </c>
      <c r="K38" s="38">
        <f>K15</f>
        <v/>
      </c>
      <c r="L38" s="39">
        <f>L15</f>
        <v/>
      </c>
    </row>
    <row r="39" ht="15.75" customHeight="1" s="1">
      <c r="A39" s="40" t="inlineStr">
        <is>
          <t>Total de costos variables</t>
        </is>
      </c>
      <c r="B39" s="41" t="n"/>
      <c r="C39" s="36">
        <f>C38</f>
        <v/>
      </c>
      <c r="D39" s="36">
        <f>D38</f>
        <v/>
      </c>
      <c r="E39" s="36">
        <f>E38</f>
        <v/>
      </c>
      <c r="F39" s="36">
        <f>F38</f>
        <v/>
      </c>
      <c r="G39" s="36">
        <f>G38</f>
        <v/>
      </c>
      <c r="H39" s="36">
        <f>H38</f>
        <v/>
      </c>
      <c r="I39" s="36">
        <f>I38</f>
        <v/>
      </c>
      <c r="J39" s="36">
        <f>J38</f>
        <v/>
      </c>
      <c r="K39" s="36">
        <f>K38</f>
        <v/>
      </c>
      <c r="L39" s="37">
        <f>L38</f>
        <v/>
      </c>
    </row>
    <row r="40" ht="14.25" customHeight="1" s="1">
      <c r="B40" s="21" t="n"/>
    </row>
    <row r="41" ht="14.25" customHeight="1" s="1">
      <c r="A41" s="22" t="inlineStr">
        <is>
          <t xml:space="preserve">3. Costos  fijos </t>
        </is>
      </c>
      <c r="B41" s="24" t="n"/>
    </row>
    <row r="42" ht="15.75" customHeight="1" s="1">
      <c r="A42" s="23" t="inlineStr">
        <is>
          <t>Calendario de los costos fijos</t>
        </is>
      </c>
      <c r="B42" s="24" t="n"/>
    </row>
    <row r="43" ht="14.25" customHeight="1" s="1">
      <c r="A43" s="161" t="inlineStr">
        <is>
          <t>Concepto</t>
        </is>
      </c>
      <c r="B43" s="26" t="inlineStr">
        <is>
          <t>Año 0</t>
        </is>
      </c>
      <c r="C43" s="26" t="inlineStr">
        <is>
          <t>Año 1</t>
        </is>
      </c>
      <c r="D43" s="26" t="inlineStr">
        <is>
          <t>Año 2</t>
        </is>
      </c>
      <c r="E43" s="26" t="inlineStr">
        <is>
          <t>Año 3</t>
        </is>
      </c>
      <c r="F43" s="26" t="inlineStr">
        <is>
          <t>Año 4</t>
        </is>
      </c>
      <c r="G43" s="26" t="inlineStr">
        <is>
          <t>Año 5</t>
        </is>
      </c>
      <c r="H43" s="26" t="inlineStr">
        <is>
          <t>Año 6</t>
        </is>
      </c>
      <c r="I43" s="26" t="inlineStr">
        <is>
          <t>Año 7</t>
        </is>
      </c>
      <c r="J43" s="26" t="inlineStr">
        <is>
          <t>Año 8</t>
        </is>
      </c>
      <c r="K43" s="26" t="inlineStr">
        <is>
          <t>Año 9</t>
        </is>
      </c>
      <c r="L43" s="27" t="inlineStr">
        <is>
          <t>Año 10</t>
        </is>
      </c>
    </row>
    <row r="44" ht="14.25" customHeight="1" s="1">
      <c r="A44" s="28" t="inlineStr">
        <is>
          <t>Costos fijos de producción</t>
        </is>
      </c>
      <c r="B44" s="29" t="n"/>
      <c r="C44" s="38">
        <f>C16</f>
        <v/>
      </c>
      <c r="D44" s="38">
        <f>D16</f>
        <v/>
      </c>
      <c r="E44" s="38">
        <f>E16</f>
        <v/>
      </c>
      <c r="F44" s="38">
        <f>F16</f>
        <v/>
      </c>
      <c r="G44" s="38">
        <f>G16</f>
        <v/>
      </c>
      <c r="H44" s="38">
        <f>H16</f>
        <v/>
      </c>
      <c r="I44" s="38">
        <f>I16</f>
        <v/>
      </c>
      <c r="J44" s="38">
        <f>J16</f>
        <v/>
      </c>
      <c r="K44" s="38">
        <f>K16</f>
        <v/>
      </c>
      <c r="L44" s="39">
        <f>L16</f>
        <v/>
      </c>
    </row>
    <row r="45" ht="14.25" customHeight="1" s="1">
      <c r="A45" s="28" t="inlineStr">
        <is>
          <t>Gastos administrativos</t>
        </is>
      </c>
      <c r="B45" s="29" t="n"/>
      <c r="C45" s="38">
        <f>C17</f>
        <v/>
      </c>
      <c r="D45" s="38">
        <f>D17</f>
        <v/>
      </c>
      <c r="E45" s="38">
        <f>E17</f>
        <v/>
      </c>
      <c r="F45" s="38">
        <f>F17</f>
        <v/>
      </c>
      <c r="G45" s="38">
        <f>G17</f>
        <v/>
      </c>
      <c r="H45" s="38">
        <f>H17</f>
        <v/>
      </c>
      <c r="I45" s="38">
        <f>I17</f>
        <v/>
      </c>
      <c r="J45" s="38">
        <f>J17</f>
        <v/>
      </c>
      <c r="K45" s="38">
        <f>K17</f>
        <v/>
      </c>
      <c r="L45" s="39">
        <f>L17</f>
        <v/>
      </c>
    </row>
    <row r="46" ht="15.75" customHeight="1" s="1">
      <c r="A46" s="40" t="inlineStr">
        <is>
          <t>Total de costos fijos</t>
        </is>
      </c>
      <c r="B46" s="41" t="n"/>
      <c r="C46" s="36">
        <f>SUM(C44:C45)</f>
        <v/>
      </c>
      <c r="D46" s="36">
        <f>SUM(D44:D45)</f>
        <v/>
      </c>
      <c r="E46" s="36">
        <f>SUM(E44:E45)</f>
        <v/>
      </c>
      <c r="F46" s="36">
        <f>SUM(F44:F45)</f>
        <v/>
      </c>
      <c r="G46" s="36">
        <f>SUM(G44:G45)</f>
        <v/>
      </c>
      <c r="H46" s="36">
        <f>SUM(H44:H45)</f>
        <v/>
      </c>
      <c r="I46" s="36">
        <f>SUM(I44:I45)</f>
        <v/>
      </c>
      <c r="J46" s="36">
        <f>SUM(J44:J45)</f>
        <v/>
      </c>
      <c r="K46" s="36">
        <f>SUM(K44:K45)</f>
        <v/>
      </c>
      <c r="L46" s="37">
        <f>SUM(L44:L45)</f>
        <v/>
      </c>
    </row>
    <row r="47" ht="14.25" customHeight="1" s="1">
      <c r="B47" s="21" t="n"/>
    </row>
    <row r="48" ht="14.25" customHeight="1" s="1">
      <c r="A48" s="22" t="inlineStr">
        <is>
          <t>4. Capital de trabajo</t>
        </is>
      </c>
      <c r="B48" s="42" t="n"/>
      <c r="C48" s="43" t="n"/>
      <c r="D48" s="43" t="n"/>
      <c r="E48" s="43" t="n"/>
      <c r="F48" s="43" t="n"/>
      <c r="G48" s="43" t="n"/>
      <c r="H48" s="43" t="n"/>
    </row>
    <row r="49" ht="14.25" customHeight="1" s="1">
      <c r="A49" s="44" t="inlineStr">
        <is>
          <t>Capital de trabajo</t>
        </is>
      </c>
      <c r="B49" s="42" t="n"/>
      <c r="C49" s="43" t="n"/>
      <c r="D49" s="43" t="n"/>
      <c r="E49" s="43" t="n"/>
      <c r="F49" s="43" t="n"/>
      <c r="G49" s="43" t="n"/>
      <c r="H49" s="43" t="n"/>
    </row>
    <row r="50" ht="15.75" customHeight="1" s="1">
      <c r="A50" s="160" t="inlineStr">
        <is>
          <t>Necesidad de Efectivo</t>
        </is>
      </c>
    </row>
    <row r="51" ht="14.25" customHeight="1" s="1">
      <c r="A51" s="161" t="inlineStr">
        <is>
          <t>Concepto</t>
        </is>
      </c>
      <c r="B51" s="26" t="inlineStr">
        <is>
          <t>Año 0</t>
        </is>
      </c>
      <c r="C51" s="26" t="inlineStr">
        <is>
          <t>Año 1</t>
        </is>
      </c>
      <c r="D51" s="26" t="inlineStr">
        <is>
          <t>Año 2</t>
        </is>
      </c>
      <c r="E51" s="26" t="inlineStr">
        <is>
          <t>Año 3</t>
        </is>
      </c>
      <c r="F51" s="26" t="inlineStr">
        <is>
          <t>Año 4</t>
        </is>
      </c>
      <c r="G51" s="26" t="inlineStr">
        <is>
          <t>Año 5</t>
        </is>
      </c>
      <c r="H51" s="26" t="inlineStr">
        <is>
          <t>Año 6</t>
        </is>
      </c>
      <c r="I51" s="26" t="inlineStr">
        <is>
          <t>Año 7</t>
        </is>
      </c>
      <c r="J51" s="26" t="inlineStr">
        <is>
          <t>Año 8</t>
        </is>
      </c>
      <c r="K51" s="26" t="inlineStr">
        <is>
          <t>Año 9</t>
        </is>
      </c>
      <c r="L51" s="27" t="inlineStr">
        <is>
          <t>Año 10</t>
        </is>
      </c>
    </row>
    <row r="52" ht="14.25" customHeight="1" s="1">
      <c r="A52" s="28" t="inlineStr">
        <is>
          <t>Capital de trabajo</t>
        </is>
      </c>
      <c r="B52" s="45" t="n"/>
      <c r="C52" s="38">
        <f>C13+B52</f>
        <v/>
      </c>
      <c r="D52" s="38">
        <f>D13+C52</f>
        <v/>
      </c>
      <c r="E52" s="38">
        <f>E13+D52</f>
        <v/>
      </c>
      <c r="F52" s="38">
        <f>F13+E52</f>
        <v/>
      </c>
      <c r="G52" s="38">
        <f>G13+F52</f>
        <v/>
      </c>
      <c r="H52" s="38">
        <f>H13+G52</f>
        <v/>
      </c>
      <c r="I52" s="38">
        <f>I13+H52</f>
        <v/>
      </c>
      <c r="J52" s="38">
        <f>J13+I52</f>
        <v/>
      </c>
      <c r="K52" s="38">
        <f>K13+J52</f>
        <v/>
      </c>
      <c r="L52" s="38">
        <f>L13+K52</f>
        <v/>
      </c>
    </row>
    <row r="53" ht="15.75" customHeight="1" s="1">
      <c r="A53" s="34" t="inlineStr">
        <is>
          <t>Efectivo requerido en caja</t>
        </is>
      </c>
      <c r="B53" s="46" t="n"/>
      <c r="C53" s="36">
        <f>SUM(C52:C52)</f>
        <v/>
      </c>
      <c r="D53" s="36">
        <f>SUM(D52:D52)</f>
        <v/>
      </c>
      <c r="E53" s="36">
        <f>SUM(E52:E52)</f>
        <v/>
      </c>
      <c r="F53" s="36">
        <f>SUM(F52:F52)</f>
        <v/>
      </c>
      <c r="G53" s="36">
        <f>SUM(G52:G52)</f>
        <v/>
      </c>
      <c r="H53" s="36">
        <f>SUM(H52:H52)</f>
        <v/>
      </c>
      <c r="I53" s="36">
        <f>SUM(I52:I52)</f>
        <v/>
      </c>
      <c r="J53" s="36">
        <f>SUM(J52:J52)</f>
        <v/>
      </c>
      <c r="K53" s="36">
        <f>SUM(K52:K52)</f>
        <v/>
      </c>
      <c r="L53" s="37">
        <f>SUM(L52:L52)</f>
        <v/>
      </c>
    </row>
    <row r="54" ht="14.25" customHeight="1" s="1">
      <c r="A54" s="43" t="n"/>
      <c r="B54" s="42" t="n"/>
      <c r="C54" s="43" t="n"/>
      <c r="D54" s="43" t="n"/>
      <c r="E54" s="43" t="n"/>
      <c r="F54" s="43" t="n"/>
      <c r="G54" s="43" t="n"/>
      <c r="H54" s="43" t="n"/>
    </row>
    <row r="55" ht="15.75" customHeight="1" s="1">
      <c r="A55" s="160" t="inlineStr">
        <is>
          <t>Cálculo del Capital de Trabajo</t>
        </is>
      </c>
    </row>
    <row r="56" ht="14.25" customHeight="1" s="1">
      <c r="A56" s="161" t="inlineStr">
        <is>
          <t>Concepto</t>
        </is>
      </c>
      <c r="B56" s="26" t="inlineStr">
        <is>
          <t>Cobertura</t>
        </is>
      </c>
      <c r="C56" s="26" t="inlineStr">
        <is>
          <t>Año 1</t>
        </is>
      </c>
      <c r="D56" s="26" t="inlineStr">
        <is>
          <t>Año 2</t>
        </is>
      </c>
      <c r="E56" s="26" t="inlineStr">
        <is>
          <t>Año 3</t>
        </is>
      </c>
      <c r="F56" s="26" t="inlineStr">
        <is>
          <t>Año 4</t>
        </is>
      </c>
      <c r="G56" s="26" t="inlineStr">
        <is>
          <t>Año 5</t>
        </is>
      </c>
      <c r="H56" s="26" t="inlineStr">
        <is>
          <t>Año 6</t>
        </is>
      </c>
      <c r="I56" s="26" t="inlineStr">
        <is>
          <t>Año 7</t>
        </is>
      </c>
      <c r="J56" s="26" t="inlineStr">
        <is>
          <t>Año 8</t>
        </is>
      </c>
      <c r="K56" s="26" t="inlineStr">
        <is>
          <t>Año 9</t>
        </is>
      </c>
      <c r="L56" s="27" t="inlineStr">
        <is>
          <t>Año 10</t>
        </is>
      </c>
    </row>
    <row r="57" ht="14.25" customHeight="1" s="1">
      <c r="A57" s="47" t="inlineStr">
        <is>
          <t>Activo circulante</t>
        </is>
      </c>
      <c r="B57" s="48" t="n"/>
      <c r="C57" s="49">
        <f>C58</f>
        <v/>
      </c>
      <c r="D57" s="49">
        <f>D58</f>
        <v/>
      </c>
      <c r="E57" s="49">
        <f>E58</f>
        <v/>
      </c>
      <c r="F57" s="49">
        <f>F58</f>
        <v/>
      </c>
      <c r="G57" s="49">
        <f>G58</f>
        <v/>
      </c>
      <c r="H57" s="49">
        <f>H58</f>
        <v/>
      </c>
      <c r="I57" s="49">
        <f>I58</f>
        <v/>
      </c>
      <c r="J57" s="49">
        <f>J58</f>
        <v/>
      </c>
      <c r="K57" s="49">
        <f>K58</f>
        <v/>
      </c>
      <c r="L57" s="50">
        <f>L58</f>
        <v/>
      </c>
    </row>
    <row r="58" ht="14.25" customHeight="1" s="1">
      <c r="A58" s="28" t="inlineStr">
        <is>
          <t xml:space="preserve">     Efectivo </t>
        </is>
      </c>
      <c r="B58" s="45" t="n"/>
      <c r="C58" s="38">
        <f>C53</f>
        <v/>
      </c>
      <c r="D58" s="38">
        <f>D53</f>
        <v/>
      </c>
      <c r="E58" s="38">
        <f>E53</f>
        <v/>
      </c>
      <c r="F58" s="38">
        <f>F53</f>
        <v/>
      </c>
      <c r="G58" s="38">
        <f>G53</f>
        <v/>
      </c>
      <c r="H58" s="38">
        <f>H53</f>
        <v/>
      </c>
      <c r="I58" s="38">
        <f>I53</f>
        <v/>
      </c>
      <c r="J58" s="38">
        <f>J53</f>
        <v/>
      </c>
      <c r="K58" s="38">
        <f>K53</f>
        <v/>
      </c>
      <c r="L58" s="39">
        <f>L53</f>
        <v/>
      </c>
    </row>
    <row r="59" ht="14.25" customHeight="1" s="1">
      <c r="A59" s="47" t="inlineStr">
        <is>
          <t>Pasivo circulante</t>
        </is>
      </c>
      <c r="B59" s="48" t="n"/>
      <c r="C59" s="49">
        <f>SUM(C60:C61)</f>
        <v/>
      </c>
      <c r="D59" s="49">
        <f>SUM(D60:D61)</f>
        <v/>
      </c>
      <c r="E59" s="49">
        <f>SUM(E60:E61)</f>
        <v/>
      </c>
      <c r="F59" s="49">
        <f>SUM(F60:F61)</f>
        <v/>
      </c>
      <c r="G59" s="49">
        <f>SUM(G60:G61)</f>
        <v/>
      </c>
      <c r="H59" s="49">
        <f>SUM(H60:H61)</f>
        <v/>
      </c>
      <c r="I59" s="49">
        <f>SUM(I60:I61)</f>
        <v/>
      </c>
      <c r="J59" s="49">
        <f>SUM(J60:J61)</f>
        <v/>
      </c>
      <c r="K59" s="49">
        <f>SUM(K60:K61)</f>
        <v/>
      </c>
      <c r="L59" s="50">
        <f>SUM(L60:L61)</f>
        <v/>
      </c>
    </row>
    <row r="60" ht="14.25" customHeight="1" s="1">
      <c r="A60" s="28" t="inlineStr">
        <is>
          <t xml:space="preserve">     Cuentas por pagar</t>
        </is>
      </c>
      <c r="B60" s="45" t="n"/>
      <c r="C60" s="38" t="n">
        <v>0</v>
      </c>
      <c r="D60" s="38" t="n">
        <v>0</v>
      </c>
      <c r="E60" s="38" t="n">
        <v>0</v>
      </c>
      <c r="F60" s="38" t="n">
        <v>0</v>
      </c>
      <c r="G60" s="38" t="n">
        <v>0</v>
      </c>
      <c r="H60" s="38" t="n">
        <v>0</v>
      </c>
      <c r="I60" s="38" t="n">
        <v>0</v>
      </c>
      <c r="J60" s="38" t="n">
        <v>0</v>
      </c>
      <c r="K60" s="38" t="n">
        <v>0</v>
      </c>
      <c r="L60" s="39" t="n">
        <v>0</v>
      </c>
    </row>
    <row r="61" ht="14.25" customHeight="1" s="1">
      <c r="A61" s="28" t="inlineStr">
        <is>
          <t xml:space="preserve">     Proveedores</t>
        </is>
      </c>
      <c r="B61" s="45" t="n"/>
      <c r="C61" s="38" t="n">
        <v>0</v>
      </c>
      <c r="D61" s="38" t="n">
        <v>0</v>
      </c>
      <c r="E61" s="38" t="n">
        <v>0</v>
      </c>
      <c r="F61" s="38" t="n">
        <v>0</v>
      </c>
      <c r="G61" s="38" t="n">
        <v>0</v>
      </c>
      <c r="H61" s="38" t="n">
        <v>0</v>
      </c>
      <c r="I61" s="38" t="n">
        <v>0</v>
      </c>
      <c r="J61" s="38" t="n">
        <v>0</v>
      </c>
      <c r="K61" s="38" t="n">
        <v>0</v>
      </c>
      <c r="L61" s="39" t="n">
        <v>0</v>
      </c>
    </row>
    <row r="62" ht="14.25" customHeight="1" s="1">
      <c r="A62" s="51" t="inlineStr">
        <is>
          <t>Capital de Trabajo (Ac - Pc)</t>
        </is>
      </c>
      <c r="B62" s="52" t="n"/>
      <c r="C62" s="53">
        <f>C57-C59</f>
        <v/>
      </c>
      <c r="D62" s="53">
        <f>D57-D59</f>
        <v/>
      </c>
      <c r="E62" s="53">
        <f>E57-E59</f>
        <v/>
      </c>
      <c r="F62" s="53">
        <f>F57-F59</f>
        <v/>
      </c>
      <c r="G62" s="53">
        <f>G57-G59</f>
        <v/>
      </c>
      <c r="H62" s="53">
        <f>H57-H59</f>
        <v/>
      </c>
      <c r="I62" s="53">
        <f>I57-I59</f>
        <v/>
      </c>
      <c r="J62" s="53">
        <f>J57-J59</f>
        <v/>
      </c>
      <c r="K62" s="53">
        <f>K57-K59</f>
        <v/>
      </c>
      <c r="L62" s="54">
        <f>L57-L59</f>
        <v/>
      </c>
    </row>
    <row r="63" ht="15.75" customHeight="1" s="1">
      <c r="A63" s="34" t="inlineStr">
        <is>
          <t>Incremento Capital Trabajo</t>
        </is>
      </c>
      <c r="B63" s="36">
        <f>C62-B62</f>
        <v/>
      </c>
      <c r="C63" s="36">
        <f>D62-C62</f>
        <v/>
      </c>
      <c r="D63" s="36">
        <f>E62-D62</f>
        <v/>
      </c>
      <c r="E63" s="36">
        <f>F62-E62</f>
        <v/>
      </c>
      <c r="F63" s="36">
        <f>G62-F62</f>
        <v/>
      </c>
      <c r="G63" s="36">
        <f>H62-G62</f>
        <v/>
      </c>
      <c r="H63" s="36">
        <f>I62-H62</f>
        <v/>
      </c>
      <c r="I63" s="36">
        <f>J62-I62</f>
        <v/>
      </c>
      <c r="J63" s="36">
        <f>K62-J62</f>
        <v/>
      </c>
      <c r="K63" s="36">
        <f>L62-K62</f>
        <v/>
      </c>
      <c r="L63" s="37">
        <f>M62-L62</f>
        <v/>
      </c>
    </row>
    <row r="64" ht="14.25" customHeight="1" s="1">
      <c r="B64" s="24" t="n"/>
    </row>
    <row r="65" ht="14.25" customHeight="1" s="1">
      <c r="A65" s="22" t="inlineStr">
        <is>
          <t>5. Inversiones</t>
        </is>
      </c>
      <c r="B65" s="24" t="n"/>
    </row>
    <row r="66" ht="15.75" customHeight="1" s="1">
      <c r="A66" s="23" t="inlineStr">
        <is>
          <t>Calendario de inversiones</t>
        </is>
      </c>
      <c r="B66" s="24" t="n"/>
    </row>
    <row r="67" ht="14.25" customHeight="1" s="1">
      <c r="A67" s="161" t="inlineStr">
        <is>
          <t>Concepto</t>
        </is>
      </c>
      <c r="B67" s="26" t="inlineStr">
        <is>
          <t>Año 0</t>
        </is>
      </c>
      <c r="C67" s="26" t="inlineStr">
        <is>
          <t>Año 1</t>
        </is>
      </c>
      <c r="D67" s="26" t="inlineStr">
        <is>
          <t>Año 2</t>
        </is>
      </c>
      <c r="E67" s="26" t="inlineStr">
        <is>
          <t>Año 3</t>
        </is>
      </c>
      <c r="F67" s="26" t="inlineStr">
        <is>
          <t>Año 4</t>
        </is>
      </c>
      <c r="G67" s="26" t="inlineStr">
        <is>
          <t>Año 5</t>
        </is>
      </c>
      <c r="H67" s="26" t="inlineStr">
        <is>
          <t>Año 6</t>
        </is>
      </c>
      <c r="I67" s="26" t="inlineStr">
        <is>
          <t>Año 7</t>
        </is>
      </c>
      <c r="J67" s="26" t="inlineStr">
        <is>
          <t>Año 8</t>
        </is>
      </c>
      <c r="K67" s="26" t="inlineStr">
        <is>
          <t>Año 9</t>
        </is>
      </c>
      <c r="L67" s="27" t="inlineStr">
        <is>
          <t>Año 10</t>
        </is>
      </c>
    </row>
    <row r="68" ht="14.25" customHeight="1" s="1">
      <c r="A68" s="47" t="inlineStr">
        <is>
          <t>Activos Fijos</t>
        </is>
      </c>
      <c r="B68" s="55" t="n"/>
      <c r="C68" s="55" t="n"/>
      <c r="D68" s="55" t="n"/>
      <c r="E68" s="55" t="n"/>
      <c r="F68" s="55" t="n"/>
      <c r="G68" s="55" t="n"/>
      <c r="H68" s="55" t="n"/>
      <c r="I68" s="55" t="n"/>
      <c r="J68" s="55" t="n"/>
      <c r="K68" s="55" t="n"/>
      <c r="L68" s="56" t="n"/>
    </row>
    <row r="69" ht="14.25" customHeight="1" s="1">
      <c r="A69" s="28" t="inlineStr">
        <is>
          <t xml:space="preserve">   Inversiones a 20 años</t>
        </is>
      </c>
      <c r="B69" s="57" t="n">
        <v>100000</v>
      </c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6" t="n"/>
    </row>
    <row r="70" ht="14.25" customHeight="1" s="1">
      <c r="A70" s="28" t="inlineStr">
        <is>
          <t xml:space="preserve">  Inversiones a 10 años</t>
        </is>
      </c>
      <c r="B70" s="57">
        <f>3000000+200000+450000+50000</f>
        <v/>
      </c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6" t="n"/>
    </row>
    <row r="71" ht="14.25" customHeight="1" s="1">
      <c r="A71" s="28" t="inlineStr">
        <is>
          <t xml:space="preserve">  Inversiones a 5 años</t>
        </is>
      </c>
      <c r="B71" s="57">
        <f>300000+100000</f>
        <v/>
      </c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6" t="n"/>
    </row>
    <row r="72" ht="14.25" customHeight="1" s="1">
      <c r="A72" s="28" t="inlineStr">
        <is>
          <t xml:space="preserve">  Inversion terrenos</t>
        </is>
      </c>
      <c r="B72" s="57" t="n">
        <v>750000</v>
      </c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6" t="n"/>
    </row>
    <row r="73" ht="14.25" customHeight="1" s="1">
      <c r="A73" s="47" t="inlineStr">
        <is>
          <t>Gastos Pre-operativos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6" t="n"/>
    </row>
    <row r="74" ht="14.25" customHeight="1" s="1">
      <c r="A74" s="28" t="inlineStr">
        <is>
          <t xml:space="preserve">  Gastos puesta en marcha</t>
        </is>
      </c>
      <c r="B74" s="57" t="n">
        <v>0</v>
      </c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6" t="n"/>
    </row>
    <row r="75" ht="14.25" customHeight="1" s="1">
      <c r="A75" s="47" t="inlineStr">
        <is>
          <t>Capital de trabajo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6" t="n"/>
    </row>
    <row r="76" ht="14.25" customHeight="1" s="1">
      <c r="A76" s="28" t="inlineStr">
        <is>
          <t xml:space="preserve">   Capital de trabajo</t>
        </is>
      </c>
      <c r="B76" s="57">
        <f>B63</f>
        <v/>
      </c>
      <c r="C76" s="57">
        <f>C63</f>
        <v/>
      </c>
      <c r="D76" s="57">
        <f>D63</f>
        <v/>
      </c>
      <c r="E76" s="57">
        <f>E63</f>
        <v/>
      </c>
      <c r="F76" s="57">
        <f>F63</f>
        <v/>
      </c>
      <c r="G76" s="57">
        <f>G63</f>
        <v/>
      </c>
      <c r="H76" s="57">
        <f>H63</f>
        <v/>
      </c>
      <c r="I76" s="57">
        <f>I63</f>
        <v/>
      </c>
      <c r="J76" s="57">
        <f>J63</f>
        <v/>
      </c>
      <c r="K76" s="57">
        <f>K63</f>
        <v/>
      </c>
      <c r="L76" s="58">
        <f>L63</f>
        <v/>
      </c>
    </row>
    <row r="77" ht="15.75" customHeight="1" s="1">
      <c r="A77" s="40" t="inlineStr">
        <is>
          <t>Total Inversiones</t>
        </is>
      </c>
      <c r="B77" s="59">
        <f>SUM(B68:B76)</f>
        <v/>
      </c>
      <c r="C77" s="59">
        <f>SUM(C68:C76)</f>
        <v/>
      </c>
      <c r="D77" s="59">
        <f>SUM(D68:D76)</f>
        <v/>
      </c>
      <c r="E77" s="59">
        <f>SUM(E68:E76)</f>
        <v/>
      </c>
      <c r="F77" s="59">
        <f>SUM(F68:F76)</f>
        <v/>
      </c>
      <c r="G77" s="59">
        <f>SUM(G68:G76)</f>
        <v/>
      </c>
      <c r="H77" s="59">
        <f>SUM(H68:H76)</f>
        <v/>
      </c>
      <c r="I77" s="59">
        <f>SUM(I68:I76)</f>
        <v/>
      </c>
      <c r="J77" s="59">
        <f>SUM(J68:J76)</f>
        <v/>
      </c>
      <c r="K77" s="59">
        <f>SUM(K68:K76)</f>
        <v/>
      </c>
      <c r="L77" s="60">
        <f>SUM(L68:L76)</f>
        <v/>
      </c>
    </row>
    <row r="78" ht="14.25" customHeight="1" s="1">
      <c r="B78" s="21" t="n"/>
    </row>
    <row r="79" ht="14.25" customHeight="1" s="1">
      <c r="A79" s="22" t="inlineStr">
        <is>
          <t>6.  Depreciaciones y Amortizaciones</t>
        </is>
      </c>
      <c r="B79" s="24" t="n"/>
    </row>
    <row r="80" ht="15.75" customHeight="1" s="1">
      <c r="A80" s="23" t="inlineStr">
        <is>
          <t>Calendario de Depreciaciones y Amortizaciones</t>
        </is>
      </c>
      <c r="B80" s="24" t="n"/>
    </row>
    <row r="81" ht="14.25" customHeight="1" s="1">
      <c r="A81" s="161" t="inlineStr">
        <is>
          <t>Concepto</t>
        </is>
      </c>
      <c r="B81" s="26" t="inlineStr">
        <is>
          <t>Año 0</t>
        </is>
      </c>
      <c r="C81" s="26" t="inlineStr">
        <is>
          <t>Año 1</t>
        </is>
      </c>
      <c r="D81" s="26" t="inlineStr">
        <is>
          <t>Año 2</t>
        </is>
      </c>
      <c r="E81" s="26" t="inlineStr">
        <is>
          <t>Año 3</t>
        </is>
      </c>
      <c r="F81" s="26" t="inlineStr">
        <is>
          <t>Año 4</t>
        </is>
      </c>
      <c r="G81" s="26" t="inlineStr">
        <is>
          <t>Año 5</t>
        </is>
      </c>
      <c r="H81" s="26" t="inlineStr">
        <is>
          <t>Año 6</t>
        </is>
      </c>
      <c r="I81" s="26" t="inlineStr">
        <is>
          <t>Año 7</t>
        </is>
      </c>
      <c r="J81" s="26" t="inlineStr">
        <is>
          <t>Año 8</t>
        </is>
      </c>
      <c r="K81" s="26" t="inlineStr">
        <is>
          <t>Año 9</t>
        </is>
      </c>
      <c r="L81" s="27" t="inlineStr">
        <is>
          <t>Año 10</t>
        </is>
      </c>
      <c r="R81" s="61" t="inlineStr">
        <is>
          <t>Inversión</t>
        </is>
      </c>
      <c r="S81" s="62" t="inlineStr">
        <is>
          <t>Valor Activo</t>
        </is>
      </c>
      <c r="T81" s="62" t="inlineStr">
        <is>
          <t>Valor residual</t>
        </is>
      </c>
      <c r="U81" s="62" t="inlineStr">
        <is>
          <t>Vida útil</t>
        </is>
      </c>
      <c r="V81" s="62" t="inlineStr">
        <is>
          <t>Dep. Anual</t>
        </is>
      </c>
    </row>
    <row r="82" ht="14.25" customHeight="1" s="1">
      <c r="A82" s="28" t="inlineStr">
        <is>
          <t>Inversiones a 20 años</t>
        </is>
      </c>
      <c r="B82" s="55" t="n"/>
      <c r="C82" s="57">
        <f>$V$82</f>
        <v/>
      </c>
      <c r="D82" s="57">
        <f>$V$82</f>
        <v/>
      </c>
      <c r="E82" s="57">
        <f>$V$82</f>
        <v/>
      </c>
      <c r="F82" s="57">
        <f>$V$82</f>
        <v/>
      </c>
      <c r="G82" s="57">
        <f>$V$82</f>
        <v/>
      </c>
      <c r="H82" s="57">
        <f>$V$82</f>
        <v/>
      </c>
      <c r="I82" s="57">
        <f>$V$82</f>
        <v/>
      </c>
      <c r="J82" s="57">
        <f>$V$82</f>
        <v/>
      </c>
      <c r="K82" s="57">
        <f>$V$82</f>
        <v/>
      </c>
      <c r="L82" s="57">
        <f>$V$82</f>
        <v/>
      </c>
      <c r="R82" s="63" t="inlineStr">
        <is>
          <t>Edificio</t>
        </is>
      </c>
      <c r="S82" s="15">
        <f>B69</f>
        <v/>
      </c>
      <c r="T82" s="64" t="n">
        <v>50000</v>
      </c>
      <c r="U82" s="65" t="n">
        <v>20</v>
      </c>
      <c r="V82" s="15">
        <f>(S82-T82)/U82</f>
        <v/>
      </c>
    </row>
    <row r="83" ht="14.25" customHeight="1" s="1">
      <c r="A83" s="28" t="inlineStr">
        <is>
          <t>Inversiones a 10 años</t>
        </is>
      </c>
      <c r="B83" s="55" t="n"/>
      <c r="C83" s="57">
        <f>$V$83+$V$84</f>
        <v/>
      </c>
      <c r="D83" s="57">
        <f>$V$83+$V$84</f>
        <v/>
      </c>
      <c r="E83" s="57">
        <f>$V$83+$V$84</f>
        <v/>
      </c>
      <c r="F83" s="57">
        <f>$V$83+$V$84</f>
        <v/>
      </c>
      <c r="G83" s="57">
        <f>$V$83+$V$84</f>
        <v/>
      </c>
      <c r="H83" s="57">
        <f>$V$83+$V$84</f>
        <v/>
      </c>
      <c r="I83" s="57">
        <f>$V$83+$V$84</f>
        <v/>
      </c>
      <c r="J83" s="57">
        <f>$V$83+$V$84</f>
        <v/>
      </c>
      <c r="K83" s="57">
        <f>$V$83+$V$84</f>
        <v/>
      </c>
      <c r="L83" s="57">
        <f>$V$83+$V$84</f>
        <v/>
      </c>
      <c r="R83" s="63" t="inlineStr">
        <is>
          <t>Estanque y canales</t>
        </is>
      </c>
      <c r="S83" s="15" t="n">
        <v>3000000</v>
      </c>
      <c r="T83" s="64" t="n">
        <v>1000000</v>
      </c>
      <c r="U83" s="66" t="n">
        <v>10</v>
      </c>
      <c r="V83" s="15">
        <f>(S83-T83)/U83</f>
        <v/>
      </c>
    </row>
    <row r="84" ht="14.25" customHeight="1" s="1">
      <c r="A84" s="28" t="inlineStr">
        <is>
          <t>Inversiones a 5 años</t>
        </is>
      </c>
      <c r="B84" s="55" t="n"/>
      <c r="C84" s="57">
        <f>$V$85</f>
        <v/>
      </c>
      <c r="D84" s="57">
        <f>$V$85</f>
        <v/>
      </c>
      <c r="E84" s="57">
        <f>$V$85</f>
        <v/>
      </c>
      <c r="F84" s="57">
        <f>$V$85</f>
        <v/>
      </c>
      <c r="G84" s="57">
        <f>$V$85</f>
        <v/>
      </c>
      <c r="H84" s="57" t="n">
        <v>0</v>
      </c>
      <c r="I84" s="57" t="n">
        <v>0</v>
      </c>
      <c r="J84" s="57" t="n">
        <v>0</v>
      </c>
      <c r="K84" s="57" t="n">
        <v>0</v>
      </c>
      <c r="L84" s="57" t="n">
        <v>0</v>
      </c>
      <c r="R84" s="63" t="inlineStr">
        <is>
          <t>Maq &amp; Equipo</t>
        </is>
      </c>
      <c r="S84" s="67">
        <f>B70-S83</f>
        <v/>
      </c>
      <c r="T84" s="63" t="n">
        <v>0</v>
      </c>
      <c r="U84" s="65" t="n">
        <v>10</v>
      </c>
      <c r="V84" s="15">
        <f>(S84-T84)/U84</f>
        <v/>
      </c>
    </row>
    <row r="85" ht="14.25" customHeight="1" s="1">
      <c r="A85" s="68" t="inlineStr">
        <is>
          <t>Total Depreciación</t>
        </is>
      </c>
      <c r="B85" s="69" t="n"/>
      <c r="C85" s="70">
        <f>SUM(C82:C84)</f>
        <v/>
      </c>
      <c r="D85" s="70">
        <f>SUM(D82:D84)</f>
        <v/>
      </c>
      <c r="E85" s="70">
        <f>SUM(E82:E84)</f>
        <v/>
      </c>
      <c r="F85" s="70">
        <f>SUM(F82:F84)</f>
        <v/>
      </c>
      <c r="G85" s="70">
        <f>SUM(G82:G84)</f>
        <v/>
      </c>
      <c r="H85" s="70">
        <f>SUM(H82:H84)</f>
        <v/>
      </c>
      <c r="I85" s="70">
        <f>SUM(I82:I84)</f>
        <v/>
      </c>
      <c r="J85" s="70">
        <f>SUM(J82:J84)</f>
        <v/>
      </c>
      <c r="K85" s="70">
        <f>SUM(K82:K84)</f>
        <v/>
      </c>
      <c r="L85" s="70">
        <f>SUM(L82:L84)</f>
        <v/>
      </c>
      <c r="R85" s="63" t="inlineStr">
        <is>
          <t>Vehículos y embarcaciones</t>
        </is>
      </c>
      <c r="S85" s="15">
        <f>B71</f>
        <v/>
      </c>
      <c r="T85" s="64" t="n">
        <v>0</v>
      </c>
      <c r="U85" s="66" t="n">
        <v>5</v>
      </c>
      <c r="V85" s="15">
        <f>(S85-T85)/U85</f>
        <v/>
      </c>
    </row>
    <row r="86" ht="14.25" customHeight="1" s="1">
      <c r="A86" s="71" t="n"/>
      <c r="B86" s="55" t="n"/>
      <c r="C86" s="55" t="n"/>
      <c r="D86" s="55" t="n"/>
      <c r="E86" s="55" t="n"/>
      <c r="F86" s="55" t="n"/>
      <c r="G86" s="55" t="n"/>
      <c r="H86" s="55" t="n"/>
      <c r="I86" s="55" t="n"/>
      <c r="J86" s="55" t="n"/>
      <c r="K86" s="55" t="n"/>
      <c r="L86" s="56" t="n"/>
      <c r="S86" s="72">
        <f>SUM(S82:S85)</f>
        <v/>
      </c>
    </row>
    <row r="87" ht="14.25" customHeight="1" s="1">
      <c r="A87" s="28" t="inlineStr">
        <is>
          <t>Amortización pre-operativos</t>
        </is>
      </c>
      <c r="B87" s="55" t="n"/>
      <c r="C87" s="57">
        <f>$B$74/10</f>
        <v/>
      </c>
      <c r="D87" s="57">
        <f>$B$74/10</f>
        <v/>
      </c>
      <c r="E87" s="57">
        <f>$B$74/10</f>
        <v/>
      </c>
      <c r="F87" s="57">
        <f>$B$74/10</f>
        <v/>
      </c>
      <c r="G87" s="57">
        <f>$B$74/10</f>
        <v/>
      </c>
      <c r="H87" s="57">
        <f>$B$74/10</f>
        <v/>
      </c>
      <c r="I87" s="57">
        <f>$B$74/10</f>
        <v/>
      </c>
      <c r="J87" s="57">
        <f>$B$74/10</f>
        <v/>
      </c>
      <c r="K87" s="57">
        <f>$B$74/10</f>
        <v/>
      </c>
      <c r="L87" s="73">
        <f>$B$74/10</f>
        <v/>
      </c>
      <c r="O87" s="74" t="n"/>
    </row>
    <row r="88" ht="15.75" customHeight="1" s="1">
      <c r="A88" s="40" t="inlineStr">
        <is>
          <t>Total Amortización</t>
        </is>
      </c>
      <c r="B88" s="75" t="n"/>
      <c r="C88" s="59">
        <f>SUM(C87)</f>
        <v/>
      </c>
      <c r="D88" s="59">
        <f>SUM(D87)</f>
        <v/>
      </c>
      <c r="E88" s="59">
        <f>SUM(E87)</f>
        <v/>
      </c>
      <c r="F88" s="59">
        <f>SUM(F87)</f>
        <v/>
      </c>
      <c r="G88" s="59">
        <f>SUM(G87)</f>
        <v/>
      </c>
      <c r="H88" s="59">
        <f>SUM(H87)</f>
        <v/>
      </c>
      <c r="I88" s="59">
        <f>SUM(I87)</f>
        <v/>
      </c>
      <c r="J88" s="59">
        <f>SUM(J87)</f>
        <v/>
      </c>
      <c r="K88" s="59">
        <f>SUM(K87)</f>
        <v/>
      </c>
      <c r="L88" s="60">
        <f>SUM(L87)</f>
        <v/>
      </c>
      <c r="O88" s="74" t="n"/>
    </row>
    <row r="89" ht="14.25" customHeight="1" s="1">
      <c r="B89" s="21" t="n"/>
    </row>
    <row r="90" ht="14.25" customHeight="1" s="1">
      <c r="A90" s="22" t="inlineStr">
        <is>
          <t>7. Valor de desecho del proyecto</t>
        </is>
      </c>
      <c r="B90" s="24" t="n"/>
    </row>
    <row r="91" ht="15.75" customHeight="1" s="1">
      <c r="A91" s="23" t="inlineStr">
        <is>
          <t>Clalculo del valor de desecho del proyecto (método contable)</t>
        </is>
      </c>
      <c r="B91" s="24" t="n"/>
    </row>
    <row r="92" ht="14.25" customHeight="1" s="1">
      <c r="A92" s="161" t="inlineStr">
        <is>
          <t>Concepto</t>
        </is>
      </c>
      <c r="B92" s="162" t="inlineStr">
        <is>
          <t>Valor del</t>
        </is>
      </c>
      <c r="C92" s="162" t="inlineStr">
        <is>
          <t>Depreciación por periodo</t>
        </is>
      </c>
      <c r="D92" s="170" t="n"/>
      <c r="E92" s="170" t="n"/>
      <c r="F92" s="170" t="n"/>
      <c r="G92" s="170" t="n"/>
      <c r="H92" s="170" t="n"/>
      <c r="I92" s="170" t="n"/>
      <c r="J92" s="170" t="n"/>
      <c r="K92" s="170" t="n"/>
      <c r="L92" s="171" t="n"/>
      <c r="M92" s="77" t="inlineStr">
        <is>
          <t>Valor de</t>
        </is>
      </c>
    </row>
    <row r="93" ht="14.25" customHeight="1" s="1">
      <c r="A93" s="172" t="n"/>
      <c r="B93" s="62" t="inlineStr">
        <is>
          <t>Activo</t>
        </is>
      </c>
      <c r="C93" s="78" t="inlineStr">
        <is>
          <t>Año 1</t>
        </is>
      </c>
      <c r="D93" s="78" t="inlineStr">
        <is>
          <t>Año 2</t>
        </is>
      </c>
      <c r="E93" s="78" t="inlineStr">
        <is>
          <t>Año 3</t>
        </is>
      </c>
      <c r="F93" s="78" t="inlineStr">
        <is>
          <t>Año 4</t>
        </is>
      </c>
      <c r="G93" s="78" t="inlineStr">
        <is>
          <t>Año 5</t>
        </is>
      </c>
      <c r="H93" s="78" t="inlineStr">
        <is>
          <t>Año 6</t>
        </is>
      </c>
      <c r="I93" s="78" t="inlineStr">
        <is>
          <t>Año 7</t>
        </is>
      </c>
      <c r="J93" s="78" t="inlineStr">
        <is>
          <t>Año 8</t>
        </is>
      </c>
      <c r="K93" s="78" t="inlineStr">
        <is>
          <t>Año 9</t>
        </is>
      </c>
      <c r="L93" s="78" t="inlineStr">
        <is>
          <t>Año 10</t>
        </is>
      </c>
      <c r="M93" s="79" t="inlineStr">
        <is>
          <t>Desecho</t>
        </is>
      </c>
    </row>
    <row r="94" ht="14.25" customHeight="1" s="1">
      <c r="A94" s="28" t="inlineStr">
        <is>
          <t>Inversiones a 20 años</t>
        </is>
      </c>
      <c r="B94" s="57">
        <f>B69</f>
        <v/>
      </c>
      <c r="C94" s="57">
        <f>C82</f>
        <v/>
      </c>
      <c r="D94" s="57">
        <f>D82</f>
        <v/>
      </c>
      <c r="E94" s="57">
        <f>E82</f>
        <v/>
      </c>
      <c r="F94" s="57">
        <f>F82</f>
        <v/>
      </c>
      <c r="G94" s="57">
        <f>G82</f>
        <v/>
      </c>
      <c r="H94" s="57">
        <f>H82</f>
        <v/>
      </c>
      <c r="I94" s="57">
        <f>I82</f>
        <v/>
      </c>
      <c r="J94" s="57">
        <f>J82</f>
        <v/>
      </c>
      <c r="K94" s="57">
        <f>K82</f>
        <v/>
      </c>
      <c r="L94" s="57">
        <f>L82</f>
        <v/>
      </c>
      <c r="M94" s="73">
        <f>B94-SUM(C94:L94)</f>
        <v/>
      </c>
    </row>
    <row r="95" ht="14.25" customHeight="1" s="1">
      <c r="A95" s="28" t="inlineStr">
        <is>
          <t>Inversiones a 10 años</t>
        </is>
      </c>
      <c r="B95" s="57">
        <f>B70</f>
        <v/>
      </c>
      <c r="C95" s="57">
        <f>C83</f>
        <v/>
      </c>
      <c r="D95" s="57">
        <f>D83</f>
        <v/>
      </c>
      <c r="E95" s="57">
        <f>E83</f>
        <v/>
      </c>
      <c r="F95" s="57">
        <f>F83</f>
        <v/>
      </c>
      <c r="G95" s="57">
        <f>G83</f>
        <v/>
      </c>
      <c r="H95" s="57">
        <f>H83</f>
        <v/>
      </c>
      <c r="I95" s="57">
        <f>I83</f>
        <v/>
      </c>
      <c r="J95" s="57">
        <f>J83</f>
        <v/>
      </c>
      <c r="K95" s="57">
        <f>K83</f>
        <v/>
      </c>
      <c r="L95" s="57">
        <f>L83</f>
        <v/>
      </c>
      <c r="M95" s="73">
        <f>B95-SUM(C95:L95)</f>
        <v/>
      </c>
    </row>
    <row r="96" ht="14.25" customHeight="1" s="1">
      <c r="A96" s="28" t="inlineStr">
        <is>
          <t>Inversiones a 5 años</t>
        </is>
      </c>
      <c r="B96" s="57">
        <f>B71</f>
        <v/>
      </c>
      <c r="C96" s="57">
        <f>C84</f>
        <v/>
      </c>
      <c r="D96" s="57">
        <f>D84</f>
        <v/>
      </c>
      <c r="E96" s="57">
        <f>E84</f>
        <v/>
      </c>
      <c r="F96" s="57">
        <f>F84</f>
        <v/>
      </c>
      <c r="G96" s="57">
        <f>G84</f>
        <v/>
      </c>
      <c r="H96" s="57">
        <f>H84</f>
        <v/>
      </c>
      <c r="I96" s="57">
        <f>I84</f>
        <v/>
      </c>
      <c r="J96" s="57">
        <f>J84</f>
        <v/>
      </c>
      <c r="K96" s="57">
        <f>K84</f>
        <v/>
      </c>
      <c r="L96" s="57">
        <f>L84</f>
        <v/>
      </c>
      <c r="M96" s="73">
        <f>B96-SUM(C96:L96)</f>
        <v/>
      </c>
    </row>
    <row r="97" ht="15.75" customHeight="1" s="1">
      <c r="A97" s="80" t="inlineStr">
        <is>
          <t>Amortización pre-operativos</t>
        </is>
      </c>
      <c r="B97" s="81">
        <f>B74</f>
        <v/>
      </c>
      <c r="C97" s="81">
        <f>C87</f>
        <v/>
      </c>
      <c r="D97" s="81">
        <f>D87</f>
        <v/>
      </c>
      <c r="E97" s="81">
        <f>E87</f>
        <v/>
      </c>
      <c r="F97" s="81">
        <f>F87</f>
        <v/>
      </c>
      <c r="G97" s="81">
        <f>G87</f>
        <v/>
      </c>
      <c r="H97" s="81">
        <f>H87</f>
        <v/>
      </c>
      <c r="I97" s="81">
        <f>I87</f>
        <v/>
      </c>
      <c r="J97" s="81">
        <f>J87</f>
        <v/>
      </c>
      <c r="K97" s="81">
        <f>K87</f>
        <v/>
      </c>
      <c r="L97" s="81">
        <f>L87</f>
        <v/>
      </c>
      <c r="M97" s="82">
        <f>B97-SUM(C97:L97)</f>
        <v/>
      </c>
    </row>
    <row r="98" ht="15.75" customHeight="1" s="1">
      <c r="A98" s="163" t="inlineStr">
        <is>
          <t>Valor de desecho total</t>
        </is>
      </c>
      <c r="B98" s="173" t="n"/>
      <c r="C98" s="173" t="n"/>
      <c r="D98" s="173" t="n"/>
      <c r="E98" s="173" t="n"/>
      <c r="F98" s="173" t="n"/>
      <c r="G98" s="173" t="n"/>
      <c r="H98" s="173" t="n"/>
      <c r="I98" s="173" t="n"/>
      <c r="J98" s="173" t="n"/>
      <c r="K98" s="173" t="n"/>
      <c r="L98" s="174" t="n"/>
      <c r="M98" s="83">
        <f>SUM(M94:M97)</f>
        <v/>
      </c>
    </row>
    <row r="99" ht="14.25" customHeight="1" s="1">
      <c r="B99" s="21" t="n"/>
    </row>
    <row r="100" ht="14.25" customHeight="1" s="1">
      <c r="A100" s="22" t="inlineStr">
        <is>
          <t>8. Financiamiento</t>
        </is>
      </c>
      <c r="B100" s="24" t="n"/>
    </row>
    <row r="101" ht="15.75" customHeight="1" s="1">
      <c r="A101" s="44" t="inlineStr">
        <is>
          <t>Cálculo del Financiamiento</t>
        </is>
      </c>
      <c r="B101" s="42" t="n"/>
      <c r="C101" s="43" t="n"/>
      <c r="D101" s="43" t="n"/>
      <c r="E101" s="43" t="n"/>
    </row>
    <row r="102" ht="14.25" customHeight="1" s="1">
      <c r="A102" s="84" t="inlineStr">
        <is>
          <t>Financiamiento bancario (valor)</t>
        </is>
      </c>
      <c r="B102" s="85">
        <f>B77*E102</f>
        <v/>
      </c>
      <c r="C102" s="86" t="n"/>
      <c r="D102" s="43" t="n"/>
      <c r="E102" s="87" t="n">
        <v>0</v>
      </c>
    </row>
    <row r="103" ht="14.25" customHeight="1" s="1">
      <c r="A103" s="28" t="inlineStr">
        <is>
          <t>Financiamiento bancario (tasa)</t>
        </is>
      </c>
      <c r="B103" s="88">
        <f>B22</f>
        <v/>
      </c>
      <c r="C103" s="89" t="n"/>
      <c r="D103" s="43" t="n"/>
      <c r="E103" s="43" t="n"/>
    </row>
    <row r="104" ht="14.25" customHeight="1" s="1">
      <c r="A104" s="28" t="inlineStr">
        <is>
          <t>Financiamiento bancario (periodos)</t>
        </is>
      </c>
      <c r="B104" s="90" t="n">
        <v>7</v>
      </c>
      <c r="C104" s="91" t="inlineStr">
        <is>
          <t>años</t>
        </is>
      </c>
      <c r="D104" s="43" t="n"/>
      <c r="E104" s="43" t="n"/>
    </row>
    <row r="105" ht="15.75" customHeight="1" s="1">
      <c r="A105" s="92" t="inlineStr">
        <is>
          <t>Modalidad</t>
        </is>
      </c>
      <c r="B105" s="159" t="inlineStr">
        <is>
          <t>Pagos exactos</t>
        </is>
      </c>
      <c r="C105" s="175" t="n"/>
      <c r="D105" s="43" t="n"/>
      <c r="E105" s="43" t="n"/>
    </row>
    <row r="106" ht="15.75" customHeight="1" s="1">
      <c r="A106" s="43" t="n"/>
      <c r="B106" s="42" t="n"/>
      <c r="C106" s="43" t="n"/>
      <c r="D106" s="43" t="n"/>
      <c r="E106" s="43" t="n"/>
    </row>
    <row r="107" ht="14.25" customHeight="1" s="1">
      <c r="A107" s="161" t="inlineStr">
        <is>
          <t>Concepto</t>
        </is>
      </c>
      <c r="B107" s="26" t="inlineStr">
        <is>
          <t>Año 0</t>
        </is>
      </c>
      <c r="C107" s="26" t="inlineStr">
        <is>
          <t>Año 1</t>
        </is>
      </c>
      <c r="D107" s="26" t="inlineStr">
        <is>
          <t>Año 2</t>
        </is>
      </c>
      <c r="E107" s="26" t="inlineStr">
        <is>
          <t>Año 3</t>
        </is>
      </c>
      <c r="F107" s="26" t="inlineStr">
        <is>
          <t>Año 4</t>
        </is>
      </c>
      <c r="G107" s="26" t="inlineStr">
        <is>
          <t>Año 5</t>
        </is>
      </c>
      <c r="H107" s="26" t="inlineStr">
        <is>
          <t>Año 6</t>
        </is>
      </c>
      <c r="I107" s="26" t="inlineStr">
        <is>
          <t>Año 7</t>
        </is>
      </c>
    </row>
    <row r="108" ht="14.25" customHeight="1" s="1">
      <c r="A108" s="28" t="inlineStr">
        <is>
          <t xml:space="preserve">Saldo crédito </t>
        </is>
      </c>
      <c r="B108" s="57">
        <f>B102</f>
        <v/>
      </c>
      <c r="C108" s="57">
        <f>B108-C111</f>
        <v/>
      </c>
      <c r="D108" s="57">
        <f>C108-D111</f>
        <v/>
      </c>
      <c r="E108" s="57">
        <f>D108-E111</f>
        <v/>
      </c>
      <c r="F108" s="57">
        <f>E108-F111</f>
        <v/>
      </c>
      <c r="G108" s="57">
        <f>F108-G111</f>
        <v/>
      </c>
      <c r="H108" s="57">
        <f>G108-H111</f>
        <v/>
      </c>
      <c r="I108" s="57">
        <f>H108-I111</f>
        <v/>
      </c>
    </row>
    <row r="109" ht="14.25" customHeight="1" s="1">
      <c r="A109" s="28" t="inlineStr">
        <is>
          <t>Cuota mensual (anualidad)</t>
        </is>
      </c>
      <c r="B109" s="55" t="n"/>
      <c r="C109" s="57">
        <f>C110</f>
        <v/>
      </c>
      <c r="D109" s="57">
        <f>D110</f>
        <v/>
      </c>
      <c r="E109" s="57" t="n">
        <v>0</v>
      </c>
      <c r="F109" s="57" t="n">
        <v>0</v>
      </c>
      <c r="G109" s="57" t="n">
        <v>0</v>
      </c>
      <c r="H109" s="57" t="n">
        <v>0</v>
      </c>
      <c r="I109" s="57">
        <f>(H108*B103)+H108</f>
        <v/>
      </c>
    </row>
    <row r="110" ht="14.25" customHeight="1" s="1">
      <c r="A110" s="28" t="inlineStr">
        <is>
          <t>Intereses</t>
        </is>
      </c>
      <c r="B110" s="55" t="n"/>
      <c r="C110" s="57">
        <f>B108*$B$103</f>
        <v/>
      </c>
      <c r="D110" s="57">
        <f>C108*$B$103</f>
        <v/>
      </c>
      <c r="E110" s="57">
        <f>D108*$B$103</f>
        <v/>
      </c>
      <c r="F110" s="57">
        <f>E108*$B$103</f>
        <v/>
      </c>
      <c r="G110" s="57">
        <f>F108*$B$103</f>
        <v/>
      </c>
      <c r="H110" s="57">
        <f>G108*$B$103</f>
        <v/>
      </c>
      <c r="I110" s="57">
        <f>H108*$B$103</f>
        <v/>
      </c>
    </row>
    <row r="111" ht="15.75" customHeight="1" s="1">
      <c r="A111" s="92" t="inlineStr">
        <is>
          <t>Abono a capital (amortización)</t>
        </is>
      </c>
      <c r="B111" s="93" t="n"/>
      <c r="C111" s="81">
        <f>C109-C110</f>
        <v/>
      </c>
      <c r="D111" s="81">
        <f>D109-D110</f>
        <v/>
      </c>
      <c r="E111" s="81">
        <f>E109-E110</f>
        <v/>
      </c>
      <c r="F111" s="81">
        <f>F109-F110</f>
        <v/>
      </c>
      <c r="G111" s="81">
        <f>G109-G110</f>
        <v/>
      </c>
      <c r="H111" s="81">
        <f>H109-H110</f>
        <v/>
      </c>
      <c r="I111" s="81">
        <f>I109-I110</f>
        <v/>
      </c>
    </row>
    <row r="112" ht="14.25" customHeight="1" s="1">
      <c r="B112" s="21" t="n"/>
    </row>
    <row r="113" ht="14.25" customHeight="1" s="1">
      <c r="A113" s="22" t="inlineStr">
        <is>
          <t>9.Flujo de caja del proyecto</t>
        </is>
      </c>
      <c r="B113" s="24" t="n"/>
    </row>
    <row r="114" ht="15.75" customHeight="1" s="1">
      <c r="A114" s="4" t="inlineStr">
        <is>
          <t>Flujo de caja del proyecto (con) Financiamiento)</t>
        </is>
      </c>
      <c r="B114" s="24" t="n"/>
    </row>
    <row r="115" ht="14.25" customHeight="1" s="1">
      <c r="A115" s="161" t="inlineStr">
        <is>
          <t>Concepto</t>
        </is>
      </c>
      <c r="B115" s="26" t="inlineStr">
        <is>
          <t>Año 0</t>
        </is>
      </c>
      <c r="C115" s="26" t="inlineStr">
        <is>
          <t>Año 1</t>
        </is>
      </c>
      <c r="D115" s="26" t="inlineStr">
        <is>
          <t>Año 2</t>
        </is>
      </c>
      <c r="E115" s="26" t="inlineStr">
        <is>
          <t>Año 3</t>
        </is>
      </c>
      <c r="F115" s="26" t="inlineStr">
        <is>
          <t>Año 4</t>
        </is>
      </c>
      <c r="G115" s="26" t="inlineStr">
        <is>
          <t>Año 5</t>
        </is>
      </c>
      <c r="H115" s="26" t="inlineStr">
        <is>
          <t>Año 6</t>
        </is>
      </c>
      <c r="I115" s="26" t="inlineStr">
        <is>
          <t>Año 7</t>
        </is>
      </c>
      <c r="J115" s="26" t="inlineStr">
        <is>
          <t>Año 8</t>
        </is>
      </c>
      <c r="K115" s="26" t="inlineStr">
        <is>
          <t>Año 9</t>
        </is>
      </c>
      <c r="L115" s="27" t="inlineStr">
        <is>
          <t>Año 10</t>
        </is>
      </c>
    </row>
    <row r="116" ht="14.25" customHeight="1" s="1">
      <c r="A116" s="94" t="inlineStr">
        <is>
          <t>+ Ingreso por ventas</t>
        </is>
      </c>
      <c r="B116" s="95" t="n"/>
      <c r="C116" s="96">
        <f>C33</f>
        <v/>
      </c>
      <c r="D116" s="96">
        <f>D33</f>
        <v/>
      </c>
      <c r="E116" s="96">
        <f>E33</f>
        <v/>
      </c>
      <c r="F116" s="96">
        <f>F33</f>
        <v/>
      </c>
      <c r="G116" s="96">
        <f>G33</f>
        <v/>
      </c>
      <c r="H116" s="96">
        <f>H33</f>
        <v/>
      </c>
      <c r="I116" s="96">
        <f>I33</f>
        <v/>
      </c>
      <c r="J116" s="96">
        <f>J33</f>
        <v/>
      </c>
      <c r="K116" s="96">
        <f>K33</f>
        <v/>
      </c>
      <c r="L116" s="97">
        <f>L33</f>
        <v/>
      </c>
    </row>
    <row r="117" ht="14.25" customHeight="1" s="1">
      <c r="A117" s="98" t="inlineStr">
        <is>
          <t>Ingreso por venta del terreno</t>
        </is>
      </c>
      <c r="B117" s="95" t="n"/>
      <c r="C117" s="95" t="n"/>
      <c r="D117" s="95" t="n"/>
      <c r="E117" s="95" t="n"/>
      <c r="F117" s="95" t="n"/>
      <c r="G117" s="95" t="n"/>
      <c r="H117" s="95" t="n"/>
      <c r="I117" s="95" t="n"/>
      <c r="J117" s="95" t="n"/>
      <c r="K117" s="95" t="n"/>
      <c r="L117" s="97">
        <f>B19</f>
        <v/>
      </c>
    </row>
    <row r="118" ht="14.25" customHeight="1" s="1">
      <c r="A118" s="94" t="inlineStr">
        <is>
          <t>- Egresos deducibles de impuestos</t>
        </is>
      </c>
      <c r="B118" s="95" t="n"/>
      <c r="C118" s="96">
        <f>SUM(C119:C121)</f>
        <v/>
      </c>
      <c r="D118" s="96">
        <f>SUM(D119:D121)</f>
        <v/>
      </c>
      <c r="E118" s="96">
        <f>SUM(E119:E121)</f>
        <v/>
      </c>
      <c r="F118" s="96">
        <f>SUM(F119:F121)</f>
        <v/>
      </c>
      <c r="G118" s="96">
        <f>SUM(G119:G121)</f>
        <v/>
      </c>
      <c r="H118" s="96">
        <f>SUM(H119:H121)</f>
        <v/>
      </c>
      <c r="I118" s="96">
        <f>SUM(I119:I121)</f>
        <v/>
      </c>
      <c r="J118" s="96">
        <f>SUM(J119:J121)</f>
        <v/>
      </c>
      <c r="K118" s="96">
        <f>SUM(K119:K121)</f>
        <v/>
      </c>
      <c r="L118" s="97">
        <f>SUM(L119:L121)</f>
        <v/>
      </c>
    </row>
    <row r="119" ht="14.25" customHeight="1" s="1">
      <c r="A119" s="99" t="inlineStr">
        <is>
          <t xml:space="preserve">     Costos variables</t>
        </is>
      </c>
      <c r="B119" s="100" t="n"/>
      <c r="C119" s="15">
        <f>C39</f>
        <v/>
      </c>
      <c r="D119" s="15">
        <f>D39</f>
        <v/>
      </c>
      <c r="E119" s="15">
        <f>E39</f>
        <v/>
      </c>
      <c r="F119" s="15">
        <f>F39</f>
        <v/>
      </c>
      <c r="G119" s="15">
        <f>G39</f>
        <v/>
      </c>
      <c r="H119" s="15">
        <f>H39</f>
        <v/>
      </c>
      <c r="I119" s="15">
        <f>I39</f>
        <v/>
      </c>
      <c r="J119" s="15">
        <f>J39</f>
        <v/>
      </c>
      <c r="K119" s="15">
        <f>K39</f>
        <v/>
      </c>
      <c r="L119" s="101">
        <f>L39</f>
        <v/>
      </c>
    </row>
    <row r="120" ht="14.25" customHeight="1" s="1">
      <c r="A120" s="99" t="inlineStr">
        <is>
          <t xml:space="preserve">     Costos Fijos</t>
        </is>
      </c>
      <c r="B120" s="100" t="n"/>
      <c r="C120" s="15">
        <f>C46</f>
        <v/>
      </c>
      <c r="D120" s="15">
        <f>D46</f>
        <v/>
      </c>
      <c r="E120" s="15">
        <f>E46</f>
        <v/>
      </c>
      <c r="F120" s="15">
        <f>F46</f>
        <v/>
      </c>
      <c r="G120" s="15">
        <f>G46</f>
        <v/>
      </c>
      <c r="H120" s="15">
        <f>H46</f>
        <v/>
      </c>
      <c r="I120" s="15">
        <f>I46</f>
        <v/>
      </c>
      <c r="J120" s="15">
        <f>J46</f>
        <v/>
      </c>
      <c r="K120" s="15">
        <f>K46</f>
        <v/>
      </c>
      <c r="L120" s="101">
        <f>L46</f>
        <v/>
      </c>
    </row>
    <row r="121" ht="14.25" customHeight="1" s="1">
      <c r="A121" s="99" t="inlineStr">
        <is>
          <t xml:space="preserve">     Gastos financieros</t>
        </is>
      </c>
      <c r="B121" s="100" t="n"/>
      <c r="C121" s="15">
        <f>C110</f>
        <v/>
      </c>
      <c r="D121" s="15">
        <f>D110</f>
        <v/>
      </c>
      <c r="E121" s="15">
        <f>E110</f>
        <v/>
      </c>
      <c r="F121" s="15">
        <f>F110</f>
        <v/>
      </c>
      <c r="G121" s="15">
        <f>G110</f>
        <v/>
      </c>
      <c r="H121" s="15">
        <f>H110</f>
        <v/>
      </c>
      <c r="I121" s="15">
        <f>I110</f>
        <v/>
      </c>
      <c r="J121" s="15">
        <f>J110</f>
        <v/>
      </c>
      <c r="K121" s="15">
        <f>K110</f>
        <v/>
      </c>
      <c r="L121" s="101">
        <f>L110</f>
        <v/>
      </c>
    </row>
    <row r="122" ht="14.25" customHeight="1" s="1">
      <c r="A122" s="94" t="inlineStr">
        <is>
          <t>- Gastos no desembolsables</t>
        </is>
      </c>
      <c r="B122" s="95" t="n"/>
      <c r="C122" s="96">
        <f>SUM(C123:C124)</f>
        <v/>
      </c>
      <c r="D122" s="96">
        <f>SUM(D123:D124)</f>
        <v/>
      </c>
      <c r="E122" s="96">
        <f>SUM(E123:E124)</f>
        <v/>
      </c>
      <c r="F122" s="96">
        <f>SUM(F123:F124)</f>
        <v/>
      </c>
      <c r="G122" s="96">
        <f>SUM(G123:G124)</f>
        <v/>
      </c>
      <c r="H122" s="96">
        <f>SUM(H123:H124)</f>
        <v/>
      </c>
      <c r="I122" s="96">
        <f>SUM(I123:I124)</f>
        <v/>
      </c>
      <c r="J122" s="96">
        <f>SUM(J123:J124)</f>
        <v/>
      </c>
      <c r="K122" s="96">
        <f>SUM(K123:K124)</f>
        <v/>
      </c>
      <c r="L122" s="97">
        <f>SUM(L123:L124)</f>
        <v/>
      </c>
    </row>
    <row r="123" ht="14.25" customHeight="1" s="1">
      <c r="A123" s="99" t="inlineStr">
        <is>
          <t xml:space="preserve">     Depreciación de activos</t>
        </is>
      </c>
      <c r="B123" s="100" t="n"/>
      <c r="C123" s="15">
        <f>C85</f>
        <v/>
      </c>
      <c r="D123" s="15">
        <f>D85</f>
        <v/>
      </c>
      <c r="E123" s="15">
        <f>E85</f>
        <v/>
      </c>
      <c r="F123" s="15">
        <f>F85</f>
        <v/>
      </c>
      <c r="G123" s="15">
        <f>G85</f>
        <v/>
      </c>
      <c r="H123" s="15">
        <f>H85</f>
        <v/>
      </c>
      <c r="I123" s="15">
        <f>I85</f>
        <v/>
      </c>
      <c r="J123" s="15">
        <f>J85</f>
        <v/>
      </c>
      <c r="K123" s="15">
        <f>K85</f>
        <v/>
      </c>
      <c r="L123" s="101">
        <f>L85</f>
        <v/>
      </c>
    </row>
    <row r="124" ht="14.25" customHeight="1" s="1">
      <c r="A124" s="99" t="inlineStr">
        <is>
          <t xml:space="preserve">     Amortización de pre-operativos</t>
        </is>
      </c>
      <c r="B124" s="100" t="n"/>
      <c r="C124" s="15">
        <f>C87</f>
        <v/>
      </c>
      <c r="D124" s="15">
        <f>D87</f>
        <v/>
      </c>
      <c r="E124" s="15">
        <f>E87</f>
        <v/>
      </c>
      <c r="F124" s="15">
        <f>F87</f>
        <v/>
      </c>
      <c r="G124" s="15">
        <f>G87</f>
        <v/>
      </c>
      <c r="H124" s="15">
        <f>H87</f>
        <v/>
      </c>
      <c r="I124" s="15">
        <f>I87</f>
        <v/>
      </c>
      <c r="J124" s="15">
        <f>J87</f>
        <v/>
      </c>
      <c r="K124" s="15">
        <f>K87</f>
        <v/>
      </c>
      <c r="L124" s="101">
        <f>L87</f>
        <v/>
      </c>
    </row>
    <row r="125" ht="14.25" customHeight="1" s="1">
      <c r="A125" s="94" t="inlineStr">
        <is>
          <t>= Utilidad antes de impuestos</t>
        </is>
      </c>
      <c r="B125" s="95" t="n"/>
      <c r="C125" s="96">
        <f>C116+C117-C118-C122</f>
        <v/>
      </c>
      <c r="D125" s="96">
        <f>D116+D117-D118-D122</f>
        <v/>
      </c>
      <c r="E125" s="96">
        <f>E116+E117-E118-E122</f>
        <v/>
      </c>
      <c r="F125" s="96">
        <f>F116+F117-F118-F122</f>
        <v/>
      </c>
      <c r="G125" s="96">
        <f>G116+G117-G118-G122</f>
        <v/>
      </c>
      <c r="H125" s="96">
        <f>H116+H117-H118-H122</f>
        <v/>
      </c>
      <c r="I125" s="96">
        <f>I116+I117-I118-I122</f>
        <v/>
      </c>
      <c r="J125" s="96">
        <f>J116+J117-J118-J122</f>
        <v/>
      </c>
      <c r="K125" s="96">
        <f>K116+K117-K118-K122</f>
        <v/>
      </c>
      <c r="L125" s="96">
        <f>L116+L117-L118-L122</f>
        <v/>
      </c>
    </row>
    <row r="126" ht="14.25" customHeight="1" s="1">
      <c r="A126" s="99" t="inlineStr">
        <is>
          <t>- Impuestos (30%)</t>
        </is>
      </c>
      <c r="B126" s="100" t="n"/>
      <c r="C126" s="10">
        <f>C125*$B$26</f>
        <v/>
      </c>
      <c r="D126" s="15">
        <f>D125*$B$26</f>
        <v/>
      </c>
      <c r="E126" s="15">
        <f>E125*$B$26</f>
        <v/>
      </c>
      <c r="F126" s="15">
        <f>F125*$B$26</f>
        <v/>
      </c>
      <c r="G126" s="15">
        <f>G125*$B$26</f>
        <v/>
      </c>
      <c r="H126" s="15">
        <f>H125*$B$26</f>
        <v/>
      </c>
      <c r="I126" s="15">
        <f>I125*$B$26</f>
        <v/>
      </c>
      <c r="J126" s="15">
        <f>J125*$B$26</f>
        <v/>
      </c>
      <c r="K126" s="15">
        <f>K125*$B$26</f>
        <v/>
      </c>
      <c r="L126" s="101">
        <f>L125*$B$26</f>
        <v/>
      </c>
    </row>
    <row r="127" ht="14.25" customHeight="1" s="1">
      <c r="A127" s="94" t="inlineStr">
        <is>
          <t>= Utilidad después de impuestos</t>
        </is>
      </c>
      <c r="B127" s="95" t="n"/>
      <c r="C127" s="96">
        <f>C125-C126</f>
        <v/>
      </c>
      <c r="D127" s="96">
        <f>D125-D126</f>
        <v/>
      </c>
      <c r="E127" s="96">
        <f>E125-E126</f>
        <v/>
      </c>
      <c r="F127" s="96">
        <f>F125-F126</f>
        <v/>
      </c>
      <c r="G127" s="96">
        <f>G125-G126</f>
        <v/>
      </c>
      <c r="H127" s="96">
        <f>H125-H126</f>
        <v/>
      </c>
      <c r="I127" s="96">
        <f>I125-I126</f>
        <v/>
      </c>
      <c r="J127" s="96">
        <f>J125-J126</f>
        <v/>
      </c>
      <c r="K127" s="96">
        <f>K125-K126</f>
        <v/>
      </c>
      <c r="L127" s="97">
        <f>L125-L126</f>
        <v/>
      </c>
    </row>
    <row r="128" ht="14.25" customHeight="1" s="1">
      <c r="A128" s="98" t="inlineStr">
        <is>
          <t>+ Gastos no desembolsables</t>
        </is>
      </c>
      <c r="B128" s="95" t="n"/>
      <c r="C128" s="96">
        <f>SUM(C129:C130)</f>
        <v/>
      </c>
      <c r="D128" s="96">
        <f>SUM(D129:D130)</f>
        <v/>
      </c>
      <c r="E128" s="96">
        <f>SUM(E129:E130)</f>
        <v/>
      </c>
      <c r="F128" s="96">
        <f>SUM(F129:F130)</f>
        <v/>
      </c>
      <c r="G128" s="96">
        <f>SUM(G129:G130)</f>
        <v/>
      </c>
      <c r="H128" s="96">
        <f>SUM(H129:H130)</f>
        <v/>
      </c>
      <c r="I128" s="96">
        <f>SUM(I129:I130)</f>
        <v/>
      </c>
      <c r="J128" s="96">
        <f>SUM(J129:J130)</f>
        <v/>
      </c>
      <c r="K128" s="96">
        <f>SUM(K129:K130)</f>
        <v/>
      </c>
      <c r="L128" s="97">
        <f>SUM(L129:L130)</f>
        <v/>
      </c>
    </row>
    <row r="129" ht="14.25" customHeight="1" s="1">
      <c r="A129" s="99" t="inlineStr">
        <is>
          <t xml:space="preserve">     Depreciación de activos</t>
        </is>
      </c>
      <c r="B129" s="100" t="n"/>
      <c r="C129" s="15">
        <f>C123</f>
        <v/>
      </c>
      <c r="D129" s="15">
        <f>D123</f>
        <v/>
      </c>
      <c r="E129" s="15">
        <f>E123</f>
        <v/>
      </c>
      <c r="F129" s="15">
        <f>F123</f>
        <v/>
      </c>
      <c r="G129" s="15">
        <f>G123</f>
        <v/>
      </c>
      <c r="H129" s="15">
        <f>H123</f>
        <v/>
      </c>
      <c r="I129" s="15">
        <f>I123</f>
        <v/>
      </c>
      <c r="J129" s="15">
        <f>J123</f>
        <v/>
      </c>
      <c r="K129" s="15">
        <f>K123</f>
        <v/>
      </c>
      <c r="L129" s="101">
        <f>L123</f>
        <v/>
      </c>
    </row>
    <row r="130" ht="14.25" customHeight="1" s="1">
      <c r="A130" s="99" t="inlineStr">
        <is>
          <t xml:space="preserve">     Amortización de pre-operativos</t>
        </is>
      </c>
      <c r="B130" s="100" t="n"/>
      <c r="C130" s="15">
        <f>C124</f>
        <v/>
      </c>
      <c r="D130" s="15">
        <f>D124</f>
        <v/>
      </c>
      <c r="E130" s="15">
        <f>E124</f>
        <v/>
      </c>
      <c r="F130" s="15">
        <f>F124</f>
        <v/>
      </c>
      <c r="G130" s="15">
        <f>G124</f>
        <v/>
      </c>
      <c r="H130" s="15">
        <f>H124</f>
        <v/>
      </c>
      <c r="I130" s="15">
        <f>I124</f>
        <v/>
      </c>
      <c r="J130" s="15">
        <f>J124</f>
        <v/>
      </c>
      <c r="K130" s="15">
        <f>K124</f>
        <v/>
      </c>
      <c r="L130" s="101">
        <f>L124</f>
        <v/>
      </c>
    </row>
    <row r="131" ht="14.25" customHeight="1" s="1">
      <c r="A131" s="94" t="inlineStr">
        <is>
          <t>+ Ingresos no sujetos a impuestos</t>
        </is>
      </c>
      <c r="B131" s="96">
        <f>SUM(B132:B134)</f>
        <v/>
      </c>
      <c r="C131" s="96">
        <f>SUM(C132:C134)</f>
        <v/>
      </c>
      <c r="D131" s="96">
        <f>SUM(D132:D134)</f>
        <v/>
      </c>
      <c r="E131" s="96">
        <f>SUM(E132:E134)</f>
        <v/>
      </c>
      <c r="F131" s="96">
        <f>SUM(F132:F134)</f>
        <v/>
      </c>
      <c r="G131" s="96">
        <f>SUM(G132:G134)</f>
        <v/>
      </c>
      <c r="H131" s="96">
        <f>SUM(H132:H134)</f>
        <v/>
      </c>
      <c r="I131" s="96">
        <f>SUM(I132:I134)</f>
        <v/>
      </c>
      <c r="J131" s="96">
        <f>SUM(J132:J134)</f>
        <v/>
      </c>
      <c r="K131" s="96">
        <f>SUM(K132:K134)</f>
        <v/>
      </c>
      <c r="L131" s="97">
        <f>SUM(L132:L134)</f>
        <v/>
      </c>
    </row>
    <row r="132" ht="14.25" customHeight="1" s="1">
      <c r="A132" s="99" t="inlineStr">
        <is>
          <t xml:space="preserve">     Valor de desecho</t>
        </is>
      </c>
      <c r="B132" s="100" t="n"/>
      <c r="C132" s="100" t="n"/>
      <c r="D132" s="100" t="n"/>
      <c r="E132" s="100" t="n"/>
      <c r="F132" s="100" t="n"/>
      <c r="G132" s="100" t="n"/>
      <c r="H132" s="100" t="n"/>
      <c r="I132" s="100" t="n"/>
      <c r="J132" s="100" t="n"/>
      <c r="K132" s="100" t="n"/>
      <c r="L132" s="101">
        <f>M98</f>
        <v/>
      </c>
    </row>
    <row r="133" ht="14.25" customHeight="1" s="1">
      <c r="A133" s="99" t="inlineStr">
        <is>
          <t xml:space="preserve">     Recuperación del capital de trabajo</t>
        </is>
      </c>
      <c r="B133" s="100" t="n"/>
      <c r="C133" s="100" t="n"/>
      <c r="D133" s="100" t="n"/>
      <c r="E133" s="100" t="n"/>
      <c r="F133" s="100" t="n"/>
      <c r="G133" s="100" t="n"/>
      <c r="H133" s="100" t="n"/>
      <c r="I133" s="100" t="n"/>
      <c r="J133" s="100" t="n"/>
      <c r="K133" s="100" t="n"/>
      <c r="L133" s="101">
        <f>-L77</f>
        <v/>
      </c>
    </row>
    <row r="134" ht="14.25" customHeight="1" s="1">
      <c r="A134" s="99" t="inlineStr">
        <is>
          <t xml:space="preserve">     Préstamo bancario</t>
        </is>
      </c>
      <c r="B134" s="15">
        <f>B102</f>
        <v/>
      </c>
      <c r="C134" s="100" t="n"/>
      <c r="D134" s="100" t="n"/>
      <c r="E134" s="100" t="n"/>
      <c r="F134" s="100" t="n"/>
      <c r="G134" s="100" t="n"/>
      <c r="H134" s="100" t="n"/>
      <c r="I134" s="100" t="n"/>
      <c r="J134" s="100" t="n"/>
      <c r="K134" s="100" t="n"/>
      <c r="L134" s="102" t="n"/>
    </row>
    <row r="135" ht="14.25" customHeight="1" s="1">
      <c r="A135" s="94" t="inlineStr">
        <is>
          <t>- Egresos no deducibles de impuestos</t>
        </is>
      </c>
      <c r="B135" s="96">
        <f>SUM(B136:B139)</f>
        <v/>
      </c>
      <c r="C135" s="96">
        <f>SUM(C136:C139)</f>
        <v/>
      </c>
      <c r="D135" s="96">
        <f>SUM(D136:D139)</f>
        <v/>
      </c>
      <c r="E135" s="96">
        <f>SUM(E136:E139)</f>
        <v/>
      </c>
      <c r="F135" s="96">
        <f>SUM(F136:F139)</f>
        <v/>
      </c>
      <c r="G135" s="96">
        <f>SUM(G136:G139)</f>
        <v/>
      </c>
      <c r="H135" s="96">
        <f>SUM(H136:H139)</f>
        <v/>
      </c>
      <c r="I135" s="96">
        <f>SUM(I136:I139)</f>
        <v/>
      </c>
      <c r="J135" s="96">
        <f>SUM(J136:J139)</f>
        <v/>
      </c>
      <c r="K135" s="96">
        <f>SUM(K136:K139)</f>
        <v/>
      </c>
      <c r="L135" s="97">
        <f>SUM(L136:L139)</f>
        <v/>
      </c>
    </row>
    <row r="136" ht="14.25" customHeight="1" s="1">
      <c r="A136" s="99" t="inlineStr">
        <is>
          <t xml:space="preserve">     Activos (inv. 20 años, 10 años, 5 años, terreno)</t>
        </is>
      </c>
      <c r="B136" s="96">
        <f>SUM(B69:B72)</f>
        <v/>
      </c>
      <c r="C136" s="95" t="n"/>
      <c r="D136" s="95" t="n"/>
      <c r="E136" s="95" t="n"/>
      <c r="F136" s="95" t="n"/>
      <c r="G136" s="96">
        <f>G69</f>
        <v/>
      </c>
      <c r="H136" s="95" t="n"/>
      <c r="I136" s="95" t="n"/>
      <c r="J136" s="95" t="n"/>
      <c r="K136" s="95" t="n"/>
      <c r="L136" s="103" t="n"/>
    </row>
    <row r="137" ht="14.25" customHeight="1" s="1">
      <c r="A137" s="99" t="inlineStr">
        <is>
          <t xml:space="preserve">     Gastos de puesta en marcha (pre-operativos)</t>
        </is>
      </c>
      <c r="B137" s="15">
        <f>B74</f>
        <v/>
      </c>
      <c r="C137" s="100" t="n"/>
      <c r="D137" s="100" t="n"/>
      <c r="E137" s="100" t="n"/>
      <c r="F137" s="100" t="n"/>
      <c r="G137" s="100" t="n"/>
      <c r="H137" s="100" t="n"/>
      <c r="I137" s="100" t="n"/>
      <c r="J137" s="100" t="n"/>
      <c r="K137" s="100" t="n"/>
      <c r="L137" s="102" t="n"/>
    </row>
    <row r="138" ht="14.25" customHeight="1" s="1">
      <c r="A138" s="99" t="inlineStr">
        <is>
          <t xml:space="preserve">     Inversión en capital de trabajo</t>
        </is>
      </c>
      <c r="B138" s="15">
        <f>B76</f>
        <v/>
      </c>
      <c r="C138" s="15">
        <f>C76</f>
        <v/>
      </c>
      <c r="D138" s="15">
        <f>D76</f>
        <v/>
      </c>
      <c r="E138" s="15">
        <f>E76</f>
        <v/>
      </c>
      <c r="F138" s="15">
        <f>F76</f>
        <v/>
      </c>
      <c r="G138" s="15">
        <f>G76</f>
        <v/>
      </c>
      <c r="H138" s="15">
        <f>H76</f>
        <v/>
      </c>
      <c r="I138" s="15">
        <f>I76</f>
        <v/>
      </c>
      <c r="J138" s="15">
        <f>J76</f>
        <v/>
      </c>
      <c r="K138" s="15">
        <f>K76</f>
        <v/>
      </c>
      <c r="L138" s="100" t="n"/>
    </row>
    <row r="139" ht="14.25" customHeight="1" s="1">
      <c r="A139" s="99" t="inlineStr">
        <is>
          <t xml:space="preserve">     Pago préstamo bancario</t>
        </is>
      </c>
      <c r="B139" s="100" t="n"/>
      <c r="C139" s="15">
        <f>C111</f>
        <v/>
      </c>
      <c r="D139" s="15">
        <f>D111</f>
        <v/>
      </c>
      <c r="E139" s="15">
        <f>E111</f>
        <v/>
      </c>
      <c r="F139" s="15">
        <f>F111</f>
        <v/>
      </c>
      <c r="G139" s="15">
        <f>G111</f>
        <v/>
      </c>
      <c r="H139" s="15">
        <f>H111</f>
        <v/>
      </c>
      <c r="I139" s="15">
        <f>I111</f>
        <v/>
      </c>
      <c r="J139" s="15">
        <f>J111</f>
        <v/>
      </c>
      <c r="K139" s="15">
        <f>K111</f>
        <v/>
      </c>
      <c r="L139" s="101">
        <f>L111</f>
        <v/>
      </c>
    </row>
    <row r="140" ht="14.25" customHeight="1" s="1">
      <c r="A140" s="104" t="inlineStr">
        <is>
          <t>= Flujo de caja</t>
        </is>
      </c>
      <c r="B140" s="53">
        <f>B127+B128+B131-B135</f>
        <v/>
      </c>
      <c r="C140" s="53">
        <f>C127+C128+C131-C135</f>
        <v/>
      </c>
      <c r="D140" s="53">
        <f>D127+D128+D131-D135</f>
        <v/>
      </c>
      <c r="E140" s="53">
        <f>E127+E128+E131-E135</f>
        <v/>
      </c>
      <c r="F140" s="53">
        <f>F127+F128+F131-F135</f>
        <v/>
      </c>
      <c r="G140" s="53">
        <f>G127+G128+G131-G135</f>
        <v/>
      </c>
      <c r="H140" s="53">
        <f>H127+H128+H131-H135</f>
        <v/>
      </c>
      <c r="I140" s="53">
        <f>I127+I128+I131-I135</f>
        <v/>
      </c>
      <c r="J140" s="53">
        <f>J127+J128+J131-J135</f>
        <v/>
      </c>
      <c r="K140" s="53">
        <f>K127+K128+K131-K135</f>
        <v/>
      </c>
      <c r="L140" s="53">
        <f>L127+L128+L131-L135</f>
        <v/>
      </c>
    </row>
    <row r="141" ht="14.25" customHeight="1" s="1">
      <c r="A141" s="105" t="inlineStr">
        <is>
          <t>Flujo de caja acumulado (PRI)</t>
        </is>
      </c>
    </row>
    <row r="142" ht="14.25" customHeight="1" s="1">
      <c r="A142" s="145" t="inlineStr">
        <is>
          <t xml:space="preserve">     Flujo acumulado</t>
        </is>
      </c>
      <c r="B142" s="53">
        <f>B140</f>
        <v/>
      </c>
      <c r="C142" s="53">
        <f>B142+C140</f>
        <v/>
      </c>
      <c r="D142" s="53">
        <f>C142+D140</f>
        <v/>
      </c>
      <c r="E142" s="53">
        <f>D142+E140</f>
        <v/>
      </c>
      <c r="F142" s="53">
        <f>E142+F140</f>
        <v/>
      </c>
      <c r="G142" s="53">
        <f>F142+G140</f>
        <v/>
      </c>
      <c r="H142" s="53">
        <f>G142+H140</f>
        <v/>
      </c>
      <c r="I142" s="53">
        <f>H142+I140</f>
        <v/>
      </c>
      <c r="J142" s="53">
        <f>I142+J140</f>
        <v/>
      </c>
      <c r="K142" s="53">
        <f>J142+K140</f>
        <v/>
      </c>
      <c r="L142" s="53">
        <f>K142+L140</f>
        <v/>
      </c>
    </row>
    <row r="143" ht="14.25" customHeight="1" s="1">
      <c r="A143" s="105" t="inlineStr">
        <is>
          <t>Flujo descontado acumulado (PRID)</t>
        </is>
      </c>
    </row>
    <row r="144" ht="14.25" customHeight="1" s="1">
      <c r="A144" s="145" t="inlineStr">
        <is>
          <t xml:space="preserve">     Flujo desc. acumulado</t>
        </is>
      </c>
      <c r="B144" s="53">
        <f>B140</f>
        <v/>
      </c>
      <c r="C144" s="53">
        <f>B144+C140/(1+B25)^1</f>
        <v/>
      </c>
      <c r="D144" s="53">
        <f>C144+D140/(1+B25)^2</f>
        <v/>
      </c>
      <c r="E144" s="53">
        <f>D144+E140/(1+B25)^3</f>
        <v/>
      </c>
      <c r="F144" s="53">
        <f>E144+F140/(1+B25)^4</f>
        <v/>
      </c>
      <c r="G144" s="53">
        <f>F144+G140/(1+B25)^5</f>
        <v/>
      </c>
      <c r="H144" s="53">
        <f>G144+H140/(1+B25)^6</f>
        <v/>
      </c>
      <c r="I144" s="53">
        <f>H144+I140/(1+B25)^7</f>
        <v/>
      </c>
      <c r="J144" s="53">
        <f>I144+J140/(1+B25)^8</f>
        <v/>
      </c>
      <c r="K144" s="53">
        <f>J144+K140/(1+B25)^9</f>
        <v/>
      </c>
      <c r="L144" s="53">
        <f>K144+L140/(1+B25)^10</f>
        <v/>
      </c>
    </row>
    <row r="145" ht="14.25" customHeight="1" s="1">
      <c r="B145" s="21" t="n"/>
      <c r="F145" s="106" t="n"/>
    </row>
    <row r="146" ht="14.25" customHeight="1" s="1">
      <c r="A146" s="22" t="inlineStr">
        <is>
          <t>10. Costo del capital</t>
        </is>
      </c>
    </row>
    <row r="147" ht="14.25" customHeight="1" s="1">
      <c r="B147" s="107" t="inlineStr">
        <is>
          <t>Participación ($)</t>
        </is>
      </c>
      <c r="C147" s="107" t="inlineStr">
        <is>
          <t>Participación (%)</t>
        </is>
      </c>
      <c r="D147" s="107" t="inlineStr">
        <is>
          <t>Costo</t>
        </is>
      </c>
      <c r="E147" s="107" t="inlineStr">
        <is>
          <t>Costo promedio</t>
        </is>
      </c>
    </row>
    <row r="148" ht="14.25" customHeight="1" s="1">
      <c r="A148" s="4" t="inlineStr">
        <is>
          <t>Préstamo bancario</t>
        </is>
      </c>
      <c r="B148" s="147">
        <f>B77</f>
        <v/>
      </c>
      <c r="C148" s="149" t="n">
        <v>0</v>
      </c>
      <c r="D148" s="149" t="n">
        <v>0</v>
      </c>
      <c r="E148" s="149" t="n">
        <v>0</v>
      </c>
    </row>
    <row r="149" ht="18" customHeight="1" s="1">
      <c r="A149" s="4" t="inlineStr">
        <is>
          <t>Fondos propios</t>
        </is>
      </c>
      <c r="B149" s="148">
        <f>B77</f>
        <v/>
      </c>
      <c r="C149" s="150" t="n">
        <v>1</v>
      </c>
      <c r="D149" s="149">
        <f>B25</f>
        <v/>
      </c>
      <c r="E149" s="150">
        <f>C149*D149</f>
        <v/>
      </c>
    </row>
    <row r="150" ht="14.25" customHeight="1" s="1">
      <c r="B150" s="147">
        <f>B148+B149</f>
        <v/>
      </c>
      <c r="C150" s="149">
        <f>C148+C149</f>
        <v/>
      </c>
      <c r="D150" s="149" t="n"/>
      <c r="E150" s="149">
        <f>E148+E149</f>
        <v/>
      </c>
    </row>
    <row r="152" ht="14.25" customHeight="1" s="1">
      <c r="A152" s="22" t="inlineStr">
        <is>
          <t>11. Indicadores financieros</t>
        </is>
      </c>
    </row>
    <row r="153" ht="14.25" customHeight="1" s="1">
      <c r="A153" s="109" t="inlineStr">
        <is>
          <t>VAN(19%) =</t>
        </is>
      </c>
      <c r="B153" s="110">
        <f>NPV(B25,C140:L140)+B140</f>
        <v/>
      </c>
    </row>
    <row r="154" ht="14.25" customHeight="1" s="1">
      <c r="A154" s="109" t="inlineStr">
        <is>
          <t>TIR =</t>
        </is>
      </c>
      <c r="B154" s="111">
        <f>IRR(B140:L140)</f>
        <v/>
      </c>
    </row>
    <row r="155" ht="14.25" customHeight="1" s="1">
      <c r="A155" s="109" t="inlineStr">
        <is>
          <t>PRI =</t>
        </is>
      </c>
      <c r="B155" s="112">
        <f>IFERROR(MATCH(1,INDEX((C142:L142&gt;=0)*1,0),0),"&gt;10")</f>
        <v/>
      </c>
    </row>
    <row r="156" ht="14.25" customHeight="1" s="1">
      <c r="A156" s="109" t="inlineStr">
        <is>
          <t>PRID =</t>
        </is>
      </c>
      <c r="B156" s="112">
        <f>IFERROR(MATCH(1,INDEX((C144:L144&gt;=0)*1,0),0),"&gt;10")</f>
        <v/>
      </c>
    </row>
    <row r="157" ht="14.25" customHeight="1" s="1">
      <c r="A157" s="109" t="inlineStr">
        <is>
          <t>ID =</t>
        </is>
      </c>
      <c r="B157" s="143">
        <f>(NPV(B25,C140:L140)+B140+ABS(B140))/ABS(B140)</f>
        <v/>
      </c>
    </row>
    <row r="158" ht="14.25" customHeight="1" s="1">
      <c r="B158" s="21" t="n"/>
    </row>
    <row r="159" ht="14.25" customHeight="1" s="1">
      <c r="B159" s="21" t="n"/>
    </row>
    <row r="160" ht="14.25" customHeight="1" s="1">
      <c r="A160" s="105" t="n"/>
      <c r="B160" s="113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</row>
    <row r="161" ht="14.25" customHeight="1" s="1">
      <c r="A161" s="105" t="n"/>
      <c r="B161" s="113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</row>
    <row r="162" ht="14.25" customHeight="1" s="1">
      <c r="A162" s="105" t="n"/>
      <c r="B162" s="113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</row>
    <row r="163" ht="14.25" customHeight="1" s="1">
      <c r="A163" s="105" t="n"/>
      <c r="B163" s="113" t="n"/>
      <c r="C163" s="115" t="n"/>
      <c r="D163" s="115" t="n"/>
      <c r="E163" s="115" t="n"/>
      <c r="F163" s="115" t="n"/>
      <c r="G163" s="115" t="n"/>
      <c r="H163" s="115" t="n"/>
      <c r="I163" s="115" t="n"/>
      <c r="J163" s="115" t="n"/>
      <c r="K163" s="115" t="n"/>
      <c r="L163" s="115" t="n"/>
    </row>
    <row r="164" ht="14.25" customHeight="1" s="1">
      <c r="B164" s="21" t="n"/>
    </row>
    <row r="165" ht="14.25" customHeight="1" s="1">
      <c r="B165" s="21" t="n"/>
    </row>
    <row r="166" ht="14.25" customHeight="1" s="1">
      <c r="B166" s="21" t="n"/>
    </row>
  </sheetData>
  <mergeCells count="6">
    <mergeCell ref="A50:H50"/>
    <mergeCell ref="A55:H55"/>
    <mergeCell ref="A98:L98"/>
    <mergeCell ref="A92:A93"/>
    <mergeCell ref="C92:L92"/>
    <mergeCell ref="B105:C105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66"/>
  <sheetViews>
    <sheetView showGridLines="0" topLeftCell="A135" zoomScaleNormal="100" workbookViewId="0">
      <selection activeCell="D157" sqref="D157"/>
    </sheetView>
  </sheetViews>
  <sheetFormatPr baseColWidth="10" defaultColWidth="8.6640625" defaultRowHeight="14.4"/>
  <cols>
    <col width="42.44140625" customWidth="1" style="1" min="1" max="1"/>
    <col width="15.5546875" customWidth="1" style="1" min="2" max="2"/>
    <col width="16.109375" customWidth="1" style="1" min="3" max="3"/>
    <col width="15.44140625" customWidth="1" style="1" min="4" max="8"/>
    <col width="15.5546875" customWidth="1" style="1" min="9" max="11"/>
    <col width="15.44140625" customWidth="1" style="1" min="12" max="12"/>
    <col width="13.5546875" customWidth="1" style="1" min="13" max="13"/>
    <col width="13.33203125" customWidth="1" style="1" min="14" max="14"/>
    <col width="10.6640625" customWidth="1" style="1" min="16" max="16"/>
    <col width="25.109375" customWidth="1" style="1" min="18" max="18"/>
    <col width="11.6640625" customWidth="1" style="1" min="19" max="19"/>
    <col width="13.44140625" customWidth="1" style="1" min="20" max="20"/>
    <col width="8.44140625" customWidth="1" style="1" min="21" max="21"/>
    <col width="10.6640625" customWidth="1" style="1" min="22" max="22"/>
  </cols>
  <sheetData>
    <row r="1" ht="15" customHeight="1" s="1">
      <c r="A1" s="2" t="inlineStr">
        <is>
          <t>Camaronera Industrial</t>
        </is>
      </c>
    </row>
    <row r="3" ht="14.25" customHeight="1" s="1">
      <c r="A3" s="3" t="inlineStr">
        <is>
          <t>Variables</t>
        </is>
      </c>
    </row>
    <row r="4" ht="14.25" customHeight="1" s="1">
      <c r="A4" s="4" t="inlineStr">
        <is>
          <t>Horizonte de evaluación (años)</t>
        </is>
      </c>
      <c r="B4" s="4" t="n">
        <v>10</v>
      </c>
    </row>
    <row r="5" ht="14.25" customHeight="1" s="1">
      <c r="A5" s="4" t="inlineStr">
        <is>
          <t>Devaluación</t>
        </is>
      </c>
      <c r="B5" s="5" t="n">
        <v>0.05</v>
      </c>
    </row>
    <row r="6" ht="14.25" customHeight="1" s="1">
      <c r="A6" s="4" t="inlineStr">
        <is>
          <t>Inflación</t>
        </is>
      </c>
      <c r="B6" s="5" t="n">
        <v>0.07000000000000001</v>
      </c>
    </row>
    <row r="7" ht="14.25" customHeight="1" s="1">
      <c r="B7" s="6" t="inlineStr">
        <is>
          <t>Año 0</t>
        </is>
      </c>
      <c r="C7" s="6" t="inlineStr">
        <is>
          <t>Año 1</t>
        </is>
      </c>
      <c r="D7" s="6" t="inlineStr">
        <is>
          <t>Año 2</t>
        </is>
      </c>
      <c r="E7" s="6" t="inlineStr">
        <is>
          <t>Año 3</t>
        </is>
      </c>
      <c r="F7" s="6" t="inlineStr">
        <is>
          <t>Año 4</t>
        </is>
      </c>
      <c r="G7" s="6" t="inlineStr">
        <is>
          <t>Año 5</t>
        </is>
      </c>
      <c r="H7" s="6" t="inlineStr">
        <is>
          <t>Año 6</t>
        </is>
      </c>
      <c r="I7" s="6" t="inlineStr">
        <is>
          <t>Año 7</t>
        </is>
      </c>
      <c r="J7" s="6" t="inlineStr">
        <is>
          <t>Año 8</t>
        </is>
      </c>
      <c r="K7" s="6" t="inlineStr">
        <is>
          <t>Año 9</t>
        </is>
      </c>
      <c r="L7" s="6" t="inlineStr">
        <is>
          <t>Año 10</t>
        </is>
      </c>
    </row>
    <row r="8" ht="14.25" customHeight="1" s="1">
      <c r="A8" s="4" t="inlineStr">
        <is>
          <t>Área en producción (Ha)</t>
        </is>
      </c>
      <c r="B8" s="7" t="n"/>
      <c r="C8" s="8" t="n">
        <v>750</v>
      </c>
      <c r="D8" s="8" t="n">
        <v>900</v>
      </c>
      <c r="E8" s="8" t="n">
        <v>900</v>
      </c>
      <c r="F8" s="8" t="n">
        <v>900</v>
      </c>
      <c r="G8" s="8" t="n">
        <v>900</v>
      </c>
      <c r="H8" s="8" t="n">
        <v>900</v>
      </c>
      <c r="I8" s="8" t="n">
        <v>900</v>
      </c>
      <c r="J8" s="8" t="n">
        <v>900</v>
      </c>
      <c r="K8" s="8" t="n">
        <v>900</v>
      </c>
      <c r="L8" s="8" t="n">
        <v>900</v>
      </c>
    </row>
    <row r="9" ht="14.25" customHeight="1" s="1">
      <c r="A9" s="4" t="inlineStr">
        <is>
          <t>Producción neta (Lb/Ha/año)</t>
        </is>
      </c>
      <c r="B9" s="7" t="n"/>
      <c r="C9" s="9">
        <f>1225</f>
        <v/>
      </c>
      <c r="D9" s="9">
        <f>1470</f>
        <v/>
      </c>
      <c r="E9" s="9">
        <f>1715</f>
        <v/>
      </c>
      <c r="F9" s="9">
        <f>1960</f>
        <v/>
      </c>
      <c r="G9" s="9">
        <f>2205</f>
        <v/>
      </c>
      <c r="H9" s="9">
        <f>2205</f>
        <v/>
      </c>
      <c r="I9" s="9">
        <f>2205</f>
        <v/>
      </c>
      <c r="J9" s="9">
        <f>2205</f>
        <v/>
      </c>
      <c r="K9" s="9">
        <f>2205</f>
        <v/>
      </c>
      <c r="L9" s="9">
        <f>2205</f>
        <v/>
      </c>
    </row>
    <row r="10" ht="14.25" customHeight="1" s="1">
      <c r="A10" s="4" t="inlineStr">
        <is>
          <t>Producción neta total (Lb/año)</t>
        </is>
      </c>
      <c r="B10" s="7" t="n"/>
      <c r="C10" s="117">
        <f>C9*C8</f>
        <v/>
      </c>
      <c r="D10" s="9">
        <f>D9*D8</f>
        <v/>
      </c>
      <c r="E10" s="9">
        <f>E9*E8</f>
        <v/>
      </c>
      <c r="F10" s="9">
        <f>F9*F8</f>
        <v/>
      </c>
      <c r="G10" s="9">
        <f>G9*G8</f>
        <v/>
      </c>
      <c r="H10" s="9">
        <f>H9*H8</f>
        <v/>
      </c>
      <c r="I10" s="9">
        <f>I9*I8</f>
        <v/>
      </c>
      <c r="J10" s="9">
        <f>J9*J8</f>
        <v/>
      </c>
      <c r="K10" s="9">
        <f>K9*K8</f>
        <v/>
      </c>
      <c r="L10" s="9">
        <f>L9*L8</f>
        <v/>
      </c>
    </row>
    <row r="11" ht="14.25" customHeight="1" s="1">
      <c r="A11" s="4" t="inlineStr">
        <is>
          <t>Tasa de cambio</t>
        </is>
      </c>
      <c r="B11" s="7" t="n"/>
      <c r="C11" s="10" t="n">
        <v>1</v>
      </c>
      <c r="D11" s="10">
        <f>C11+(C11*$B$5)</f>
        <v/>
      </c>
      <c r="E11" s="10">
        <f>D11+(D11*$B$5)</f>
        <v/>
      </c>
      <c r="F11" s="10">
        <f>E11+(E11*$B$5)</f>
        <v/>
      </c>
      <c r="G11" s="10">
        <f>F11+(F11*$B$5)</f>
        <v/>
      </c>
      <c r="H11" s="10">
        <f>G11+(G11*$B$5)</f>
        <v/>
      </c>
      <c r="I11" s="10">
        <f>H11+(H11*$B$5)</f>
        <v/>
      </c>
      <c r="J11" s="10">
        <f>I11+(I11*$B$5)</f>
        <v/>
      </c>
      <c r="K11" s="10">
        <f>J11+(J11*$B$5)</f>
        <v/>
      </c>
      <c r="L11" s="10">
        <f>K11+(K11*$B$5)</f>
        <v/>
      </c>
    </row>
    <row r="12" ht="14.25" customHeight="1" s="1">
      <c r="A12" s="4" t="inlineStr">
        <is>
          <t>Precio de venta FOB ($/Lb)</t>
        </is>
      </c>
      <c r="B12" s="7" t="n"/>
      <c r="C12" s="11" t="n">
        <v>3</v>
      </c>
      <c r="D12" s="11">
        <f>C12+(C12*$B$6)</f>
        <v/>
      </c>
      <c r="E12" s="11">
        <f>D12+(D12*$B$6)</f>
        <v/>
      </c>
      <c r="F12" s="11">
        <f>E12+(E12*$B$6)</f>
        <v/>
      </c>
      <c r="G12" s="11">
        <f>F12+(F12*$B$6)</f>
        <v/>
      </c>
      <c r="H12" s="11">
        <f>G12+(G12*$B$6)</f>
        <v/>
      </c>
      <c r="I12" s="11">
        <f>H12+(H12*$B$6)</f>
        <v/>
      </c>
      <c r="J12" s="11">
        <f>I12+(I12*$B$6)</f>
        <v/>
      </c>
      <c r="K12" s="11">
        <f>J12+(J12*$B$6)</f>
        <v/>
      </c>
      <c r="L12" s="11">
        <f>K12+(K12*$B$6)</f>
        <v/>
      </c>
    </row>
    <row r="13" ht="14.25" customHeight="1" s="1">
      <c r="A13" s="4" t="inlineStr">
        <is>
          <t>Capital de trabajo</t>
        </is>
      </c>
      <c r="B13" s="12" t="n"/>
      <c r="C13" s="13" t="n">
        <v>450000</v>
      </c>
      <c r="D13" s="13" t="n">
        <v>250000</v>
      </c>
      <c r="E13" s="13" t="n">
        <v>250000</v>
      </c>
      <c r="F13" s="13" t="n">
        <v>250000</v>
      </c>
      <c r="G13" s="13" t="n">
        <v>250000</v>
      </c>
      <c r="H13" s="13" t="n">
        <v>250000</v>
      </c>
      <c r="I13" s="13" t="n">
        <v>0</v>
      </c>
      <c r="J13" s="13" t="n">
        <v>0</v>
      </c>
      <c r="K13" s="13" t="n">
        <v>0</v>
      </c>
      <c r="L13" s="13" t="n">
        <v>0</v>
      </c>
    </row>
    <row r="14" ht="14.25" customHeight="1" s="1">
      <c r="A14" s="4" t="inlineStr">
        <is>
          <t>Costos variables ($1.45 x Lb)</t>
        </is>
      </c>
      <c r="B14" s="12" t="n"/>
      <c r="C14" s="11">
        <f>1.45</f>
        <v/>
      </c>
      <c r="D14" s="11">
        <f>C14+(C14*$B$6)</f>
        <v/>
      </c>
      <c r="E14" s="11">
        <f>D14+(D14*$B$6)</f>
        <v/>
      </c>
      <c r="F14" s="11">
        <f>E14+(E14*$B$6)</f>
        <v/>
      </c>
      <c r="G14" s="11">
        <f>F14+(F14*$B$6)</f>
        <v/>
      </c>
      <c r="H14" s="11">
        <f>G14+(G14*$B$6)</f>
        <v/>
      </c>
      <c r="I14" s="11">
        <f>H14+(H14*$B$6)</f>
        <v/>
      </c>
      <c r="J14" s="11">
        <f>I14+(I14*$B$6)</f>
        <v/>
      </c>
      <c r="K14" s="11">
        <f>J14+(J14*$B$6)</f>
        <v/>
      </c>
      <c r="L14" s="11">
        <f>K14+(K14*$B$6)</f>
        <v/>
      </c>
    </row>
    <row r="15" ht="14.25" customHeight="1" s="1">
      <c r="A15" s="4" t="inlineStr">
        <is>
          <t>Costos variables anuales</t>
        </is>
      </c>
      <c r="B15" s="14" t="n"/>
      <c r="C15" s="15">
        <f>C14*C10</f>
        <v/>
      </c>
      <c r="D15" s="15">
        <f>D14*D10</f>
        <v/>
      </c>
      <c r="E15" s="15">
        <f>E14*E10</f>
        <v/>
      </c>
      <c r="F15" s="15">
        <f>F14*F10</f>
        <v/>
      </c>
      <c r="G15" s="15">
        <f>G14*G10</f>
        <v/>
      </c>
      <c r="H15" s="15">
        <f>H14*H10</f>
        <v/>
      </c>
      <c r="I15" s="15">
        <f>I14*I10</f>
        <v/>
      </c>
      <c r="J15" s="15">
        <f>J14*J10</f>
        <v/>
      </c>
      <c r="K15" s="15">
        <f>K14*K10</f>
        <v/>
      </c>
      <c r="L15" s="15">
        <f>L14*L10</f>
        <v/>
      </c>
    </row>
    <row r="16" ht="14.25" customHeight="1" s="1">
      <c r="A16" s="4" t="inlineStr">
        <is>
          <t>Costos fijos de producción</t>
        </is>
      </c>
      <c r="B16" s="14" t="n"/>
      <c r="C16" s="15" t="n">
        <v>50000</v>
      </c>
      <c r="D16" s="15">
        <f>C16+(C16*$B$6)</f>
        <v/>
      </c>
      <c r="E16" s="15">
        <f>D16+(D16*$B$6)</f>
        <v/>
      </c>
      <c r="F16" s="15">
        <f>E16+(E16*$B$6)</f>
        <v/>
      </c>
      <c r="G16" s="15">
        <f>F16+(F16*$B$6)</f>
        <v/>
      </c>
      <c r="H16" s="15">
        <f>G16+(G16*$B$6)</f>
        <v/>
      </c>
      <c r="I16" s="15">
        <f>H16+(H16*$B$6)</f>
        <v/>
      </c>
      <c r="J16" s="15">
        <f>I16+(I16*$B$6)</f>
        <v/>
      </c>
      <c r="K16" s="15">
        <f>J16+(J16*$B$6)</f>
        <v/>
      </c>
      <c r="L16" s="15">
        <f>K16+(K16*$B$6)</f>
        <v/>
      </c>
    </row>
    <row r="17" ht="14.25" customHeight="1" s="1">
      <c r="A17" s="4" t="inlineStr">
        <is>
          <t>Gastos administrativos</t>
        </is>
      </c>
      <c r="B17" s="14" t="n"/>
      <c r="C17" s="15" t="n">
        <v>200000</v>
      </c>
      <c r="D17" s="15">
        <f>C17+(C17*$B$6)</f>
        <v/>
      </c>
      <c r="E17" s="15">
        <f>D17+(D17*$B$6)</f>
        <v/>
      </c>
      <c r="F17" s="15">
        <f>E17+(E17*$B$6)</f>
        <v/>
      </c>
      <c r="G17" s="15">
        <f>F17+(F17*$B$6)</f>
        <v/>
      </c>
      <c r="H17" s="15">
        <f>G17+(G17*$B$6)</f>
        <v/>
      </c>
      <c r="I17" s="15">
        <f>H17+(H17*$B$6)</f>
        <v/>
      </c>
      <c r="J17" s="15">
        <f>I17+(I17*$B$6)</f>
        <v/>
      </c>
      <c r="K17" s="15">
        <f>J17+(J17*$B$6)</f>
        <v/>
      </c>
      <c r="L17" s="15">
        <f>K17+(K17*$B$6)</f>
        <v/>
      </c>
    </row>
    <row r="18" ht="14.25" customHeight="1" s="1">
      <c r="K18" s="16" t="n"/>
    </row>
    <row r="19" ht="14.25" customHeight="1" s="1">
      <c r="A19" s="4" t="inlineStr">
        <is>
          <t>Valor residual del terreno</t>
        </is>
      </c>
      <c r="B19" s="17" t="n">
        <v>1250000</v>
      </c>
      <c r="K19" s="16" t="n"/>
    </row>
    <row r="20" ht="14.25" customHeight="1" s="1">
      <c r="A20" s="4" t="inlineStr">
        <is>
          <t>Valor residual de estanques y canales</t>
        </is>
      </c>
      <c r="B20" s="17" t="n">
        <v>1000000</v>
      </c>
      <c r="K20" s="16" t="n"/>
    </row>
    <row r="21" ht="14.25" customHeight="1" s="1">
      <c r="A21" s="4" t="inlineStr">
        <is>
          <t>Valor residual de edificios</t>
        </is>
      </c>
      <c r="B21" s="18" t="n">
        <v>50000</v>
      </c>
      <c r="K21" s="16" t="n"/>
    </row>
    <row r="22" ht="14.25" customHeight="1" s="1">
      <c r="A22" s="4" t="inlineStr">
        <is>
          <t>Tasa de fiananciamiento bancario</t>
        </is>
      </c>
      <c r="B22" s="5" t="n">
        <v>0.1</v>
      </c>
    </row>
    <row r="23" ht="14.25" customHeight="1" s="1">
      <c r="A23" s="4" t="inlineStr">
        <is>
          <t>Plazo del financiamiento bancario (años)</t>
        </is>
      </c>
      <c r="B23" s="19" t="n">
        <v>7</v>
      </c>
    </row>
    <row r="24" ht="14.25" customHeight="1" s="1">
      <c r="A24" s="4" t="inlineStr">
        <is>
          <t>Plazo del financiamiento bancario (valor)</t>
        </is>
      </c>
      <c r="B24" s="20">
        <f>5400000*0.5</f>
        <v/>
      </c>
    </row>
    <row r="25" ht="14.25" customHeight="1" s="1">
      <c r="A25" s="4" t="inlineStr">
        <is>
          <t>Tasa de corte</t>
        </is>
      </c>
      <c r="B25" s="5" t="n">
        <v>0.19</v>
      </c>
    </row>
    <row r="26" ht="14.25" customHeight="1" s="1">
      <c r="A26" s="4" t="inlineStr">
        <is>
          <t>Tasa de ISR</t>
        </is>
      </c>
      <c r="B26" s="5" t="n">
        <v>0.3</v>
      </c>
    </row>
    <row r="27" ht="14.25" customHeight="1" s="1">
      <c r="B27" s="21" t="n"/>
      <c r="D27" s="5" t="n">
        <v>0.44</v>
      </c>
      <c r="E27" s="5" t="n">
        <v>0.166666666666667</v>
      </c>
      <c r="F27" s="5" t="n">
        <v>0.142857142857143</v>
      </c>
      <c r="G27" s="5" t="n">
        <v>0.125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</row>
    <row r="28" ht="14.25" customHeight="1" s="1">
      <c r="A28" s="22" t="inlineStr">
        <is>
          <t>1. Ingresos del proyecto</t>
        </is>
      </c>
      <c r="B28" s="21" t="n"/>
      <c r="C28" s="118" t="n">
        <v>918750</v>
      </c>
      <c r="D28" s="118" t="n">
        <v>1323000</v>
      </c>
      <c r="E28" s="118" t="n">
        <v>1543500</v>
      </c>
      <c r="F28" s="118" t="n">
        <v>1764000</v>
      </c>
      <c r="G28" s="118" t="n">
        <v>1984500</v>
      </c>
      <c r="H28" s="118" t="n">
        <v>1984500</v>
      </c>
      <c r="I28" s="118" t="n">
        <v>1984500</v>
      </c>
      <c r="J28" s="118" t="n">
        <v>1984500</v>
      </c>
      <c r="K28" s="118" t="n">
        <v>1984500</v>
      </c>
      <c r="L28" s="118" t="n">
        <v>1984500</v>
      </c>
    </row>
    <row r="29" ht="15.75" customHeight="1" s="1">
      <c r="A29" s="23" t="inlineStr">
        <is>
          <t>Calendario de ingresos (venta del producto)</t>
        </is>
      </c>
      <c r="B29" s="24" t="n"/>
    </row>
    <row r="30" ht="14.25" customHeight="1" s="1">
      <c r="A30" s="161" t="inlineStr">
        <is>
          <t>Concepto</t>
        </is>
      </c>
      <c r="B30" s="26" t="inlineStr">
        <is>
          <t>Año 0</t>
        </is>
      </c>
      <c r="C30" s="26" t="inlineStr">
        <is>
          <t>Año 1</t>
        </is>
      </c>
      <c r="D30" s="26" t="inlineStr">
        <is>
          <t>Año 2</t>
        </is>
      </c>
      <c r="E30" s="26" t="inlineStr">
        <is>
          <t>Año 3</t>
        </is>
      </c>
      <c r="F30" s="26" t="inlineStr">
        <is>
          <t>Año 4</t>
        </is>
      </c>
      <c r="G30" s="26" t="inlineStr">
        <is>
          <t>Año 5</t>
        </is>
      </c>
      <c r="H30" s="26" t="inlineStr">
        <is>
          <t>Año 6</t>
        </is>
      </c>
      <c r="I30" s="26" t="inlineStr">
        <is>
          <t>Año 7</t>
        </is>
      </c>
      <c r="J30" s="26" t="inlineStr">
        <is>
          <t>Año 8</t>
        </is>
      </c>
      <c r="K30" s="26" t="inlineStr">
        <is>
          <t>Año 9</t>
        </is>
      </c>
      <c r="L30" s="27" t="inlineStr">
        <is>
          <t>Año 10</t>
        </is>
      </c>
    </row>
    <row r="31" ht="14.25" customHeight="1" s="1">
      <c r="A31" s="28" t="inlineStr">
        <is>
          <t>Cantidad de camarón (Lb)</t>
        </is>
      </c>
      <c r="B31" s="29" t="n"/>
      <c r="C31" s="119" t="n">
        <v>738316.6571676841</v>
      </c>
      <c r="D31" s="120">
        <f>C31+(C31*D27)</f>
        <v/>
      </c>
      <c r="E31" s="120">
        <f>D31+(D31*E27)</f>
        <v/>
      </c>
      <c r="F31" s="120">
        <f>E31+(E31*F27)</f>
        <v/>
      </c>
      <c r="G31" s="120">
        <f>F31+(F31*G27)</f>
        <v/>
      </c>
      <c r="H31" s="120">
        <f>G31+(G31*H27)</f>
        <v/>
      </c>
      <c r="I31" s="120">
        <f>H31+(H31*I27)</f>
        <v/>
      </c>
      <c r="J31" s="120">
        <f>I31+(I31*J27)</f>
        <v/>
      </c>
      <c r="K31" s="120">
        <f>J31+(J31*K27)</f>
        <v/>
      </c>
      <c r="L31" s="120">
        <f>K31+(K31*L27)</f>
        <v/>
      </c>
    </row>
    <row r="32" ht="14.25" customHeight="1" s="1">
      <c r="A32" s="28" t="inlineStr">
        <is>
          <t>Precio unitario de venta ($/Lb)</t>
        </is>
      </c>
      <c r="B32" s="29" t="n"/>
      <c r="C32" s="32">
        <f>C12</f>
        <v/>
      </c>
      <c r="D32" s="32">
        <f>D12</f>
        <v/>
      </c>
      <c r="E32" s="32">
        <f>E12</f>
        <v/>
      </c>
      <c r="F32" s="32">
        <f>F12</f>
        <v/>
      </c>
      <c r="G32" s="32">
        <f>G12</f>
        <v/>
      </c>
      <c r="H32" s="32">
        <f>H12</f>
        <v/>
      </c>
      <c r="I32" s="32">
        <f>I12</f>
        <v/>
      </c>
      <c r="J32" s="32">
        <f>J12</f>
        <v/>
      </c>
      <c r="K32" s="32">
        <f>K12</f>
        <v/>
      </c>
      <c r="L32" s="33">
        <f>L12</f>
        <v/>
      </c>
    </row>
    <row r="33" ht="15.75" customHeight="1" s="1">
      <c r="A33" s="34" t="inlineStr">
        <is>
          <t>Ingresos</t>
        </is>
      </c>
      <c r="B33" s="35" t="n"/>
      <c r="C33" s="36">
        <f>C32*C31</f>
        <v/>
      </c>
      <c r="D33" s="36">
        <f>D32*D31</f>
        <v/>
      </c>
      <c r="E33" s="36">
        <f>E32*E31</f>
        <v/>
      </c>
      <c r="F33" s="36">
        <f>F32*F31</f>
        <v/>
      </c>
      <c r="G33" s="36">
        <f>G32*G31</f>
        <v/>
      </c>
      <c r="H33" s="36">
        <f>H32*H31</f>
        <v/>
      </c>
      <c r="I33" s="36">
        <f>I32*I31</f>
        <v/>
      </c>
      <c r="J33" s="36">
        <f>J32*J31</f>
        <v/>
      </c>
      <c r="K33" s="36">
        <f>K32*K31</f>
        <v/>
      </c>
      <c r="L33" s="37">
        <f>L32*L31</f>
        <v/>
      </c>
    </row>
    <row r="34" ht="14.25" customHeight="1" s="1">
      <c r="B34" s="21" t="n"/>
    </row>
    <row r="35" ht="14.25" customHeight="1" s="1">
      <c r="A35" s="22" t="inlineStr">
        <is>
          <t>2. Costos variables</t>
        </is>
      </c>
      <c r="B35" s="24" t="n"/>
    </row>
    <row r="36" ht="15.75" customHeight="1" s="1">
      <c r="A36" s="23" t="inlineStr">
        <is>
          <t>Calendario de costos variables</t>
        </is>
      </c>
      <c r="B36" s="24" t="n"/>
    </row>
    <row r="37" ht="14.25" customHeight="1" s="1">
      <c r="A37" s="161" t="inlineStr">
        <is>
          <t>Concepto</t>
        </is>
      </c>
      <c r="B37" s="26" t="inlineStr">
        <is>
          <t>Año 0</t>
        </is>
      </c>
      <c r="C37" s="26" t="inlineStr">
        <is>
          <t>Año 1</t>
        </is>
      </c>
      <c r="D37" s="26" t="inlineStr">
        <is>
          <t>Año 2</t>
        </is>
      </c>
      <c r="E37" s="26" t="inlineStr">
        <is>
          <t>Año 3</t>
        </is>
      </c>
      <c r="F37" s="26" t="inlineStr">
        <is>
          <t>Año 4</t>
        </is>
      </c>
      <c r="G37" s="26" t="inlineStr">
        <is>
          <t>Año 5</t>
        </is>
      </c>
      <c r="H37" s="26" t="inlineStr">
        <is>
          <t>Año 6</t>
        </is>
      </c>
      <c r="I37" s="26" t="inlineStr">
        <is>
          <t>Año 7</t>
        </is>
      </c>
      <c r="J37" s="26" t="inlineStr">
        <is>
          <t>Año 8</t>
        </is>
      </c>
      <c r="K37" s="26" t="inlineStr">
        <is>
          <t>Año 9</t>
        </is>
      </c>
      <c r="L37" s="27" t="inlineStr">
        <is>
          <t>Año 10</t>
        </is>
      </c>
    </row>
    <row r="38" ht="14.25" customHeight="1" s="1">
      <c r="A38" s="28" t="inlineStr">
        <is>
          <t>Costos variables</t>
        </is>
      </c>
      <c r="B38" s="29" t="n"/>
      <c r="C38" s="38">
        <f>C15</f>
        <v/>
      </c>
      <c r="D38" s="38">
        <f>D15</f>
        <v/>
      </c>
      <c r="E38" s="38">
        <f>E15</f>
        <v/>
      </c>
      <c r="F38" s="38">
        <f>F15</f>
        <v/>
      </c>
      <c r="G38" s="38">
        <f>G15</f>
        <v/>
      </c>
      <c r="H38" s="38">
        <f>H15</f>
        <v/>
      </c>
      <c r="I38" s="38">
        <f>I15</f>
        <v/>
      </c>
      <c r="J38" s="38">
        <f>J15</f>
        <v/>
      </c>
      <c r="K38" s="38">
        <f>K15</f>
        <v/>
      </c>
      <c r="L38" s="39">
        <f>L15</f>
        <v/>
      </c>
    </row>
    <row r="39" ht="15.75" customHeight="1" s="1">
      <c r="A39" s="40" t="inlineStr">
        <is>
          <t>Total de costos variables</t>
        </is>
      </c>
      <c r="B39" s="41" t="n"/>
      <c r="C39" s="36">
        <f>C38</f>
        <v/>
      </c>
      <c r="D39" s="36">
        <f>D38</f>
        <v/>
      </c>
      <c r="E39" s="36">
        <f>E38</f>
        <v/>
      </c>
      <c r="F39" s="36">
        <f>F38</f>
        <v/>
      </c>
      <c r="G39" s="36">
        <f>G38</f>
        <v/>
      </c>
      <c r="H39" s="36">
        <f>H38</f>
        <v/>
      </c>
      <c r="I39" s="36">
        <f>I38</f>
        <v/>
      </c>
      <c r="J39" s="36">
        <f>J38</f>
        <v/>
      </c>
      <c r="K39" s="36">
        <f>K38</f>
        <v/>
      </c>
      <c r="L39" s="37">
        <f>L38</f>
        <v/>
      </c>
    </row>
    <row r="40" ht="14.25" customHeight="1" s="1">
      <c r="B40" s="21" t="n"/>
    </row>
    <row r="41" ht="14.25" customHeight="1" s="1">
      <c r="A41" s="22" t="inlineStr">
        <is>
          <t xml:space="preserve">3. Costos  fijos </t>
        </is>
      </c>
      <c r="B41" s="24" t="n"/>
    </row>
    <row r="42" ht="15.75" customHeight="1" s="1">
      <c r="A42" s="23" t="inlineStr">
        <is>
          <t>Calendario de los costos fijos</t>
        </is>
      </c>
      <c r="B42" s="24" t="n"/>
    </row>
    <row r="43" ht="14.25" customHeight="1" s="1">
      <c r="A43" s="161" t="inlineStr">
        <is>
          <t>Concepto</t>
        </is>
      </c>
      <c r="B43" s="26" t="inlineStr">
        <is>
          <t>Año 0</t>
        </is>
      </c>
      <c r="C43" s="26" t="inlineStr">
        <is>
          <t>Año 1</t>
        </is>
      </c>
      <c r="D43" s="26" t="inlineStr">
        <is>
          <t>Año 2</t>
        </is>
      </c>
      <c r="E43" s="26" t="inlineStr">
        <is>
          <t>Año 3</t>
        </is>
      </c>
      <c r="F43" s="26" t="inlineStr">
        <is>
          <t>Año 4</t>
        </is>
      </c>
      <c r="G43" s="26" t="inlineStr">
        <is>
          <t>Año 5</t>
        </is>
      </c>
      <c r="H43" s="26" t="inlineStr">
        <is>
          <t>Año 6</t>
        </is>
      </c>
      <c r="I43" s="26" t="inlineStr">
        <is>
          <t>Año 7</t>
        </is>
      </c>
      <c r="J43" s="26" t="inlineStr">
        <is>
          <t>Año 8</t>
        </is>
      </c>
      <c r="K43" s="26" t="inlineStr">
        <is>
          <t>Año 9</t>
        </is>
      </c>
      <c r="L43" s="27" t="inlineStr">
        <is>
          <t>Año 10</t>
        </is>
      </c>
    </row>
    <row r="44" ht="14.25" customHeight="1" s="1">
      <c r="A44" s="28" t="inlineStr">
        <is>
          <t>Costos fijos de producción</t>
        </is>
      </c>
      <c r="B44" s="29" t="n"/>
      <c r="C44" s="38">
        <f>C16</f>
        <v/>
      </c>
      <c r="D44" s="38">
        <f>D16</f>
        <v/>
      </c>
      <c r="E44" s="38">
        <f>E16</f>
        <v/>
      </c>
      <c r="F44" s="38">
        <f>F16</f>
        <v/>
      </c>
      <c r="G44" s="38">
        <f>G16</f>
        <v/>
      </c>
      <c r="H44" s="38">
        <f>H16</f>
        <v/>
      </c>
      <c r="I44" s="38">
        <f>I16</f>
        <v/>
      </c>
      <c r="J44" s="38">
        <f>J16</f>
        <v/>
      </c>
      <c r="K44" s="38">
        <f>K16</f>
        <v/>
      </c>
      <c r="L44" s="39">
        <f>L16</f>
        <v/>
      </c>
    </row>
    <row r="45" ht="14.25" customHeight="1" s="1">
      <c r="A45" s="28" t="inlineStr">
        <is>
          <t>Gastos administrativos</t>
        </is>
      </c>
      <c r="B45" s="29" t="n"/>
      <c r="C45" s="38">
        <f>C17</f>
        <v/>
      </c>
      <c r="D45" s="38">
        <f>D17</f>
        <v/>
      </c>
      <c r="E45" s="38">
        <f>E17</f>
        <v/>
      </c>
      <c r="F45" s="38">
        <f>F17</f>
        <v/>
      </c>
      <c r="G45" s="38">
        <f>G17</f>
        <v/>
      </c>
      <c r="H45" s="38">
        <f>H17</f>
        <v/>
      </c>
      <c r="I45" s="38">
        <f>I17</f>
        <v/>
      </c>
      <c r="J45" s="38">
        <f>J17</f>
        <v/>
      </c>
      <c r="K45" s="38">
        <f>K17</f>
        <v/>
      </c>
      <c r="L45" s="39">
        <f>L17</f>
        <v/>
      </c>
    </row>
    <row r="46" ht="15.75" customHeight="1" s="1">
      <c r="A46" s="40" t="inlineStr">
        <is>
          <t>Total de costos fijos</t>
        </is>
      </c>
      <c r="B46" s="41" t="n"/>
      <c r="C46" s="36">
        <f>SUM(C44:C45)</f>
        <v/>
      </c>
      <c r="D46" s="36">
        <f>SUM(D44:D45)</f>
        <v/>
      </c>
      <c r="E46" s="36">
        <f>SUM(E44:E45)</f>
        <v/>
      </c>
      <c r="F46" s="36">
        <f>SUM(F44:F45)</f>
        <v/>
      </c>
      <c r="G46" s="36">
        <f>SUM(G44:G45)</f>
        <v/>
      </c>
      <c r="H46" s="36">
        <f>SUM(H44:H45)</f>
        <v/>
      </c>
      <c r="I46" s="36">
        <f>SUM(I44:I45)</f>
        <v/>
      </c>
      <c r="J46" s="36">
        <f>SUM(J44:J45)</f>
        <v/>
      </c>
      <c r="K46" s="36">
        <f>SUM(K44:K45)</f>
        <v/>
      </c>
      <c r="L46" s="37">
        <f>SUM(L44:L45)</f>
        <v/>
      </c>
    </row>
    <row r="47" ht="14.25" customHeight="1" s="1">
      <c r="B47" s="21" t="n"/>
    </row>
    <row r="48" ht="14.25" customHeight="1" s="1">
      <c r="A48" s="22" t="inlineStr">
        <is>
          <t>4. Capital de trabajo</t>
        </is>
      </c>
      <c r="B48" s="42" t="n"/>
      <c r="C48" s="43" t="n"/>
      <c r="D48" s="43" t="n"/>
      <c r="E48" s="43" t="n"/>
      <c r="F48" s="43" t="n"/>
      <c r="G48" s="43" t="n"/>
      <c r="H48" s="43" t="n"/>
    </row>
    <row r="49" ht="14.25" customHeight="1" s="1">
      <c r="A49" s="44" t="inlineStr">
        <is>
          <t>Capital de trabajo</t>
        </is>
      </c>
      <c r="B49" s="42" t="n"/>
      <c r="C49" s="43" t="n"/>
      <c r="D49" s="43" t="n"/>
      <c r="E49" s="43" t="n"/>
      <c r="F49" s="43" t="n"/>
      <c r="G49" s="43" t="n"/>
      <c r="H49" s="43" t="n"/>
    </row>
    <row r="50" ht="15.75" customHeight="1" s="1">
      <c r="A50" s="160" t="inlineStr">
        <is>
          <t>Necesidad de Efectivo</t>
        </is>
      </c>
    </row>
    <row r="51" ht="14.25" customHeight="1" s="1">
      <c r="A51" s="161" t="inlineStr">
        <is>
          <t>Concepto</t>
        </is>
      </c>
      <c r="B51" s="26" t="inlineStr">
        <is>
          <t>Año 0</t>
        </is>
      </c>
      <c r="C51" s="26" t="inlineStr">
        <is>
          <t>Año 1</t>
        </is>
      </c>
      <c r="D51" s="26" t="inlineStr">
        <is>
          <t>Año 2</t>
        </is>
      </c>
      <c r="E51" s="26" t="inlineStr">
        <is>
          <t>Año 3</t>
        </is>
      </c>
      <c r="F51" s="26" t="inlineStr">
        <is>
          <t>Año 4</t>
        </is>
      </c>
      <c r="G51" s="26" t="inlineStr">
        <is>
          <t>Año 5</t>
        </is>
      </c>
      <c r="H51" s="26" t="inlineStr">
        <is>
          <t>Año 6</t>
        </is>
      </c>
      <c r="I51" s="26" t="inlineStr">
        <is>
          <t>Año 7</t>
        </is>
      </c>
      <c r="J51" s="26" t="inlineStr">
        <is>
          <t>Año 8</t>
        </is>
      </c>
      <c r="K51" s="26" t="inlineStr">
        <is>
          <t>Año 9</t>
        </is>
      </c>
      <c r="L51" s="27" t="inlineStr">
        <is>
          <t>Año 10</t>
        </is>
      </c>
    </row>
    <row r="52" ht="14.25" customHeight="1" s="1">
      <c r="A52" s="28" t="inlineStr">
        <is>
          <t>Capital de trabajo</t>
        </is>
      </c>
      <c r="B52" s="45" t="n"/>
      <c r="C52" s="38">
        <f>C13+B52</f>
        <v/>
      </c>
      <c r="D52" s="38">
        <f>D13+C52</f>
        <v/>
      </c>
      <c r="E52" s="38">
        <f>E13+D52</f>
        <v/>
      </c>
      <c r="F52" s="38">
        <f>F13+E52</f>
        <v/>
      </c>
      <c r="G52" s="38">
        <f>G13+F52</f>
        <v/>
      </c>
      <c r="H52" s="38">
        <f>H13+G52</f>
        <v/>
      </c>
      <c r="I52" s="38">
        <f>I13+H52</f>
        <v/>
      </c>
      <c r="J52" s="38">
        <f>J13+I52</f>
        <v/>
      </c>
      <c r="K52" s="38">
        <f>K13+J52</f>
        <v/>
      </c>
      <c r="L52" s="38">
        <f>L13+K52</f>
        <v/>
      </c>
    </row>
    <row r="53" ht="15.75" customHeight="1" s="1">
      <c r="A53" s="34" t="inlineStr">
        <is>
          <t>Efectivo requerido en caja</t>
        </is>
      </c>
      <c r="B53" s="46" t="n"/>
      <c r="C53" s="36">
        <f>SUM(C52:C52)</f>
        <v/>
      </c>
      <c r="D53" s="36">
        <f>SUM(D52:D52)</f>
        <v/>
      </c>
      <c r="E53" s="36">
        <f>SUM(E52:E52)</f>
        <v/>
      </c>
      <c r="F53" s="36">
        <f>SUM(F52:F52)</f>
        <v/>
      </c>
      <c r="G53" s="36">
        <f>SUM(G52:G52)</f>
        <v/>
      </c>
      <c r="H53" s="36">
        <f>SUM(H52:H52)</f>
        <v/>
      </c>
      <c r="I53" s="36">
        <f>SUM(I52:I52)</f>
        <v/>
      </c>
      <c r="J53" s="36">
        <f>SUM(J52:J52)</f>
        <v/>
      </c>
      <c r="K53" s="36">
        <f>SUM(K52:K52)</f>
        <v/>
      </c>
      <c r="L53" s="37">
        <f>SUM(L52:L52)</f>
        <v/>
      </c>
    </row>
    <row r="54" ht="14.25" customHeight="1" s="1">
      <c r="A54" s="43" t="n"/>
      <c r="B54" s="42" t="n"/>
      <c r="C54" s="43" t="n"/>
      <c r="D54" s="43" t="n"/>
      <c r="E54" s="43" t="n"/>
      <c r="F54" s="43" t="n"/>
      <c r="G54" s="43" t="n"/>
      <c r="H54" s="43" t="n"/>
    </row>
    <row r="55" ht="15.75" customHeight="1" s="1">
      <c r="A55" s="160" t="inlineStr">
        <is>
          <t>Cálculo del Capital de Trabajo</t>
        </is>
      </c>
    </row>
    <row r="56" ht="14.25" customHeight="1" s="1">
      <c r="A56" s="161" t="inlineStr">
        <is>
          <t>Concepto</t>
        </is>
      </c>
      <c r="B56" s="26" t="inlineStr">
        <is>
          <t>Cobertura</t>
        </is>
      </c>
      <c r="C56" s="26" t="inlineStr">
        <is>
          <t>Año 1</t>
        </is>
      </c>
      <c r="D56" s="26" t="inlineStr">
        <is>
          <t>Año 2</t>
        </is>
      </c>
      <c r="E56" s="26" t="inlineStr">
        <is>
          <t>Año 3</t>
        </is>
      </c>
      <c r="F56" s="26" t="inlineStr">
        <is>
          <t>Año 4</t>
        </is>
      </c>
      <c r="G56" s="26" t="inlineStr">
        <is>
          <t>Año 5</t>
        </is>
      </c>
      <c r="H56" s="26" t="inlineStr">
        <is>
          <t>Año 6</t>
        </is>
      </c>
      <c r="I56" s="26" t="inlineStr">
        <is>
          <t>Año 7</t>
        </is>
      </c>
      <c r="J56" s="26" t="inlineStr">
        <is>
          <t>Año 8</t>
        </is>
      </c>
      <c r="K56" s="26" t="inlineStr">
        <is>
          <t>Año 9</t>
        </is>
      </c>
      <c r="L56" s="27" t="inlineStr">
        <is>
          <t>Año 10</t>
        </is>
      </c>
    </row>
    <row r="57" ht="14.25" customHeight="1" s="1">
      <c r="A57" s="47" t="inlineStr">
        <is>
          <t>Activo circulante</t>
        </is>
      </c>
      <c r="B57" s="48" t="n"/>
      <c r="C57" s="49">
        <f>C58</f>
        <v/>
      </c>
      <c r="D57" s="49">
        <f>D58</f>
        <v/>
      </c>
      <c r="E57" s="49">
        <f>E58</f>
        <v/>
      </c>
      <c r="F57" s="49">
        <f>F58</f>
        <v/>
      </c>
      <c r="G57" s="49">
        <f>G58</f>
        <v/>
      </c>
      <c r="H57" s="49">
        <f>H58</f>
        <v/>
      </c>
      <c r="I57" s="49">
        <f>I58</f>
        <v/>
      </c>
      <c r="J57" s="49">
        <f>J58</f>
        <v/>
      </c>
      <c r="K57" s="49">
        <f>K58</f>
        <v/>
      </c>
      <c r="L57" s="50">
        <f>L58</f>
        <v/>
      </c>
    </row>
    <row r="58" ht="14.25" customHeight="1" s="1">
      <c r="A58" s="28" t="inlineStr">
        <is>
          <t xml:space="preserve">     Efectivo </t>
        </is>
      </c>
      <c r="B58" s="45" t="n"/>
      <c r="C58" s="38">
        <f>C53</f>
        <v/>
      </c>
      <c r="D58" s="38">
        <f>D53</f>
        <v/>
      </c>
      <c r="E58" s="38">
        <f>E53</f>
        <v/>
      </c>
      <c r="F58" s="38">
        <f>F53</f>
        <v/>
      </c>
      <c r="G58" s="38">
        <f>G53</f>
        <v/>
      </c>
      <c r="H58" s="38">
        <f>H53</f>
        <v/>
      </c>
      <c r="I58" s="38">
        <f>I53</f>
        <v/>
      </c>
      <c r="J58" s="38">
        <f>J53</f>
        <v/>
      </c>
      <c r="K58" s="38">
        <f>K53</f>
        <v/>
      </c>
      <c r="L58" s="39">
        <f>L53</f>
        <v/>
      </c>
    </row>
    <row r="59" ht="14.25" customHeight="1" s="1">
      <c r="A59" s="47" t="inlineStr">
        <is>
          <t>Pasivo circulante</t>
        </is>
      </c>
      <c r="B59" s="48" t="n"/>
      <c r="C59" s="49">
        <f>SUM(C60:C61)</f>
        <v/>
      </c>
      <c r="D59" s="49">
        <f>SUM(D60:D61)</f>
        <v/>
      </c>
      <c r="E59" s="49">
        <f>SUM(E60:E61)</f>
        <v/>
      </c>
      <c r="F59" s="49">
        <f>SUM(F60:F61)</f>
        <v/>
      </c>
      <c r="G59" s="49">
        <f>SUM(G60:G61)</f>
        <v/>
      </c>
      <c r="H59" s="49">
        <f>SUM(H60:H61)</f>
        <v/>
      </c>
      <c r="I59" s="49">
        <f>SUM(I60:I61)</f>
        <v/>
      </c>
      <c r="J59" s="49">
        <f>SUM(J60:J61)</f>
        <v/>
      </c>
      <c r="K59" s="49">
        <f>SUM(K60:K61)</f>
        <v/>
      </c>
      <c r="L59" s="50">
        <f>SUM(L60:L61)</f>
        <v/>
      </c>
    </row>
    <row r="60" ht="14.25" customHeight="1" s="1">
      <c r="A60" s="28" t="inlineStr">
        <is>
          <t xml:space="preserve">     Cuentas por pagar</t>
        </is>
      </c>
      <c r="B60" s="45" t="n"/>
      <c r="C60" s="38" t="n">
        <v>0</v>
      </c>
      <c r="D60" s="38" t="n">
        <v>0</v>
      </c>
      <c r="E60" s="38" t="n">
        <v>0</v>
      </c>
      <c r="F60" s="38" t="n">
        <v>0</v>
      </c>
      <c r="G60" s="38" t="n">
        <v>0</v>
      </c>
      <c r="H60" s="38" t="n">
        <v>0</v>
      </c>
      <c r="I60" s="38" t="n">
        <v>0</v>
      </c>
      <c r="J60" s="38" t="n">
        <v>0</v>
      </c>
      <c r="K60" s="38" t="n">
        <v>0</v>
      </c>
      <c r="L60" s="39" t="n">
        <v>0</v>
      </c>
    </row>
    <row r="61" ht="14.25" customHeight="1" s="1">
      <c r="A61" s="28" t="inlineStr">
        <is>
          <t xml:space="preserve">     Proveedores</t>
        </is>
      </c>
      <c r="B61" s="45" t="n"/>
      <c r="C61" s="38" t="n">
        <v>0</v>
      </c>
      <c r="D61" s="38" t="n">
        <v>0</v>
      </c>
      <c r="E61" s="38" t="n">
        <v>0</v>
      </c>
      <c r="F61" s="38" t="n">
        <v>0</v>
      </c>
      <c r="G61" s="38" t="n">
        <v>0</v>
      </c>
      <c r="H61" s="38" t="n">
        <v>0</v>
      </c>
      <c r="I61" s="38" t="n">
        <v>0</v>
      </c>
      <c r="J61" s="38" t="n">
        <v>0</v>
      </c>
      <c r="K61" s="38" t="n">
        <v>0</v>
      </c>
      <c r="L61" s="39" t="n">
        <v>0</v>
      </c>
    </row>
    <row r="62" ht="14.25" customHeight="1" s="1">
      <c r="A62" s="51" t="inlineStr">
        <is>
          <t>Capital de Trabajo (Ac - Pc)</t>
        </is>
      </c>
      <c r="B62" s="52" t="n"/>
      <c r="C62" s="53">
        <f>C57-C59</f>
        <v/>
      </c>
      <c r="D62" s="53">
        <f>D57-D59</f>
        <v/>
      </c>
      <c r="E62" s="53">
        <f>E57-E59</f>
        <v/>
      </c>
      <c r="F62" s="53">
        <f>F57-F59</f>
        <v/>
      </c>
      <c r="G62" s="53">
        <f>G57-G59</f>
        <v/>
      </c>
      <c r="H62" s="53">
        <f>H57-H59</f>
        <v/>
      </c>
      <c r="I62" s="53">
        <f>I57-I59</f>
        <v/>
      </c>
      <c r="J62" s="53">
        <f>J57-J59</f>
        <v/>
      </c>
      <c r="K62" s="53">
        <f>K57-K59</f>
        <v/>
      </c>
      <c r="L62" s="54">
        <f>L57-L59</f>
        <v/>
      </c>
    </row>
    <row r="63" ht="15.75" customHeight="1" s="1">
      <c r="A63" s="34" t="inlineStr">
        <is>
          <t>Incremento Capital Trabajo</t>
        </is>
      </c>
      <c r="B63" s="36">
        <f>C62-B62</f>
        <v/>
      </c>
      <c r="C63" s="36">
        <f>D62-C62</f>
        <v/>
      </c>
      <c r="D63" s="36">
        <f>E62-D62</f>
        <v/>
      </c>
      <c r="E63" s="36">
        <f>F62-E62</f>
        <v/>
      </c>
      <c r="F63" s="36">
        <f>G62-F62</f>
        <v/>
      </c>
      <c r="G63" s="36">
        <f>H62-G62</f>
        <v/>
      </c>
      <c r="H63" s="36">
        <f>I62-H62</f>
        <v/>
      </c>
      <c r="I63" s="36">
        <f>J62-I62</f>
        <v/>
      </c>
      <c r="J63" s="36">
        <f>K62-J62</f>
        <v/>
      </c>
      <c r="K63" s="36">
        <f>L62-K62</f>
        <v/>
      </c>
      <c r="L63" s="37">
        <f>M62-L62</f>
        <v/>
      </c>
    </row>
    <row r="64" ht="14.25" customHeight="1" s="1">
      <c r="B64" s="24" t="n"/>
    </row>
    <row r="65" ht="14.25" customHeight="1" s="1">
      <c r="A65" s="22" t="inlineStr">
        <is>
          <t>5. Inversiones</t>
        </is>
      </c>
      <c r="B65" s="24" t="n"/>
    </row>
    <row r="66" ht="15.75" customHeight="1" s="1">
      <c r="A66" s="23" t="inlineStr">
        <is>
          <t>Calendario de inversiones</t>
        </is>
      </c>
      <c r="B66" s="24" t="n"/>
    </row>
    <row r="67" ht="14.25" customHeight="1" s="1">
      <c r="A67" s="161" t="inlineStr">
        <is>
          <t>Concepto</t>
        </is>
      </c>
      <c r="B67" s="26" t="inlineStr">
        <is>
          <t>Año 0</t>
        </is>
      </c>
      <c r="C67" s="26" t="inlineStr">
        <is>
          <t>Año 1</t>
        </is>
      </c>
      <c r="D67" s="26" t="inlineStr">
        <is>
          <t>Año 2</t>
        </is>
      </c>
      <c r="E67" s="26" t="inlineStr">
        <is>
          <t>Año 3</t>
        </is>
      </c>
      <c r="F67" s="26" t="inlineStr">
        <is>
          <t>Año 4</t>
        </is>
      </c>
      <c r="G67" s="26" t="inlineStr">
        <is>
          <t>Año 5</t>
        </is>
      </c>
      <c r="H67" s="26" t="inlineStr">
        <is>
          <t>Año 6</t>
        </is>
      </c>
      <c r="I67" s="26" t="inlineStr">
        <is>
          <t>Año 7</t>
        </is>
      </c>
      <c r="J67" s="26" t="inlineStr">
        <is>
          <t>Año 8</t>
        </is>
      </c>
      <c r="K67" s="26" t="inlineStr">
        <is>
          <t>Año 9</t>
        </is>
      </c>
      <c r="L67" s="27" t="inlineStr">
        <is>
          <t>Año 10</t>
        </is>
      </c>
    </row>
    <row r="68" ht="14.25" customHeight="1" s="1">
      <c r="A68" s="47" t="inlineStr">
        <is>
          <t>Activos Fijos</t>
        </is>
      </c>
      <c r="B68" s="55" t="n"/>
      <c r="C68" s="55" t="n"/>
      <c r="D68" s="55" t="n"/>
      <c r="E68" s="55" t="n"/>
      <c r="F68" s="55" t="n"/>
      <c r="G68" s="55" t="n"/>
      <c r="H68" s="55" t="n"/>
      <c r="I68" s="55" t="n"/>
      <c r="J68" s="55" t="n"/>
      <c r="K68" s="55" t="n"/>
      <c r="L68" s="56" t="n"/>
    </row>
    <row r="69" ht="14.25" customHeight="1" s="1">
      <c r="A69" s="28" t="inlineStr">
        <is>
          <t xml:space="preserve">   Inversiones a 20 años</t>
        </is>
      </c>
      <c r="B69" s="57" t="n">
        <v>100000</v>
      </c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6" t="n"/>
    </row>
    <row r="70" ht="14.25" customHeight="1" s="1">
      <c r="A70" s="28" t="inlineStr">
        <is>
          <t xml:space="preserve">  Inversiones a 10 años</t>
        </is>
      </c>
      <c r="B70" s="57">
        <f>3000000+200000+450000+50000</f>
        <v/>
      </c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6" t="n"/>
    </row>
    <row r="71" ht="14.25" customHeight="1" s="1">
      <c r="A71" s="28" t="inlineStr">
        <is>
          <t xml:space="preserve">  Inversiones a 5 años</t>
        </is>
      </c>
      <c r="B71" s="57">
        <f>300000+100000</f>
        <v/>
      </c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6" t="n"/>
    </row>
    <row r="72" ht="14.25" customHeight="1" s="1">
      <c r="A72" s="28" t="inlineStr">
        <is>
          <t xml:space="preserve">  Inversion terrenos</t>
        </is>
      </c>
      <c r="B72" s="57" t="n">
        <v>750000</v>
      </c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6" t="n"/>
    </row>
    <row r="73" ht="14.25" customHeight="1" s="1">
      <c r="A73" s="47" t="inlineStr">
        <is>
          <t>Gastos Pre-operativos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6" t="n"/>
    </row>
    <row r="74" ht="14.25" customHeight="1" s="1">
      <c r="A74" s="28" t="inlineStr">
        <is>
          <t xml:space="preserve">  Gastos puesta en marcha</t>
        </is>
      </c>
      <c r="B74" s="57" t="n">
        <v>0</v>
      </c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6" t="n"/>
    </row>
    <row r="75" ht="14.25" customHeight="1" s="1">
      <c r="A75" s="47" t="inlineStr">
        <is>
          <t>Capital de trabajo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6" t="n"/>
    </row>
    <row r="76" ht="14.25" customHeight="1" s="1">
      <c r="A76" s="28" t="inlineStr">
        <is>
          <t xml:space="preserve">   Capital de trabajo</t>
        </is>
      </c>
      <c r="B76" s="57">
        <f>B63</f>
        <v/>
      </c>
      <c r="C76" s="57">
        <f>C63</f>
        <v/>
      </c>
      <c r="D76" s="57">
        <f>D63</f>
        <v/>
      </c>
      <c r="E76" s="57">
        <f>E63</f>
        <v/>
      </c>
      <c r="F76" s="57">
        <f>F63</f>
        <v/>
      </c>
      <c r="G76" s="57">
        <f>G63</f>
        <v/>
      </c>
      <c r="H76" s="57">
        <f>H63</f>
        <v/>
      </c>
      <c r="I76" s="57">
        <f>I63</f>
        <v/>
      </c>
      <c r="J76" s="57">
        <f>J63</f>
        <v/>
      </c>
      <c r="K76" s="57">
        <f>K63</f>
        <v/>
      </c>
      <c r="L76" s="58">
        <f>L63</f>
        <v/>
      </c>
    </row>
    <row r="77" ht="15.75" customHeight="1" s="1">
      <c r="A77" s="40" t="inlineStr">
        <is>
          <t>Total Inversiones</t>
        </is>
      </c>
      <c r="B77" s="59">
        <f>SUM(B68:B76)</f>
        <v/>
      </c>
      <c r="C77" s="59">
        <f>SUM(C68:C76)</f>
        <v/>
      </c>
      <c r="D77" s="59">
        <f>SUM(D68:D76)</f>
        <v/>
      </c>
      <c r="E77" s="59">
        <f>SUM(E68:E76)</f>
        <v/>
      </c>
      <c r="F77" s="59">
        <f>SUM(F68:F76)</f>
        <v/>
      </c>
      <c r="G77" s="59">
        <f>SUM(G68:G76)</f>
        <v/>
      </c>
      <c r="H77" s="59">
        <f>SUM(H68:H76)</f>
        <v/>
      </c>
      <c r="I77" s="59">
        <f>SUM(I68:I76)</f>
        <v/>
      </c>
      <c r="J77" s="59">
        <f>SUM(J68:J76)</f>
        <v/>
      </c>
      <c r="K77" s="59">
        <f>SUM(K68:K76)</f>
        <v/>
      </c>
      <c r="L77" s="60">
        <f>SUM(L68:L76)</f>
        <v/>
      </c>
    </row>
    <row r="78" ht="14.25" customHeight="1" s="1">
      <c r="B78" s="21" t="n"/>
    </row>
    <row r="79" ht="14.25" customHeight="1" s="1">
      <c r="A79" s="22" t="inlineStr">
        <is>
          <t>6.  Depreciaciones y Amortizaciones</t>
        </is>
      </c>
      <c r="B79" s="24" t="n"/>
    </row>
    <row r="80" ht="15.75" customHeight="1" s="1">
      <c r="A80" s="23" t="inlineStr">
        <is>
          <t>Calendario de Depreciaciones y Amortizaciones</t>
        </is>
      </c>
      <c r="B80" s="24" t="n"/>
    </row>
    <row r="81" ht="14.25" customHeight="1" s="1">
      <c r="A81" s="161" t="inlineStr">
        <is>
          <t>Concepto</t>
        </is>
      </c>
      <c r="B81" s="26" t="inlineStr">
        <is>
          <t>Año 0</t>
        </is>
      </c>
      <c r="C81" s="26" t="inlineStr">
        <is>
          <t>Año 1</t>
        </is>
      </c>
      <c r="D81" s="26" t="inlineStr">
        <is>
          <t>Año 2</t>
        </is>
      </c>
      <c r="E81" s="26" t="inlineStr">
        <is>
          <t>Año 3</t>
        </is>
      </c>
      <c r="F81" s="26" t="inlineStr">
        <is>
          <t>Año 4</t>
        </is>
      </c>
      <c r="G81" s="26" t="inlineStr">
        <is>
          <t>Año 5</t>
        </is>
      </c>
      <c r="H81" s="26" t="inlineStr">
        <is>
          <t>Año 6</t>
        </is>
      </c>
      <c r="I81" s="26" t="inlineStr">
        <is>
          <t>Año 7</t>
        </is>
      </c>
      <c r="J81" s="26" t="inlineStr">
        <is>
          <t>Año 8</t>
        </is>
      </c>
      <c r="K81" s="26" t="inlineStr">
        <is>
          <t>Año 9</t>
        </is>
      </c>
      <c r="L81" s="27" t="inlineStr">
        <is>
          <t>Año 10</t>
        </is>
      </c>
      <c r="R81" s="61" t="inlineStr">
        <is>
          <t>Inversión</t>
        </is>
      </c>
      <c r="S81" s="62" t="inlineStr">
        <is>
          <t>Valor Activo</t>
        </is>
      </c>
      <c r="T81" s="62" t="inlineStr">
        <is>
          <t>Valor residual</t>
        </is>
      </c>
      <c r="U81" s="62" t="inlineStr">
        <is>
          <t>Vida útil</t>
        </is>
      </c>
      <c r="V81" s="62" t="inlineStr">
        <is>
          <t>Dep. Anual</t>
        </is>
      </c>
    </row>
    <row r="82" ht="14.25" customHeight="1" s="1">
      <c r="A82" s="28" t="inlineStr">
        <is>
          <t>Inversiones a 20 años</t>
        </is>
      </c>
      <c r="B82" s="55" t="n"/>
      <c r="C82" s="57">
        <f>$V$82</f>
        <v/>
      </c>
      <c r="D82" s="57">
        <f>$V$82</f>
        <v/>
      </c>
      <c r="E82" s="57">
        <f>$V$82</f>
        <v/>
      </c>
      <c r="F82" s="57">
        <f>$V$82</f>
        <v/>
      </c>
      <c r="G82" s="57">
        <f>$V$82</f>
        <v/>
      </c>
      <c r="H82" s="57">
        <f>$V$82</f>
        <v/>
      </c>
      <c r="I82" s="57">
        <f>$V$82</f>
        <v/>
      </c>
      <c r="J82" s="57">
        <f>$V$82</f>
        <v/>
      </c>
      <c r="K82" s="57">
        <f>$V$82</f>
        <v/>
      </c>
      <c r="L82" s="57">
        <f>$V$82</f>
        <v/>
      </c>
      <c r="R82" s="63" t="inlineStr">
        <is>
          <t>Edificio</t>
        </is>
      </c>
      <c r="S82" s="15">
        <f>B69</f>
        <v/>
      </c>
      <c r="T82" s="64" t="n">
        <v>50000</v>
      </c>
      <c r="U82" s="65" t="n">
        <v>20</v>
      </c>
      <c r="V82" s="15">
        <f>(S82-T82)/U82</f>
        <v/>
      </c>
    </row>
    <row r="83" ht="14.25" customHeight="1" s="1">
      <c r="A83" s="28" t="inlineStr">
        <is>
          <t>Inversiones a 10 años</t>
        </is>
      </c>
      <c r="B83" s="55" t="n"/>
      <c r="C83" s="57">
        <f>$V$83+$V$84</f>
        <v/>
      </c>
      <c r="D83" s="57">
        <f>$V$83+$V$84</f>
        <v/>
      </c>
      <c r="E83" s="57">
        <f>$V$83+$V$84</f>
        <v/>
      </c>
      <c r="F83" s="57">
        <f>$V$83+$V$84</f>
        <v/>
      </c>
      <c r="G83" s="57">
        <f>$V$83+$V$84</f>
        <v/>
      </c>
      <c r="H83" s="57">
        <f>$V$83+$V$84</f>
        <v/>
      </c>
      <c r="I83" s="57">
        <f>$V$83+$V$84</f>
        <v/>
      </c>
      <c r="J83" s="57">
        <f>$V$83+$V$84</f>
        <v/>
      </c>
      <c r="K83" s="57">
        <f>$V$83+$V$84</f>
        <v/>
      </c>
      <c r="L83" s="57">
        <f>$V$83+$V$84</f>
        <v/>
      </c>
      <c r="R83" s="63" t="inlineStr">
        <is>
          <t>Estanque y canales</t>
        </is>
      </c>
      <c r="S83" s="15" t="n">
        <v>3000000</v>
      </c>
      <c r="T83" s="64" t="n">
        <v>1000000</v>
      </c>
      <c r="U83" s="66" t="n">
        <v>10</v>
      </c>
      <c r="V83" s="15">
        <f>(S83-T83)/U83</f>
        <v/>
      </c>
    </row>
    <row r="84" ht="14.25" customHeight="1" s="1">
      <c r="A84" s="28" t="inlineStr">
        <is>
          <t>Inversiones a 5 años</t>
        </is>
      </c>
      <c r="B84" s="55" t="n"/>
      <c r="C84" s="57">
        <f>$V$85</f>
        <v/>
      </c>
      <c r="D84" s="57">
        <f>$V$85</f>
        <v/>
      </c>
      <c r="E84" s="57">
        <f>$V$85</f>
        <v/>
      </c>
      <c r="F84" s="57">
        <f>$V$85</f>
        <v/>
      </c>
      <c r="G84" s="57">
        <f>$V$85</f>
        <v/>
      </c>
      <c r="H84" s="57" t="n">
        <v>0</v>
      </c>
      <c r="I84" s="57" t="n">
        <v>0</v>
      </c>
      <c r="J84" s="57" t="n">
        <v>0</v>
      </c>
      <c r="K84" s="57" t="n">
        <v>0</v>
      </c>
      <c r="L84" s="57" t="n">
        <v>0</v>
      </c>
      <c r="R84" s="63" t="inlineStr">
        <is>
          <t>Maq &amp; Equipo</t>
        </is>
      </c>
      <c r="S84" s="67">
        <f>B70-S83</f>
        <v/>
      </c>
      <c r="T84" s="63" t="n">
        <v>0</v>
      </c>
      <c r="U84" s="65" t="n">
        <v>10</v>
      </c>
      <c r="V84" s="15">
        <f>(S84-T84)/U84</f>
        <v/>
      </c>
    </row>
    <row r="85" ht="14.25" customHeight="1" s="1">
      <c r="A85" s="68" t="inlineStr">
        <is>
          <t>Total Depreciación</t>
        </is>
      </c>
      <c r="B85" s="69" t="n"/>
      <c r="C85" s="70">
        <f>SUM(C82:C84)</f>
        <v/>
      </c>
      <c r="D85" s="70">
        <f>SUM(D82:D84)</f>
        <v/>
      </c>
      <c r="E85" s="70">
        <f>SUM(E82:E84)</f>
        <v/>
      </c>
      <c r="F85" s="70">
        <f>SUM(F82:F84)</f>
        <v/>
      </c>
      <c r="G85" s="70">
        <f>SUM(G82:G84)</f>
        <v/>
      </c>
      <c r="H85" s="70">
        <f>SUM(H82:H84)</f>
        <v/>
      </c>
      <c r="I85" s="70">
        <f>SUM(I82:I84)</f>
        <v/>
      </c>
      <c r="J85" s="70">
        <f>SUM(J82:J84)</f>
        <v/>
      </c>
      <c r="K85" s="70">
        <f>SUM(K82:K84)</f>
        <v/>
      </c>
      <c r="L85" s="70">
        <f>SUM(L82:L84)</f>
        <v/>
      </c>
      <c r="R85" s="63" t="inlineStr">
        <is>
          <t>Vehículos y embarcaciones</t>
        </is>
      </c>
      <c r="S85" s="15">
        <f>B71</f>
        <v/>
      </c>
      <c r="T85" s="64" t="n">
        <v>0</v>
      </c>
      <c r="U85" s="66" t="n">
        <v>5</v>
      </c>
      <c r="V85" s="15">
        <f>(S85-T85)/U85</f>
        <v/>
      </c>
    </row>
    <row r="86" ht="14.25" customHeight="1" s="1">
      <c r="A86" s="71" t="n"/>
      <c r="B86" s="55" t="n"/>
      <c r="C86" s="55" t="n"/>
      <c r="D86" s="55" t="n"/>
      <c r="E86" s="55" t="n"/>
      <c r="F86" s="55" t="n"/>
      <c r="G86" s="55" t="n"/>
      <c r="H86" s="55" t="n"/>
      <c r="I86" s="55" t="n"/>
      <c r="J86" s="55" t="n"/>
      <c r="K86" s="55" t="n"/>
      <c r="L86" s="56" t="n"/>
      <c r="S86" s="72">
        <f>SUM(S82:S85)</f>
        <v/>
      </c>
    </row>
    <row r="87" ht="14.25" customHeight="1" s="1">
      <c r="A87" s="28" t="inlineStr">
        <is>
          <t>Amortización pre-operativos</t>
        </is>
      </c>
      <c r="B87" s="55" t="n"/>
      <c r="C87" s="57">
        <f>$B$74/10</f>
        <v/>
      </c>
      <c r="D87" s="57">
        <f>$B$74/10</f>
        <v/>
      </c>
      <c r="E87" s="57">
        <f>$B$74/10</f>
        <v/>
      </c>
      <c r="F87" s="57">
        <f>$B$74/10</f>
        <v/>
      </c>
      <c r="G87" s="57">
        <f>$B$74/10</f>
        <v/>
      </c>
      <c r="H87" s="57">
        <f>$B$74/10</f>
        <v/>
      </c>
      <c r="I87" s="57">
        <f>$B$74/10</f>
        <v/>
      </c>
      <c r="J87" s="57">
        <f>$B$74/10</f>
        <v/>
      </c>
      <c r="K87" s="57">
        <f>$B$74/10</f>
        <v/>
      </c>
      <c r="L87" s="73">
        <f>$B$74/10</f>
        <v/>
      </c>
      <c r="O87" s="74" t="n"/>
    </row>
    <row r="88" ht="15.75" customHeight="1" s="1">
      <c r="A88" s="40" t="inlineStr">
        <is>
          <t>Total Amortización</t>
        </is>
      </c>
      <c r="B88" s="75" t="n"/>
      <c r="C88" s="59">
        <f>SUM(C87)</f>
        <v/>
      </c>
      <c r="D88" s="59">
        <f>SUM(D87)</f>
        <v/>
      </c>
      <c r="E88" s="59">
        <f>SUM(E87)</f>
        <v/>
      </c>
      <c r="F88" s="59">
        <f>SUM(F87)</f>
        <v/>
      </c>
      <c r="G88" s="59">
        <f>SUM(G87)</f>
        <v/>
      </c>
      <c r="H88" s="59">
        <f>SUM(H87)</f>
        <v/>
      </c>
      <c r="I88" s="59">
        <f>SUM(I87)</f>
        <v/>
      </c>
      <c r="J88" s="59">
        <f>SUM(J87)</f>
        <v/>
      </c>
      <c r="K88" s="59">
        <f>SUM(K87)</f>
        <v/>
      </c>
      <c r="L88" s="60">
        <f>SUM(L87)</f>
        <v/>
      </c>
      <c r="O88" s="74" t="n"/>
    </row>
    <row r="89" ht="14.25" customHeight="1" s="1">
      <c r="B89" s="21" t="n"/>
    </row>
    <row r="90" ht="14.25" customHeight="1" s="1">
      <c r="A90" s="22" t="inlineStr">
        <is>
          <t>7. Valor de desecho del proyecto</t>
        </is>
      </c>
      <c r="B90" s="24" t="n"/>
    </row>
    <row r="91" ht="15.75" customHeight="1" s="1">
      <c r="A91" s="23" t="inlineStr">
        <is>
          <t>Clalculo del valor de desecho del proyecto (método contable)</t>
        </is>
      </c>
      <c r="B91" s="24" t="n"/>
    </row>
    <row r="92" ht="14.25" customHeight="1" s="1">
      <c r="A92" s="161" t="inlineStr">
        <is>
          <t>Concepto</t>
        </is>
      </c>
      <c r="B92" s="162" t="inlineStr">
        <is>
          <t>Valor del</t>
        </is>
      </c>
      <c r="C92" s="162" t="inlineStr">
        <is>
          <t>Depreciación por periodo</t>
        </is>
      </c>
      <c r="D92" s="170" t="n"/>
      <c r="E92" s="170" t="n"/>
      <c r="F92" s="170" t="n"/>
      <c r="G92" s="170" t="n"/>
      <c r="H92" s="170" t="n"/>
      <c r="I92" s="170" t="n"/>
      <c r="J92" s="170" t="n"/>
      <c r="K92" s="170" t="n"/>
      <c r="L92" s="171" t="n"/>
      <c r="M92" s="77" t="inlineStr">
        <is>
          <t>Valor de</t>
        </is>
      </c>
    </row>
    <row r="93" ht="14.25" customHeight="1" s="1">
      <c r="A93" s="172" t="n"/>
      <c r="B93" s="62" t="inlineStr">
        <is>
          <t>Activo</t>
        </is>
      </c>
      <c r="C93" s="78" t="inlineStr">
        <is>
          <t>Año 1</t>
        </is>
      </c>
      <c r="D93" s="78" t="inlineStr">
        <is>
          <t>Año 2</t>
        </is>
      </c>
      <c r="E93" s="78" t="inlineStr">
        <is>
          <t>Año 3</t>
        </is>
      </c>
      <c r="F93" s="78" t="inlineStr">
        <is>
          <t>Año 4</t>
        </is>
      </c>
      <c r="G93" s="78" t="inlineStr">
        <is>
          <t>Año 5</t>
        </is>
      </c>
      <c r="H93" s="78" t="inlineStr">
        <is>
          <t>Año 6</t>
        </is>
      </c>
      <c r="I93" s="78" t="inlineStr">
        <is>
          <t>Año 7</t>
        </is>
      </c>
      <c r="J93" s="78" t="inlineStr">
        <is>
          <t>Año 8</t>
        </is>
      </c>
      <c r="K93" s="78" t="inlineStr">
        <is>
          <t>Año 9</t>
        </is>
      </c>
      <c r="L93" s="78" t="inlineStr">
        <is>
          <t>Año 10</t>
        </is>
      </c>
      <c r="M93" s="79" t="inlineStr">
        <is>
          <t>Desecho</t>
        </is>
      </c>
    </row>
    <row r="94" ht="14.25" customHeight="1" s="1">
      <c r="A94" s="28" t="inlineStr">
        <is>
          <t>Inversiones a 20 años</t>
        </is>
      </c>
      <c r="B94" s="57">
        <f>B69</f>
        <v/>
      </c>
      <c r="C94" s="57">
        <f>C82</f>
        <v/>
      </c>
      <c r="D94" s="57">
        <f>D82</f>
        <v/>
      </c>
      <c r="E94" s="57">
        <f>E82</f>
        <v/>
      </c>
      <c r="F94" s="57">
        <f>F82</f>
        <v/>
      </c>
      <c r="G94" s="57">
        <f>G82</f>
        <v/>
      </c>
      <c r="H94" s="57">
        <f>H82</f>
        <v/>
      </c>
      <c r="I94" s="57">
        <f>I82</f>
        <v/>
      </c>
      <c r="J94" s="57">
        <f>J82</f>
        <v/>
      </c>
      <c r="K94" s="57">
        <f>K82</f>
        <v/>
      </c>
      <c r="L94" s="57">
        <f>L82</f>
        <v/>
      </c>
      <c r="M94" s="73">
        <f>B94-SUM(C94:L94)</f>
        <v/>
      </c>
    </row>
    <row r="95" ht="14.25" customHeight="1" s="1">
      <c r="A95" s="28" t="inlineStr">
        <is>
          <t>Inversiones a 10 años</t>
        </is>
      </c>
      <c r="B95" s="57">
        <f>B70</f>
        <v/>
      </c>
      <c r="C95" s="57">
        <f>C83</f>
        <v/>
      </c>
      <c r="D95" s="57">
        <f>D83</f>
        <v/>
      </c>
      <c r="E95" s="57">
        <f>E83</f>
        <v/>
      </c>
      <c r="F95" s="57">
        <f>F83</f>
        <v/>
      </c>
      <c r="G95" s="57">
        <f>G83</f>
        <v/>
      </c>
      <c r="H95" s="57">
        <f>H83</f>
        <v/>
      </c>
      <c r="I95" s="57">
        <f>I83</f>
        <v/>
      </c>
      <c r="J95" s="57">
        <f>J83</f>
        <v/>
      </c>
      <c r="K95" s="57">
        <f>K83</f>
        <v/>
      </c>
      <c r="L95" s="57">
        <f>L83</f>
        <v/>
      </c>
      <c r="M95" s="73">
        <f>B95-SUM(C95:L95)</f>
        <v/>
      </c>
    </row>
    <row r="96" ht="14.25" customHeight="1" s="1">
      <c r="A96" s="28" t="inlineStr">
        <is>
          <t>Inversiones a 5 años</t>
        </is>
      </c>
      <c r="B96" s="57">
        <f>B71</f>
        <v/>
      </c>
      <c r="C96" s="57">
        <f>C84</f>
        <v/>
      </c>
      <c r="D96" s="57">
        <f>D84</f>
        <v/>
      </c>
      <c r="E96" s="57">
        <f>E84</f>
        <v/>
      </c>
      <c r="F96" s="57">
        <f>F84</f>
        <v/>
      </c>
      <c r="G96" s="57">
        <f>G84</f>
        <v/>
      </c>
      <c r="H96" s="57">
        <f>H84</f>
        <v/>
      </c>
      <c r="I96" s="57">
        <f>I84</f>
        <v/>
      </c>
      <c r="J96" s="57">
        <f>J84</f>
        <v/>
      </c>
      <c r="K96" s="57">
        <f>K84</f>
        <v/>
      </c>
      <c r="L96" s="57">
        <f>L84</f>
        <v/>
      </c>
      <c r="M96" s="73">
        <f>B96-SUM(C96:L96)</f>
        <v/>
      </c>
    </row>
    <row r="97" ht="15.75" customHeight="1" s="1">
      <c r="A97" s="80" t="inlineStr">
        <is>
          <t>Amortización pre-operativos</t>
        </is>
      </c>
      <c r="B97" s="81">
        <f>B74</f>
        <v/>
      </c>
      <c r="C97" s="81">
        <f>C87</f>
        <v/>
      </c>
      <c r="D97" s="81">
        <f>D87</f>
        <v/>
      </c>
      <c r="E97" s="81">
        <f>E87</f>
        <v/>
      </c>
      <c r="F97" s="81">
        <f>F87</f>
        <v/>
      </c>
      <c r="G97" s="81">
        <f>G87</f>
        <v/>
      </c>
      <c r="H97" s="81">
        <f>H87</f>
        <v/>
      </c>
      <c r="I97" s="81">
        <f>I87</f>
        <v/>
      </c>
      <c r="J97" s="81">
        <f>J87</f>
        <v/>
      </c>
      <c r="K97" s="81">
        <f>K87</f>
        <v/>
      </c>
      <c r="L97" s="81">
        <f>L87</f>
        <v/>
      </c>
      <c r="M97" s="82">
        <f>B97-SUM(C97:L97)</f>
        <v/>
      </c>
    </row>
    <row r="98" ht="15.75" customHeight="1" s="1">
      <c r="A98" s="163" t="inlineStr">
        <is>
          <t>Valor de desecho total</t>
        </is>
      </c>
      <c r="B98" s="173" t="n"/>
      <c r="C98" s="173" t="n"/>
      <c r="D98" s="173" t="n"/>
      <c r="E98" s="173" t="n"/>
      <c r="F98" s="173" t="n"/>
      <c r="G98" s="173" t="n"/>
      <c r="H98" s="173" t="n"/>
      <c r="I98" s="173" t="n"/>
      <c r="J98" s="173" t="n"/>
      <c r="K98" s="173" t="n"/>
      <c r="L98" s="174" t="n"/>
      <c r="M98" s="83">
        <f>SUM(M94:M97)</f>
        <v/>
      </c>
    </row>
    <row r="99" ht="14.25" customHeight="1" s="1">
      <c r="B99" s="21" t="n"/>
    </row>
    <row r="100" ht="14.25" customHeight="1" s="1">
      <c r="A100" s="22" t="inlineStr">
        <is>
          <t>8. Financiamiento</t>
        </is>
      </c>
      <c r="B100" s="24" t="n"/>
    </row>
    <row r="101" ht="15.75" customHeight="1" s="1">
      <c r="A101" s="44" t="inlineStr">
        <is>
          <t>Cálculo del Financiamiento</t>
        </is>
      </c>
      <c r="B101" s="42" t="n"/>
      <c r="C101" s="43" t="n"/>
      <c r="D101" s="43" t="n"/>
      <c r="E101" s="43" t="n"/>
    </row>
    <row r="102" ht="14.25" customHeight="1" s="1">
      <c r="A102" s="84" t="inlineStr">
        <is>
          <t>Financiamiento bancario (valor)</t>
        </is>
      </c>
      <c r="B102" s="85">
        <f>B77*E102</f>
        <v/>
      </c>
      <c r="C102" s="86" t="n"/>
      <c r="D102" s="43" t="n"/>
      <c r="E102" s="87" t="n">
        <v>0</v>
      </c>
    </row>
    <row r="103" ht="14.25" customHeight="1" s="1">
      <c r="A103" s="28" t="inlineStr">
        <is>
          <t>Financiamiento bancario (tasa)</t>
        </is>
      </c>
      <c r="B103" s="88">
        <f>B22</f>
        <v/>
      </c>
      <c r="C103" s="89" t="n"/>
      <c r="D103" s="43" t="n"/>
      <c r="E103" s="43" t="n"/>
    </row>
    <row r="104" ht="14.25" customHeight="1" s="1">
      <c r="A104" s="28" t="inlineStr">
        <is>
          <t>Financiamiento bancario (periodos)</t>
        </is>
      </c>
      <c r="B104" s="90" t="n">
        <v>7</v>
      </c>
      <c r="C104" s="91" t="inlineStr">
        <is>
          <t>años</t>
        </is>
      </c>
      <c r="D104" s="43" t="n"/>
      <c r="E104" s="43" t="n"/>
    </row>
    <row r="105" ht="15.75" customHeight="1" s="1">
      <c r="A105" s="92" t="inlineStr">
        <is>
          <t>Modalidad</t>
        </is>
      </c>
      <c r="B105" s="159" t="inlineStr">
        <is>
          <t>Pagos exactos</t>
        </is>
      </c>
      <c r="C105" s="175" t="n"/>
      <c r="D105" s="43" t="n"/>
      <c r="E105" s="43" t="n"/>
    </row>
    <row r="106" ht="15.75" customHeight="1" s="1">
      <c r="A106" s="43" t="n"/>
      <c r="B106" s="42" t="n"/>
      <c r="C106" s="43" t="n"/>
      <c r="D106" s="43" t="n"/>
      <c r="E106" s="43" t="n"/>
    </row>
    <row r="107" ht="14.25" customHeight="1" s="1">
      <c r="A107" s="161" t="inlineStr">
        <is>
          <t>Concepto</t>
        </is>
      </c>
      <c r="B107" s="26" t="inlineStr">
        <is>
          <t>Año 0</t>
        </is>
      </c>
      <c r="C107" s="26" t="inlineStr">
        <is>
          <t>Año 1</t>
        </is>
      </c>
      <c r="D107" s="26" t="inlineStr">
        <is>
          <t>Año 2</t>
        </is>
      </c>
      <c r="E107" s="26" t="inlineStr">
        <is>
          <t>Año 3</t>
        </is>
      </c>
      <c r="F107" s="26" t="inlineStr">
        <is>
          <t>Año 4</t>
        </is>
      </c>
      <c r="G107" s="26" t="inlineStr">
        <is>
          <t>Año 5</t>
        </is>
      </c>
      <c r="H107" s="26" t="inlineStr">
        <is>
          <t>Año 6</t>
        </is>
      </c>
      <c r="I107" s="26" t="inlineStr">
        <is>
          <t>Año 7</t>
        </is>
      </c>
    </row>
    <row r="108" ht="14.25" customHeight="1" s="1">
      <c r="A108" s="28" t="inlineStr">
        <is>
          <t xml:space="preserve">Saldo crédito </t>
        </is>
      </c>
      <c r="B108" s="57">
        <f>B102</f>
        <v/>
      </c>
      <c r="C108" s="57">
        <f>B108-C111</f>
        <v/>
      </c>
      <c r="D108" s="57">
        <f>C108-D111</f>
        <v/>
      </c>
      <c r="E108" s="57">
        <f>D108-E111</f>
        <v/>
      </c>
      <c r="F108" s="57">
        <f>E108-F111</f>
        <v/>
      </c>
      <c r="G108" s="57">
        <f>F108-G111</f>
        <v/>
      </c>
      <c r="H108" s="57">
        <f>G108-H111</f>
        <v/>
      </c>
      <c r="I108" s="57">
        <f>H108-I111</f>
        <v/>
      </c>
    </row>
    <row r="109" ht="14.25" customHeight="1" s="1">
      <c r="A109" s="28" t="inlineStr">
        <is>
          <t>Cuota mensual (anualidad)</t>
        </is>
      </c>
      <c r="B109" s="55" t="n"/>
      <c r="C109" s="57">
        <f>C110</f>
        <v/>
      </c>
      <c r="D109" s="57">
        <f>D110</f>
        <v/>
      </c>
      <c r="E109" s="57" t="n">
        <v>0</v>
      </c>
      <c r="F109" s="57" t="n">
        <v>0</v>
      </c>
      <c r="G109" s="57" t="n">
        <v>0</v>
      </c>
      <c r="H109" s="57" t="n">
        <v>0</v>
      </c>
      <c r="I109" s="57">
        <f>(H108*B103)+H108</f>
        <v/>
      </c>
    </row>
    <row r="110" ht="14.25" customHeight="1" s="1">
      <c r="A110" s="28" t="inlineStr">
        <is>
          <t>Intereses</t>
        </is>
      </c>
      <c r="B110" s="55" t="n"/>
      <c r="C110" s="57">
        <f>B108*$B$103</f>
        <v/>
      </c>
      <c r="D110" s="57">
        <f>C108*$B$103</f>
        <v/>
      </c>
      <c r="E110" s="57">
        <f>D108*$B$103</f>
        <v/>
      </c>
      <c r="F110" s="57">
        <f>E108*$B$103</f>
        <v/>
      </c>
      <c r="G110" s="57">
        <f>F108*$B$103</f>
        <v/>
      </c>
      <c r="H110" s="57">
        <f>G108*$B$103</f>
        <v/>
      </c>
      <c r="I110" s="57">
        <f>H108*$B$103</f>
        <v/>
      </c>
    </row>
    <row r="111" ht="15.75" customHeight="1" s="1">
      <c r="A111" s="92" t="inlineStr">
        <is>
          <t>Abono a capital (amortización)</t>
        </is>
      </c>
      <c r="B111" s="93" t="n"/>
      <c r="C111" s="81">
        <f>C109-C110</f>
        <v/>
      </c>
      <c r="D111" s="81">
        <f>D109-D110</f>
        <v/>
      </c>
      <c r="E111" s="81">
        <f>E109-E110</f>
        <v/>
      </c>
      <c r="F111" s="81">
        <f>F109-F110</f>
        <v/>
      </c>
      <c r="G111" s="81">
        <f>G109-G110</f>
        <v/>
      </c>
      <c r="H111" s="81">
        <f>H109-H110</f>
        <v/>
      </c>
      <c r="I111" s="81">
        <f>I109-I110</f>
        <v/>
      </c>
    </row>
    <row r="112" ht="14.25" customHeight="1" s="1">
      <c r="B112" s="21" t="n"/>
    </row>
    <row r="113" ht="14.25" customHeight="1" s="1">
      <c r="A113" s="22" t="inlineStr">
        <is>
          <t>9.Flujo de caja del proyecto</t>
        </is>
      </c>
      <c r="B113" s="24" t="n"/>
    </row>
    <row r="114" ht="15.75" customHeight="1" s="1">
      <c r="A114" s="4" t="inlineStr">
        <is>
          <t>Flujo de caja del proyecto (con) Financiamiento)</t>
        </is>
      </c>
      <c r="B114" s="24" t="n"/>
    </row>
    <row r="115" ht="14.25" customHeight="1" s="1">
      <c r="A115" s="161" t="inlineStr">
        <is>
          <t>Concepto</t>
        </is>
      </c>
      <c r="B115" s="26" t="inlineStr">
        <is>
          <t>Año 0</t>
        </is>
      </c>
      <c r="C115" s="26" t="inlineStr">
        <is>
          <t>Año 1</t>
        </is>
      </c>
      <c r="D115" s="26" t="inlineStr">
        <is>
          <t>Año 2</t>
        </is>
      </c>
      <c r="E115" s="26" t="inlineStr">
        <is>
          <t>Año 3</t>
        </is>
      </c>
      <c r="F115" s="26" t="inlineStr">
        <is>
          <t>Año 4</t>
        </is>
      </c>
      <c r="G115" s="26" t="inlineStr">
        <is>
          <t>Año 5</t>
        </is>
      </c>
      <c r="H115" s="26" t="inlineStr">
        <is>
          <t>Año 6</t>
        </is>
      </c>
      <c r="I115" s="26" t="inlineStr">
        <is>
          <t>Año 7</t>
        </is>
      </c>
      <c r="J115" s="26" t="inlineStr">
        <is>
          <t>Año 8</t>
        </is>
      </c>
      <c r="K115" s="26" t="inlineStr">
        <is>
          <t>Año 9</t>
        </is>
      </c>
      <c r="L115" s="27" t="inlineStr">
        <is>
          <t>Año 10</t>
        </is>
      </c>
    </row>
    <row r="116" ht="14.25" customHeight="1" s="1">
      <c r="A116" s="94" t="inlineStr">
        <is>
          <t>+ Ingreso por ventas</t>
        </is>
      </c>
      <c r="B116" s="95" t="n"/>
      <c r="C116" s="96">
        <f>C33</f>
        <v/>
      </c>
      <c r="D116" s="96">
        <f>D33</f>
        <v/>
      </c>
      <c r="E116" s="96">
        <f>E33</f>
        <v/>
      </c>
      <c r="F116" s="96">
        <f>F33</f>
        <v/>
      </c>
      <c r="G116" s="96">
        <f>G33</f>
        <v/>
      </c>
      <c r="H116" s="96">
        <f>H33</f>
        <v/>
      </c>
      <c r="I116" s="96">
        <f>I33</f>
        <v/>
      </c>
      <c r="J116" s="96">
        <f>J33</f>
        <v/>
      </c>
      <c r="K116" s="96">
        <f>K33</f>
        <v/>
      </c>
      <c r="L116" s="97">
        <f>L33</f>
        <v/>
      </c>
    </row>
    <row r="117" ht="14.25" customHeight="1" s="1">
      <c r="A117" s="98" t="inlineStr">
        <is>
          <t>Ingreso por venta del terreno</t>
        </is>
      </c>
      <c r="B117" s="95" t="n"/>
      <c r="C117" s="95" t="n"/>
      <c r="D117" s="95" t="n"/>
      <c r="E117" s="95" t="n"/>
      <c r="F117" s="95" t="n"/>
      <c r="G117" s="95" t="n"/>
      <c r="H117" s="95" t="n"/>
      <c r="I117" s="95" t="n"/>
      <c r="J117" s="95" t="n"/>
      <c r="K117" s="95" t="n"/>
      <c r="L117" s="97">
        <f>B19</f>
        <v/>
      </c>
    </row>
    <row r="118" ht="14.25" customHeight="1" s="1">
      <c r="A118" s="94" t="inlineStr">
        <is>
          <t>- Egresos deducibles de impuestos</t>
        </is>
      </c>
      <c r="B118" s="95" t="n"/>
      <c r="C118" s="96">
        <f>SUM(C119:C121)</f>
        <v/>
      </c>
      <c r="D118" s="96">
        <f>SUM(D119:D121)</f>
        <v/>
      </c>
      <c r="E118" s="96">
        <f>SUM(E119:E121)</f>
        <v/>
      </c>
      <c r="F118" s="96">
        <f>SUM(F119:F121)</f>
        <v/>
      </c>
      <c r="G118" s="96">
        <f>SUM(G119:G121)</f>
        <v/>
      </c>
      <c r="H118" s="96">
        <f>SUM(H119:H121)</f>
        <v/>
      </c>
      <c r="I118" s="96">
        <f>SUM(I119:I121)</f>
        <v/>
      </c>
      <c r="J118" s="96">
        <f>SUM(J119:J121)</f>
        <v/>
      </c>
      <c r="K118" s="96">
        <f>SUM(K119:K121)</f>
        <v/>
      </c>
      <c r="L118" s="97">
        <f>SUM(L119:L121)</f>
        <v/>
      </c>
    </row>
    <row r="119" ht="14.25" customHeight="1" s="1">
      <c r="A119" s="99" t="inlineStr">
        <is>
          <t xml:space="preserve">     Costos variables</t>
        </is>
      </c>
      <c r="B119" s="100" t="n"/>
      <c r="C119" s="15">
        <f>C39</f>
        <v/>
      </c>
      <c r="D119" s="15">
        <f>D39</f>
        <v/>
      </c>
      <c r="E119" s="15">
        <f>E39</f>
        <v/>
      </c>
      <c r="F119" s="15">
        <f>F39</f>
        <v/>
      </c>
      <c r="G119" s="15">
        <f>G39</f>
        <v/>
      </c>
      <c r="H119" s="15">
        <f>H39</f>
        <v/>
      </c>
      <c r="I119" s="15">
        <f>I39</f>
        <v/>
      </c>
      <c r="J119" s="15">
        <f>J39</f>
        <v/>
      </c>
      <c r="K119" s="15">
        <f>K39</f>
        <v/>
      </c>
      <c r="L119" s="101">
        <f>L39</f>
        <v/>
      </c>
    </row>
    <row r="120" ht="14.25" customHeight="1" s="1">
      <c r="A120" s="99" t="inlineStr">
        <is>
          <t xml:space="preserve">     Costos Fijos</t>
        </is>
      </c>
      <c r="B120" s="100" t="n"/>
      <c r="C120" s="15">
        <f>C46</f>
        <v/>
      </c>
      <c r="D120" s="15">
        <f>D46</f>
        <v/>
      </c>
      <c r="E120" s="15">
        <f>E46</f>
        <v/>
      </c>
      <c r="F120" s="15">
        <f>F46</f>
        <v/>
      </c>
      <c r="G120" s="15">
        <f>G46</f>
        <v/>
      </c>
      <c r="H120" s="15">
        <f>H46</f>
        <v/>
      </c>
      <c r="I120" s="15">
        <f>I46</f>
        <v/>
      </c>
      <c r="J120" s="15">
        <f>J46</f>
        <v/>
      </c>
      <c r="K120" s="15">
        <f>K46</f>
        <v/>
      </c>
      <c r="L120" s="101">
        <f>L46</f>
        <v/>
      </c>
    </row>
    <row r="121" ht="14.25" customHeight="1" s="1">
      <c r="A121" s="99" t="inlineStr">
        <is>
          <t xml:space="preserve">     Gastos financieros</t>
        </is>
      </c>
      <c r="B121" s="100" t="n"/>
      <c r="C121" s="15">
        <f>C110</f>
        <v/>
      </c>
      <c r="D121" s="15">
        <f>D110</f>
        <v/>
      </c>
      <c r="E121" s="15">
        <f>E110</f>
        <v/>
      </c>
      <c r="F121" s="15">
        <f>F110</f>
        <v/>
      </c>
      <c r="G121" s="15">
        <f>G110</f>
        <v/>
      </c>
      <c r="H121" s="15">
        <f>H110</f>
        <v/>
      </c>
      <c r="I121" s="15">
        <f>I110</f>
        <v/>
      </c>
      <c r="J121" s="15">
        <f>J110</f>
        <v/>
      </c>
      <c r="K121" s="15">
        <f>K110</f>
        <v/>
      </c>
      <c r="L121" s="101">
        <f>L110</f>
        <v/>
      </c>
    </row>
    <row r="122" ht="14.25" customHeight="1" s="1">
      <c r="A122" s="94" t="inlineStr">
        <is>
          <t>- Gastos no desembolsables</t>
        </is>
      </c>
      <c r="B122" s="95" t="n"/>
      <c r="C122" s="96">
        <f>SUM(C123:C124)</f>
        <v/>
      </c>
      <c r="D122" s="96">
        <f>SUM(D123:D124)</f>
        <v/>
      </c>
      <c r="E122" s="96">
        <f>SUM(E123:E124)</f>
        <v/>
      </c>
      <c r="F122" s="96">
        <f>SUM(F123:F124)</f>
        <v/>
      </c>
      <c r="G122" s="96">
        <f>SUM(G123:G124)</f>
        <v/>
      </c>
      <c r="H122" s="96">
        <f>SUM(H123:H124)</f>
        <v/>
      </c>
      <c r="I122" s="96">
        <f>SUM(I123:I124)</f>
        <v/>
      </c>
      <c r="J122" s="96">
        <f>SUM(J123:J124)</f>
        <v/>
      </c>
      <c r="K122" s="96">
        <f>SUM(K123:K124)</f>
        <v/>
      </c>
      <c r="L122" s="97">
        <f>SUM(L123:L124)</f>
        <v/>
      </c>
    </row>
    <row r="123" ht="14.25" customHeight="1" s="1">
      <c r="A123" s="99" t="inlineStr">
        <is>
          <t xml:space="preserve">     Depreciación de activos</t>
        </is>
      </c>
      <c r="B123" s="100" t="n"/>
      <c r="C123" s="15">
        <f>C85</f>
        <v/>
      </c>
      <c r="D123" s="15">
        <f>D85</f>
        <v/>
      </c>
      <c r="E123" s="15">
        <f>E85</f>
        <v/>
      </c>
      <c r="F123" s="15">
        <f>F85</f>
        <v/>
      </c>
      <c r="G123" s="15">
        <f>G85</f>
        <v/>
      </c>
      <c r="H123" s="15">
        <f>H85</f>
        <v/>
      </c>
      <c r="I123" s="15">
        <f>I85</f>
        <v/>
      </c>
      <c r="J123" s="15">
        <f>J85</f>
        <v/>
      </c>
      <c r="K123" s="15">
        <f>K85</f>
        <v/>
      </c>
      <c r="L123" s="101">
        <f>L85</f>
        <v/>
      </c>
    </row>
    <row r="124" ht="14.25" customHeight="1" s="1">
      <c r="A124" s="99" t="inlineStr">
        <is>
          <t xml:space="preserve">     Amortización de pre-operativos</t>
        </is>
      </c>
      <c r="B124" s="100" t="n"/>
      <c r="C124" s="15">
        <f>C87</f>
        <v/>
      </c>
      <c r="D124" s="15">
        <f>D87</f>
        <v/>
      </c>
      <c r="E124" s="15">
        <f>E87</f>
        <v/>
      </c>
      <c r="F124" s="15">
        <f>F87</f>
        <v/>
      </c>
      <c r="G124" s="15">
        <f>G87</f>
        <v/>
      </c>
      <c r="H124" s="15">
        <f>H87</f>
        <v/>
      </c>
      <c r="I124" s="15">
        <f>I87</f>
        <v/>
      </c>
      <c r="J124" s="15">
        <f>J87</f>
        <v/>
      </c>
      <c r="K124" s="15">
        <f>K87</f>
        <v/>
      </c>
      <c r="L124" s="101">
        <f>L87</f>
        <v/>
      </c>
    </row>
    <row r="125" ht="14.25" customHeight="1" s="1">
      <c r="A125" s="94" t="inlineStr">
        <is>
          <t>= Utilidad antes de impuestos</t>
        </is>
      </c>
      <c r="B125" s="95" t="n"/>
      <c r="C125" s="96">
        <f>C116+C117-C118-C122</f>
        <v/>
      </c>
      <c r="D125" s="96">
        <f>D116+D117-D118-D122</f>
        <v/>
      </c>
      <c r="E125" s="96">
        <f>E116+E117-E118-E122</f>
        <v/>
      </c>
      <c r="F125" s="96">
        <f>F116+F117-F118-F122</f>
        <v/>
      </c>
      <c r="G125" s="96">
        <f>G116+G117-G118-G122</f>
        <v/>
      </c>
      <c r="H125" s="96">
        <f>H116+H117-H118-H122</f>
        <v/>
      </c>
      <c r="I125" s="96">
        <f>I116+I117-I118-I122</f>
        <v/>
      </c>
      <c r="J125" s="96">
        <f>J116+J117-J118-J122</f>
        <v/>
      </c>
      <c r="K125" s="96">
        <f>K116+K117-K118-K122</f>
        <v/>
      </c>
      <c r="L125" s="96">
        <f>L116+L117-L118-L122</f>
        <v/>
      </c>
    </row>
    <row r="126" ht="14.25" customHeight="1" s="1">
      <c r="A126" s="99" t="inlineStr">
        <is>
          <t>- Impuestos (30%)</t>
        </is>
      </c>
      <c r="B126" s="100" t="n"/>
      <c r="C126" s="10">
        <f>C125*$B$26</f>
        <v/>
      </c>
      <c r="D126" s="15">
        <f>D125*$B$26</f>
        <v/>
      </c>
      <c r="E126" s="15">
        <f>E125*$B$26</f>
        <v/>
      </c>
      <c r="F126" s="15">
        <f>F125*$B$26</f>
        <v/>
      </c>
      <c r="G126" s="15">
        <f>G125*$B$26</f>
        <v/>
      </c>
      <c r="H126" s="15">
        <f>H125*$B$26</f>
        <v/>
      </c>
      <c r="I126" s="15">
        <f>I125*$B$26</f>
        <v/>
      </c>
      <c r="J126" s="15">
        <f>J125*$B$26</f>
        <v/>
      </c>
      <c r="K126" s="15">
        <f>K125*$B$26</f>
        <v/>
      </c>
      <c r="L126" s="101">
        <f>L125*$B$26</f>
        <v/>
      </c>
    </row>
    <row r="127" ht="14.25" customHeight="1" s="1">
      <c r="A127" s="94" t="inlineStr">
        <is>
          <t>= Utilidad después de impuestos</t>
        </is>
      </c>
      <c r="B127" s="95" t="n"/>
      <c r="C127" s="96">
        <f>C125-C126</f>
        <v/>
      </c>
      <c r="D127" s="96">
        <f>D125-D126</f>
        <v/>
      </c>
      <c r="E127" s="96">
        <f>E125-E126</f>
        <v/>
      </c>
      <c r="F127" s="96">
        <f>F125-F126</f>
        <v/>
      </c>
      <c r="G127" s="96">
        <f>G125-G126</f>
        <v/>
      </c>
      <c r="H127" s="96">
        <f>H125-H126</f>
        <v/>
      </c>
      <c r="I127" s="96">
        <f>I125-I126</f>
        <v/>
      </c>
      <c r="J127" s="96">
        <f>J125-J126</f>
        <v/>
      </c>
      <c r="K127" s="96">
        <f>K125-K126</f>
        <v/>
      </c>
      <c r="L127" s="97">
        <f>L125-L126</f>
        <v/>
      </c>
    </row>
    <row r="128" ht="14.25" customHeight="1" s="1">
      <c r="A128" s="98" t="inlineStr">
        <is>
          <t>+ Gastos no desembolsables</t>
        </is>
      </c>
      <c r="B128" s="95" t="n"/>
      <c r="C128" s="96">
        <f>SUM(C129:C130)</f>
        <v/>
      </c>
      <c r="D128" s="96">
        <f>SUM(D129:D130)</f>
        <v/>
      </c>
      <c r="E128" s="96">
        <f>SUM(E129:E130)</f>
        <v/>
      </c>
      <c r="F128" s="96">
        <f>SUM(F129:F130)</f>
        <v/>
      </c>
      <c r="G128" s="96">
        <f>SUM(G129:G130)</f>
        <v/>
      </c>
      <c r="H128" s="96">
        <f>SUM(H129:H130)</f>
        <v/>
      </c>
      <c r="I128" s="96">
        <f>SUM(I129:I130)</f>
        <v/>
      </c>
      <c r="J128" s="96">
        <f>SUM(J129:J130)</f>
        <v/>
      </c>
      <c r="K128" s="96">
        <f>SUM(K129:K130)</f>
        <v/>
      </c>
      <c r="L128" s="97">
        <f>SUM(L129:L130)</f>
        <v/>
      </c>
    </row>
    <row r="129" ht="14.25" customHeight="1" s="1">
      <c r="A129" s="99" t="inlineStr">
        <is>
          <t xml:space="preserve">     Depreciación de activos</t>
        </is>
      </c>
      <c r="B129" s="100" t="n"/>
      <c r="C129" s="15">
        <f>C123</f>
        <v/>
      </c>
      <c r="D129" s="15">
        <f>D123</f>
        <v/>
      </c>
      <c r="E129" s="15">
        <f>E123</f>
        <v/>
      </c>
      <c r="F129" s="15">
        <f>F123</f>
        <v/>
      </c>
      <c r="G129" s="15">
        <f>G123</f>
        <v/>
      </c>
      <c r="H129" s="15">
        <f>H123</f>
        <v/>
      </c>
      <c r="I129" s="15">
        <f>I123</f>
        <v/>
      </c>
      <c r="J129" s="15">
        <f>J123</f>
        <v/>
      </c>
      <c r="K129" s="15">
        <f>K123</f>
        <v/>
      </c>
      <c r="L129" s="101">
        <f>L123</f>
        <v/>
      </c>
    </row>
    <row r="130" ht="14.25" customHeight="1" s="1">
      <c r="A130" s="99" t="inlineStr">
        <is>
          <t xml:space="preserve">     Amortización de pre-operativos</t>
        </is>
      </c>
      <c r="B130" s="100" t="n"/>
      <c r="C130" s="15">
        <f>C124</f>
        <v/>
      </c>
      <c r="D130" s="15">
        <f>D124</f>
        <v/>
      </c>
      <c r="E130" s="15">
        <f>E124</f>
        <v/>
      </c>
      <c r="F130" s="15">
        <f>F124</f>
        <v/>
      </c>
      <c r="G130" s="15">
        <f>G124</f>
        <v/>
      </c>
      <c r="H130" s="15">
        <f>H124</f>
        <v/>
      </c>
      <c r="I130" s="15">
        <f>I124</f>
        <v/>
      </c>
      <c r="J130" s="15">
        <f>J124</f>
        <v/>
      </c>
      <c r="K130" s="15">
        <f>K124</f>
        <v/>
      </c>
      <c r="L130" s="101">
        <f>L124</f>
        <v/>
      </c>
    </row>
    <row r="131" ht="14.25" customHeight="1" s="1">
      <c r="A131" s="94" t="inlineStr">
        <is>
          <t>+ Ingresos no sujetos a impuestos</t>
        </is>
      </c>
      <c r="B131" s="96">
        <f>SUM(B132:B134)</f>
        <v/>
      </c>
      <c r="C131" s="96">
        <f>SUM(C132:C134)</f>
        <v/>
      </c>
      <c r="D131" s="96">
        <f>SUM(D132:D134)</f>
        <v/>
      </c>
      <c r="E131" s="96">
        <f>SUM(E132:E134)</f>
        <v/>
      </c>
      <c r="F131" s="96">
        <f>SUM(F132:F134)</f>
        <v/>
      </c>
      <c r="G131" s="96">
        <f>SUM(G132:G134)</f>
        <v/>
      </c>
      <c r="H131" s="96">
        <f>SUM(H132:H134)</f>
        <v/>
      </c>
      <c r="I131" s="96">
        <f>SUM(I132:I134)</f>
        <v/>
      </c>
      <c r="J131" s="96">
        <f>SUM(J132:J134)</f>
        <v/>
      </c>
      <c r="K131" s="96">
        <f>SUM(K132:K134)</f>
        <v/>
      </c>
      <c r="L131" s="97">
        <f>SUM(L132:L134)</f>
        <v/>
      </c>
    </row>
    <row r="132" ht="14.25" customHeight="1" s="1">
      <c r="A132" s="99" t="inlineStr">
        <is>
          <t xml:space="preserve">     Valor de desecho</t>
        </is>
      </c>
      <c r="B132" s="100" t="n"/>
      <c r="C132" s="100" t="n"/>
      <c r="D132" s="100" t="n"/>
      <c r="E132" s="100" t="n"/>
      <c r="F132" s="100" t="n"/>
      <c r="G132" s="100" t="n"/>
      <c r="H132" s="100" t="n"/>
      <c r="I132" s="100" t="n"/>
      <c r="J132" s="100" t="n"/>
      <c r="K132" s="100" t="n"/>
      <c r="L132" s="101">
        <f>M98</f>
        <v/>
      </c>
    </row>
    <row r="133" ht="14.25" customHeight="1" s="1">
      <c r="A133" s="99" t="inlineStr">
        <is>
          <t xml:space="preserve">     Recuperación del capital de trabajo</t>
        </is>
      </c>
      <c r="B133" s="100" t="n"/>
      <c r="C133" s="100" t="n"/>
      <c r="D133" s="100" t="n"/>
      <c r="E133" s="100" t="n"/>
      <c r="F133" s="100" t="n"/>
      <c r="G133" s="100" t="n"/>
      <c r="H133" s="100" t="n"/>
      <c r="I133" s="100" t="n"/>
      <c r="J133" s="100" t="n"/>
      <c r="K133" s="100" t="n"/>
      <c r="L133" s="101">
        <f>-L77</f>
        <v/>
      </c>
    </row>
    <row r="134" ht="14.25" customHeight="1" s="1">
      <c r="A134" s="99" t="inlineStr">
        <is>
          <t xml:space="preserve">     Préstamo bancario</t>
        </is>
      </c>
      <c r="B134" s="15">
        <f>B102</f>
        <v/>
      </c>
      <c r="C134" s="100" t="n"/>
      <c r="D134" s="100" t="n"/>
      <c r="E134" s="100" t="n"/>
      <c r="F134" s="100" t="n"/>
      <c r="G134" s="100" t="n"/>
      <c r="H134" s="100" t="n"/>
      <c r="I134" s="100" t="n"/>
      <c r="J134" s="100" t="n"/>
      <c r="K134" s="100" t="n"/>
      <c r="L134" s="102" t="n"/>
    </row>
    <row r="135" ht="14.25" customHeight="1" s="1">
      <c r="A135" s="94" t="inlineStr">
        <is>
          <t>- Egresos no deducibles de impuestos</t>
        </is>
      </c>
      <c r="B135" s="96">
        <f>SUM(B136:B139)</f>
        <v/>
      </c>
      <c r="C135" s="96">
        <f>SUM(C136:C139)</f>
        <v/>
      </c>
      <c r="D135" s="96">
        <f>SUM(D136:D139)</f>
        <v/>
      </c>
      <c r="E135" s="96">
        <f>SUM(E136:E139)</f>
        <v/>
      </c>
      <c r="F135" s="96">
        <f>SUM(F136:F139)</f>
        <v/>
      </c>
      <c r="G135" s="96">
        <f>SUM(G136:G139)</f>
        <v/>
      </c>
      <c r="H135" s="96">
        <f>SUM(H136:H139)</f>
        <v/>
      </c>
      <c r="I135" s="96">
        <f>SUM(I136:I139)</f>
        <v/>
      </c>
      <c r="J135" s="96">
        <f>SUM(J136:J139)</f>
        <v/>
      </c>
      <c r="K135" s="96">
        <f>SUM(K136:K139)</f>
        <v/>
      </c>
      <c r="L135" s="97">
        <f>SUM(L136:L139)</f>
        <v/>
      </c>
    </row>
    <row r="136" ht="14.25" customHeight="1" s="1">
      <c r="A136" s="99" t="inlineStr">
        <is>
          <t xml:space="preserve">     Activos (inv. 20 años, 10 años, 5 años, terreno)</t>
        </is>
      </c>
      <c r="B136" s="96">
        <f>SUM(B69:B72)</f>
        <v/>
      </c>
      <c r="C136" s="95" t="n"/>
      <c r="D136" s="95" t="n"/>
      <c r="E136" s="95" t="n"/>
      <c r="F136" s="95" t="n"/>
      <c r="G136" s="96">
        <f>G69</f>
        <v/>
      </c>
      <c r="H136" s="95" t="n"/>
      <c r="I136" s="95" t="n"/>
      <c r="J136" s="95" t="n"/>
      <c r="K136" s="95" t="n"/>
      <c r="L136" s="103" t="n"/>
    </row>
    <row r="137" ht="14.25" customHeight="1" s="1">
      <c r="A137" s="99" t="inlineStr">
        <is>
          <t xml:space="preserve">     Gastos de puesta en marcha (pre-operativos)</t>
        </is>
      </c>
      <c r="B137" s="15">
        <f>B74</f>
        <v/>
      </c>
      <c r="C137" s="100" t="n"/>
      <c r="D137" s="100" t="n"/>
      <c r="E137" s="100" t="n"/>
      <c r="F137" s="100" t="n"/>
      <c r="G137" s="100" t="n"/>
      <c r="H137" s="100" t="n"/>
      <c r="I137" s="100" t="n"/>
      <c r="J137" s="100" t="n"/>
      <c r="K137" s="100" t="n"/>
      <c r="L137" s="102" t="n"/>
    </row>
    <row r="138" ht="14.25" customHeight="1" s="1">
      <c r="A138" s="99" t="inlineStr">
        <is>
          <t xml:space="preserve">     Inversión en capital de trabajo</t>
        </is>
      </c>
      <c r="B138" s="15">
        <f>B76</f>
        <v/>
      </c>
      <c r="C138" s="15">
        <f>C76</f>
        <v/>
      </c>
      <c r="D138" s="15">
        <f>D76</f>
        <v/>
      </c>
      <c r="E138" s="15">
        <f>E76</f>
        <v/>
      </c>
      <c r="F138" s="15">
        <f>F76</f>
        <v/>
      </c>
      <c r="G138" s="15">
        <f>G76</f>
        <v/>
      </c>
      <c r="H138" s="15">
        <f>H76</f>
        <v/>
      </c>
      <c r="I138" s="15">
        <f>I76</f>
        <v/>
      </c>
      <c r="J138" s="15">
        <f>J76</f>
        <v/>
      </c>
      <c r="K138" s="15">
        <f>K76</f>
        <v/>
      </c>
      <c r="L138" s="100" t="n"/>
    </row>
    <row r="139" ht="14.25" customHeight="1" s="1">
      <c r="A139" s="99" t="inlineStr">
        <is>
          <t xml:space="preserve">     Pago préstamo bancario</t>
        </is>
      </c>
      <c r="B139" s="100" t="n"/>
      <c r="C139" s="15">
        <f>C111</f>
        <v/>
      </c>
      <c r="D139" s="15">
        <f>D111</f>
        <v/>
      </c>
      <c r="E139" s="15">
        <f>E111</f>
        <v/>
      </c>
      <c r="F139" s="15">
        <f>F111</f>
        <v/>
      </c>
      <c r="G139" s="15">
        <f>G111</f>
        <v/>
      </c>
      <c r="H139" s="15">
        <f>H111</f>
        <v/>
      </c>
      <c r="I139" s="15">
        <f>I111</f>
        <v/>
      </c>
      <c r="J139" s="15">
        <f>J111</f>
        <v/>
      </c>
      <c r="K139" s="15">
        <f>K111</f>
        <v/>
      </c>
      <c r="L139" s="101">
        <f>L111</f>
        <v/>
      </c>
    </row>
    <row r="140" ht="14.25" customHeight="1" s="1">
      <c r="A140" s="104" t="inlineStr">
        <is>
          <t>= Flujo de caja</t>
        </is>
      </c>
      <c r="B140" s="53">
        <f>B127+B128+B131-B135</f>
        <v/>
      </c>
      <c r="C140" s="53">
        <f>C127+C128+C131-C135</f>
        <v/>
      </c>
      <c r="D140" s="53">
        <f>D127+D128+D131-D135</f>
        <v/>
      </c>
      <c r="E140" s="53">
        <f>E127+E128+E131-E135</f>
        <v/>
      </c>
      <c r="F140" s="53">
        <f>F127+F128+F131-F135</f>
        <v/>
      </c>
      <c r="G140" s="53">
        <f>G127+G128+G131-G135</f>
        <v/>
      </c>
      <c r="H140" s="53">
        <f>H127+H128+H131-H135</f>
        <v/>
      </c>
      <c r="I140" s="53">
        <f>I127+I128+I131-I135</f>
        <v/>
      </c>
      <c r="J140" s="53">
        <f>J127+J128+J131-J135</f>
        <v/>
      </c>
      <c r="K140" s="53">
        <f>K127+K128+K131-K135</f>
        <v/>
      </c>
      <c r="L140" s="53">
        <f>L127+L128+L131-L135</f>
        <v/>
      </c>
    </row>
    <row r="141" ht="14.25" customHeight="1" s="1">
      <c r="A141" s="105" t="inlineStr">
        <is>
          <t>Flujo de caja acumulado (PRI)</t>
        </is>
      </c>
    </row>
    <row r="142" ht="14.25" customHeight="1" s="1">
      <c r="A142" s="145" t="inlineStr">
        <is>
          <t xml:space="preserve">     Flujo acumulado</t>
        </is>
      </c>
      <c r="B142" s="53">
        <f>B140</f>
        <v/>
      </c>
      <c r="C142" s="53">
        <f>B142+C140</f>
        <v/>
      </c>
      <c r="D142" s="53">
        <f>C142+D140</f>
        <v/>
      </c>
      <c r="E142" s="53">
        <f>D142+E140</f>
        <v/>
      </c>
      <c r="F142" s="53">
        <f>E142+F140</f>
        <v/>
      </c>
      <c r="G142" s="53">
        <f>F142+G140</f>
        <v/>
      </c>
      <c r="H142" s="53">
        <f>G142+H140</f>
        <v/>
      </c>
      <c r="I142" s="53">
        <f>H142+I140</f>
        <v/>
      </c>
      <c r="J142" s="53">
        <f>I142+J140</f>
        <v/>
      </c>
      <c r="K142" s="53">
        <f>J142+K140</f>
        <v/>
      </c>
      <c r="L142" s="53">
        <f>K142+L140</f>
        <v/>
      </c>
    </row>
    <row r="143" ht="14.25" customHeight="1" s="1">
      <c r="A143" s="105" t="inlineStr">
        <is>
          <t>Flujo descontado acumulado (PRID)</t>
        </is>
      </c>
    </row>
    <row r="144" ht="14.25" customHeight="1" s="1">
      <c r="A144" s="145" t="inlineStr">
        <is>
          <t xml:space="preserve">     Flujo desc. acumulado</t>
        </is>
      </c>
      <c r="B144" s="53">
        <f>B140</f>
        <v/>
      </c>
      <c r="C144" s="53">
        <f>B144+C140/(1+B25)^1</f>
        <v/>
      </c>
      <c r="D144" s="53">
        <f>C144+D140/(1+B25)^2</f>
        <v/>
      </c>
      <c r="E144" s="53">
        <f>D144+E140/(1+B25)^3</f>
        <v/>
      </c>
      <c r="F144" s="53">
        <f>E144+F140/(1+B25)^4</f>
        <v/>
      </c>
      <c r="G144" s="53">
        <f>F144+G140/(1+B25)^5</f>
        <v/>
      </c>
      <c r="H144" s="53">
        <f>G144+H140/(1+B25)^6</f>
        <v/>
      </c>
      <c r="I144" s="53">
        <f>H144+I140/(1+B25)^7</f>
        <v/>
      </c>
      <c r="J144" s="53">
        <f>I144+J140/(1+B25)^8</f>
        <v/>
      </c>
      <c r="K144" s="53">
        <f>J144+K140/(1+B25)^9</f>
        <v/>
      </c>
      <c r="L144" s="53">
        <f>K144+L140/(1+B25)^10</f>
        <v/>
      </c>
    </row>
    <row r="145" ht="14.25" customHeight="1" s="1">
      <c r="B145" s="21" t="n"/>
      <c r="F145" s="106" t="n"/>
    </row>
    <row r="146" ht="14.25" customHeight="1" s="1">
      <c r="A146" s="22" t="inlineStr">
        <is>
          <t>10. Costo del capital</t>
        </is>
      </c>
    </row>
    <row r="147" ht="14.25" customHeight="1" s="1">
      <c r="B147" s="107" t="inlineStr">
        <is>
          <t>Participación ($)</t>
        </is>
      </c>
      <c r="C147" s="107" t="inlineStr">
        <is>
          <t>Participación (%)</t>
        </is>
      </c>
      <c r="D147" s="107" t="inlineStr">
        <is>
          <t>Costo</t>
        </is>
      </c>
      <c r="E147" s="107" t="inlineStr">
        <is>
          <t>Costo promedio</t>
        </is>
      </c>
    </row>
    <row r="148" ht="14.25" customHeight="1" s="1">
      <c r="A148" s="4" t="inlineStr">
        <is>
          <t>Préstamo bancario</t>
        </is>
      </c>
      <c r="B148" s="147">
        <f>B77</f>
        <v/>
      </c>
      <c r="C148" s="149" t="n">
        <v>0</v>
      </c>
      <c r="D148" s="149" t="n">
        <v>0</v>
      </c>
      <c r="E148" s="149" t="n">
        <v>0</v>
      </c>
    </row>
    <row r="149" ht="18" customHeight="1" s="1">
      <c r="A149" s="4" t="inlineStr">
        <is>
          <t>Fondos propios</t>
        </is>
      </c>
      <c r="B149" s="148">
        <f>B77</f>
        <v/>
      </c>
      <c r="C149" s="150" t="n">
        <v>1</v>
      </c>
      <c r="D149" s="149">
        <f>B25</f>
        <v/>
      </c>
      <c r="E149" s="150">
        <f>C149*D149</f>
        <v/>
      </c>
    </row>
    <row r="150" ht="14.25" customHeight="1" s="1">
      <c r="B150" s="147">
        <f>B148+B149</f>
        <v/>
      </c>
      <c r="C150" s="149">
        <f>C148+C149</f>
        <v/>
      </c>
      <c r="D150" s="149" t="n"/>
      <c r="E150" s="149">
        <f>E148+E149</f>
        <v/>
      </c>
    </row>
    <row r="152" ht="14.25" customHeight="1" s="1">
      <c r="A152" s="22" t="inlineStr">
        <is>
          <t>11. Indicadores financieros</t>
        </is>
      </c>
    </row>
    <row r="153" ht="14.25" customHeight="1" s="1">
      <c r="A153" s="109" t="inlineStr">
        <is>
          <t>VAN(19%) =</t>
        </is>
      </c>
      <c r="B153" s="110">
        <f>NPV(B25,C140:L140)+B140</f>
        <v/>
      </c>
    </row>
    <row r="154" ht="14.25" customHeight="1" s="1">
      <c r="A154" s="109" t="inlineStr">
        <is>
          <t>TIR =</t>
        </is>
      </c>
      <c r="B154" s="151">
        <f>IRR(B140:L140)</f>
        <v/>
      </c>
    </row>
    <row r="155" ht="14.25" customHeight="1" s="1">
      <c r="A155" s="109" t="inlineStr">
        <is>
          <t>PRI =</t>
        </is>
      </c>
      <c r="B155" s="112">
        <f>IFERROR(MATCH(1,INDEX((C142:L142&gt;=0)*1,0),0),"&gt;10")</f>
        <v/>
      </c>
    </row>
    <row r="156" ht="14.25" customHeight="1" s="1">
      <c r="A156" s="109" t="inlineStr">
        <is>
          <t>PRID =</t>
        </is>
      </c>
      <c r="B156" s="144">
        <f>IFERROR(MATCH(1,INDEX((C144:L144&gt;=0)*1,0),0),"&gt;10")</f>
        <v/>
      </c>
    </row>
    <row r="157" ht="14.25" customHeight="1" s="1">
      <c r="A157" s="109" t="inlineStr">
        <is>
          <t>ID =</t>
        </is>
      </c>
      <c r="B157" s="143">
        <f>(NPV(B25,C140:L140)+B140+ABS(B140))/ABS(B140)</f>
        <v/>
      </c>
    </row>
    <row r="158" ht="14.25" customHeight="1" s="1">
      <c r="B158" s="21" t="n"/>
    </row>
    <row r="159" ht="14.25" customHeight="1" s="1">
      <c r="B159" s="21" t="n"/>
    </row>
    <row r="160" ht="14.25" customHeight="1" s="1">
      <c r="A160" s="105" t="n"/>
      <c r="B160" s="113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</row>
    <row r="161" ht="14.25" customHeight="1" s="1">
      <c r="A161" s="105" t="n"/>
      <c r="B161" s="113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</row>
    <row r="162" ht="14.25" customHeight="1" s="1">
      <c r="A162" s="105" t="n"/>
      <c r="B162" s="113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</row>
    <row r="163" ht="14.25" customHeight="1" s="1">
      <c r="A163" s="105" t="n"/>
      <c r="B163" s="113" t="n"/>
      <c r="C163" s="115" t="n"/>
      <c r="D163" s="115" t="n"/>
      <c r="E163" s="115" t="n"/>
      <c r="F163" s="115" t="n"/>
      <c r="G163" s="115" t="n"/>
      <c r="H163" s="115" t="n"/>
      <c r="I163" s="115" t="n"/>
      <c r="J163" s="115" t="n"/>
      <c r="K163" s="115" t="n"/>
      <c r="L163" s="115" t="n"/>
    </row>
    <row r="164" ht="14.25" customHeight="1" s="1">
      <c r="B164" s="21" t="n"/>
    </row>
    <row r="165" ht="14.25" customHeight="1" s="1">
      <c r="B165" s="21" t="n"/>
    </row>
    <row r="166" ht="14.25" customHeight="1" s="1">
      <c r="B166" s="21" t="n"/>
    </row>
  </sheetData>
  <mergeCells count="6">
    <mergeCell ref="A50:H50"/>
    <mergeCell ref="A55:H55"/>
    <mergeCell ref="A98:L98"/>
    <mergeCell ref="A92:A93"/>
    <mergeCell ref="C92:L92"/>
    <mergeCell ref="B105:C105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66"/>
  <sheetViews>
    <sheetView showGridLines="0" topLeftCell="A140" zoomScaleNormal="100" workbookViewId="0">
      <selection activeCell="D157" sqref="D157"/>
    </sheetView>
  </sheetViews>
  <sheetFormatPr baseColWidth="10" defaultColWidth="8.6640625" defaultRowHeight="14.4"/>
  <cols>
    <col width="42.44140625" customWidth="1" style="1" min="1" max="1"/>
    <col width="15.5546875" customWidth="1" style="1" min="2" max="2"/>
    <col width="16.109375" customWidth="1" style="1" min="3" max="3"/>
    <col width="15.44140625" customWidth="1" style="1" min="4" max="8"/>
    <col width="15.5546875" customWidth="1" style="1" min="9" max="11"/>
    <col width="15.44140625" customWidth="1" style="1" min="12" max="12"/>
    <col width="13.5546875" customWidth="1" style="1" min="13" max="13"/>
    <col width="13.33203125" customWidth="1" style="1" min="14" max="14"/>
    <col width="10.6640625" customWidth="1" style="1" min="16" max="16"/>
    <col width="25.109375" customWidth="1" style="1" min="18" max="18"/>
    <col width="11.6640625" customWidth="1" style="1" min="19" max="19"/>
    <col width="13.44140625" customWidth="1" style="1" min="20" max="20"/>
    <col width="8.44140625" customWidth="1" style="1" min="21" max="21"/>
    <col width="10.6640625" customWidth="1" style="1" min="22" max="22"/>
  </cols>
  <sheetData>
    <row r="1" ht="15" customHeight="1" s="1">
      <c r="A1" s="2" t="inlineStr">
        <is>
          <t>Camaronera Industrial</t>
        </is>
      </c>
    </row>
    <row r="3" ht="14.25" customHeight="1" s="1">
      <c r="A3" s="3" t="inlineStr">
        <is>
          <t>Variables</t>
        </is>
      </c>
    </row>
    <row r="4" ht="14.25" customHeight="1" s="1">
      <c r="A4" s="4" t="inlineStr">
        <is>
          <t>Horizonte de evaluación (años)</t>
        </is>
      </c>
      <c r="B4" s="4" t="n">
        <v>10</v>
      </c>
    </row>
    <row r="5" ht="14.25" customHeight="1" s="1">
      <c r="A5" s="4" t="inlineStr">
        <is>
          <t>Devaluación</t>
        </is>
      </c>
      <c r="B5" s="5" t="n">
        <v>0.05</v>
      </c>
    </row>
    <row r="6" ht="14.25" customHeight="1" s="1">
      <c r="A6" s="4" t="inlineStr">
        <is>
          <t>Inflación</t>
        </is>
      </c>
      <c r="B6" s="5" t="n">
        <v>0.07000000000000001</v>
      </c>
    </row>
    <row r="7" ht="14.25" customHeight="1" s="1">
      <c r="B7" s="6" t="inlineStr">
        <is>
          <t>Año 0</t>
        </is>
      </c>
      <c r="C7" s="6" t="inlineStr">
        <is>
          <t>Año 1</t>
        </is>
      </c>
      <c r="D7" s="6" t="inlineStr">
        <is>
          <t>Año 2</t>
        </is>
      </c>
      <c r="E7" s="6" t="inlineStr">
        <is>
          <t>Año 3</t>
        </is>
      </c>
      <c r="F7" s="6" t="inlineStr">
        <is>
          <t>Año 4</t>
        </is>
      </c>
      <c r="G7" s="6" t="inlineStr">
        <is>
          <t>Año 5</t>
        </is>
      </c>
      <c r="H7" s="6" t="inlineStr">
        <is>
          <t>Año 6</t>
        </is>
      </c>
      <c r="I7" s="6" t="inlineStr">
        <is>
          <t>Año 7</t>
        </is>
      </c>
      <c r="J7" s="6" t="inlineStr">
        <is>
          <t>Año 8</t>
        </is>
      </c>
      <c r="K7" s="6" t="inlineStr">
        <is>
          <t>Año 9</t>
        </is>
      </c>
      <c r="L7" s="6" t="inlineStr">
        <is>
          <t>Año 10</t>
        </is>
      </c>
    </row>
    <row r="8" ht="14.25" customHeight="1" s="1">
      <c r="A8" s="4" t="inlineStr">
        <is>
          <t>Área en producción (Ha)</t>
        </is>
      </c>
      <c r="B8" s="7" t="n"/>
      <c r="C8" s="8" t="n">
        <v>750</v>
      </c>
      <c r="D8" s="8" t="n">
        <v>900</v>
      </c>
      <c r="E8" s="8" t="n">
        <v>900</v>
      </c>
      <c r="F8" s="8" t="n">
        <v>900</v>
      </c>
      <c r="G8" s="8" t="n">
        <v>900</v>
      </c>
      <c r="H8" s="8" t="n">
        <v>900</v>
      </c>
      <c r="I8" s="8" t="n">
        <v>900</v>
      </c>
      <c r="J8" s="8" t="n">
        <v>900</v>
      </c>
      <c r="K8" s="8" t="n">
        <v>900</v>
      </c>
      <c r="L8" s="8" t="n">
        <v>900</v>
      </c>
    </row>
    <row r="9" ht="14.25" customHeight="1" s="1">
      <c r="A9" s="4" t="inlineStr">
        <is>
          <t>Producción neta (Lb/Ha/año)</t>
        </is>
      </c>
      <c r="B9" s="7" t="n"/>
      <c r="C9" s="9">
        <f>1225</f>
        <v/>
      </c>
      <c r="D9" s="9">
        <f>1470</f>
        <v/>
      </c>
      <c r="E9" s="9">
        <f>1715</f>
        <v/>
      </c>
      <c r="F9" s="9">
        <f>1960</f>
        <v/>
      </c>
      <c r="G9" s="9">
        <f>2205</f>
        <v/>
      </c>
      <c r="H9" s="9">
        <f>2205</f>
        <v/>
      </c>
      <c r="I9" s="9">
        <f>2205</f>
        <v/>
      </c>
      <c r="J9" s="9">
        <f>2205</f>
        <v/>
      </c>
      <c r="K9" s="9">
        <f>2205</f>
        <v/>
      </c>
      <c r="L9" s="9">
        <f>2205</f>
        <v/>
      </c>
    </row>
    <row r="10" ht="14.25" customHeight="1" s="1">
      <c r="A10" s="4" t="inlineStr">
        <is>
          <t>Producción neta total (Lb/año)</t>
        </is>
      </c>
      <c r="B10" s="7" t="n"/>
      <c r="C10" s="9">
        <f>C9*C8</f>
        <v/>
      </c>
      <c r="D10" s="9">
        <f>D9*D8</f>
        <v/>
      </c>
      <c r="E10" s="9">
        <f>E9*E8</f>
        <v/>
      </c>
      <c r="F10" s="9">
        <f>F9*F8</f>
        <v/>
      </c>
      <c r="G10" s="9">
        <f>G9*G8</f>
        <v/>
      </c>
      <c r="H10" s="9">
        <f>H9*H8</f>
        <v/>
      </c>
      <c r="I10" s="9">
        <f>I9*I8</f>
        <v/>
      </c>
      <c r="J10" s="9">
        <f>J9*J8</f>
        <v/>
      </c>
      <c r="K10" s="9">
        <f>K9*K8</f>
        <v/>
      </c>
      <c r="L10" s="9">
        <f>L9*L8</f>
        <v/>
      </c>
    </row>
    <row r="11" ht="14.25" customHeight="1" s="1">
      <c r="A11" s="4" t="inlineStr">
        <is>
          <t>Tasa de cambio</t>
        </is>
      </c>
      <c r="B11" s="7" t="n"/>
      <c r="C11" s="10" t="n">
        <v>1</v>
      </c>
      <c r="D11" s="10">
        <f>C11+(C11*$B$5)</f>
        <v/>
      </c>
      <c r="E11" s="10">
        <f>D11+(D11*$B$5)</f>
        <v/>
      </c>
      <c r="F11" s="10">
        <f>E11+(E11*$B$5)</f>
        <v/>
      </c>
      <c r="G11" s="10">
        <f>F11+(F11*$B$5)</f>
        <v/>
      </c>
      <c r="H11" s="10">
        <f>G11+(G11*$B$5)</f>
        <v/>
      </c>
      <c r="I11" s="10">
        <f>H11+(H11*$B$5)</f>
        <v/>
      </c>
      <c r="J11" s="10">
        <f>I11+(I11*$B$5)</f>
        <v/>
      </c>
      <c r="K11" s="10">
        <f>J11+(J11*$B$5)</f>
        <v/>
      </c>
      <c r="L11" s="10">
        <f>K11+(K11*$B$5)</f>
        <v/>
      </c>
    </row>
    <row r="12" ht="14.25" customHeight="1" s="1">
      <c r="A12" s="4" t="inlineStr">
        <is>
          <t>Precio de venta FOB ($/Lb)</t>
        </is>
      </c>
      <c r="B12" s="7" t="n"/>
      <c r="C12" s="11" t="n">
        <v>3</v>
      </c>
      <c r="D12" s="11">
        <f>C12+(C12*$B$6)</f>
        <v/>
      </c>
      <c r="E12" s="11">
        <f>D12+(D12*$B$6)</f>
        <v/>
      </c>
      <c r="F12" s="11">
        <f>E12+(E12*$B$6)</f>
        <v/>
      </c>
      <c r="G12" s="11">
        <f>F12+(F12*$B$6)</f>
        <v/>
      </c>
      <c r="H12" s="11">
        <f>G12+(G12*$B$6)</f>
        <v/>
      </c>
      <c r="I12" s="11">
        <f>H12+(H12*$B$6)</f>
        <v/>
      </c>
      <c r="J12" s="11">
        <f>I12+(I12*$B$6)</f>
        <v/>
      </c>
      <c r="K12" s="11">
        <f>J12+(J12*$B$6)</f>
        <v/>
      </c>
      <c r="L12" s="11">
        <f>K12+(K12*$B$6)</f>
        <v/>
      </c>
    </row>
    <row r="13" ht="14.25" customHeight="1" s="1">
      <c r="A13" s="4" t="inlineStr">
        <is>
          <t>Capital de trabajo</t>
        </is>
      </c>
      <c r="B13" s="12" t="n"/>
      <c r="C13" s="13" t="n">
        <v>450000</v>
      </c>
      <c r="D13" s="13" t="n">
        <v>250000</v>
      </c>
      <c r="E13" s="13" t="n">
        <v>250000</v>
      </c>
      <c r="F13" s="13" t="n">
        <v>250000</v>
      </c>
      <c r="G13" s="13" t="n">
        <v>250000</v>
      </c>
      <c r="H13" s="13" t="n">
        <v>250000</v>
      </c>
      <c r="I13" s="13" t="n">
        <v>0</v>
      </c>
      <c r="J13" s="13" t="n">
        <v>0</v>
      </c>
      <c r="K13" s="13" t="n">
        <v>0</v>
      </c>
      <c r="L13" s="13" t="n">
        <v>0</v>
      </c>
    </row>
    <row r="14" ht="14.25" customHeight="1" s="1">
      <c r="A14" s="4" t="inlineStr">
        <is>
          <t>Costos variables ($1.45 x Lb)</t>
        </is>
      </c>
      <c r="B14" s="12" t="n"/>
      <c r="C14" s="11">
        <f>1.45</f>
        <v/>
      </c>
      <c r="D14" s="11">
        <f>C14+(C14*$B$6)</f>
        <v/>
      </c>
      <c r="E14" s="11">
        <f>D14+(D14*$B$6)</f>
        <v/>
      </c>
      <c r="F14" s="11">
        <f>E14+(E14*$B$6)</f>
        <v/>
      </c>
      <c r="G14" s="11">
        <f>F14+(F14*$B$6)</f>
        <v/>
      </c>
      <c r="H14" s="11">
        <f>G14+(G14*$B$6)</f>
        <v/>
      </c>
      <c r="I14" s="11">
        <f>H14+(H14*$B$6)</f>
        <v/>
      </c>
      <c r="J14" s="11">
        <f>I14+(I14*$B$6)</f>
        <v/>
      </c>
      <c r="K14" s="11">
        <f>J14+(J14*$B$6)</f>
        <v/>
      </c>
      <c r="L14" s="11">
        <f>K14+(K14*$B$6)</f>
        <v/>
      </c>
    </row>
    <row r="15" ht="14.25" customHeight="1" s="1">
      <c r="A15" s="4" t="inlineStr">
        <is>
          <t>Costos variables anuales</t>
        </is>
      </c>
      <c r="B15" s="14" t="n"/>
      <c r="C15" s="15">
        <f>C14*C10</f>
        <v/>
      </c>
      <c r="D15" s="15">
        <f>D14*D10</f>
        <v/>
      </c>
      <c r="E15" s="15">
        <f>E14*E10</f>
        <v/>
      </c>
      <c r="F15" s="15">
        <f>F14*F10</f>
        <v/>
      </c>
      <c r="G15" s="15">
        <f>G14*G10</f>
        <v/>
      </c>
      <c r="H15" s="15">
        <f>H14*H10</f>
        <v/>
      </c>
      <c r="I15" s="15">
        <f>I14*I10</f>
        <v/>
      </c>
      <c r="J15" s="15">
        <f>J14*J10</f>
        <v/>
      </c>
      <c r="K15" s="15">
        <f>K14*K10</f>
        <v/>
      </c>
      <c r="L15" s="15">
        <f>L14*L10</f>
        <v/>
      </c>
    </row>
    <row r="16" ht="14.25" customHeight="1" s="1">
      <c r="A16" s="4" t="inlineStr">
        <is>
          <t>Costos fijos de producción</t>
        </is>
      </c>
      <c r="B16" s="14" t="n"/>
      <c r="C16" s="15" t="n">
        <v>50000</v>
      </c>
      <c r="D16" s="15">
        <f>C16+(C16*$B$6)</f>
        <v/>
      </c>
      <c r="E16" s="15">
        <f>D16+(D16*$B$6)</f>
        <v/>
      </c>
      <c r="F16" s="15">
        <f>E16+(E16*$B$6)</f>
        <v/>
      </c>
      <c r="G16" s="15">
        <f>F16+(F16*$B$6)</f>
        <v/>
      </c>
      <c r="H16" s="15">
        <f>G16+(G16*$B$6)</f>
        <v/>
      </c>
      <c r="I16" s="15">
        <f>H16+(H16*$B$6)</f>
        <v/>
      </c>
      <c r="J16" s="15">
        <f>I16+(I16*$B$6)</f>
        <v/>
      </c>
      <c r="K16" s="15">
        <f>J16+(J16*$B$6)</f>
        <v/>
      </c>
      <c r="L16" s="15">
        <f>K16+(K16*$B$6)</f>
        <v/>
      </c>
    </row>
    <row r="17" ht="14.25" customHeight="1" s="1">
      <c r="A17" s="4" t="inlineStr">
        <is>
          <t>Gastos administrativos</t>
        </is>
      </c>
      <c r="B17" s="14" t="n"/>
      <c r="C17" s="15" t="n">
        <v>200000</v>
      </c>
      <c r="D17" s="15">
        <f>C17+(C17*$B$6)</f>
        <v/>
      </c>
      <c r="E17" s="15">
        <f>D17+(D17*$B$6)</f>
        <v/>
      </c>
      <c r="F17" s="15">
        <f>E17+(E17*$B$6)</f>
        <v/>
      </c>
      <c r="G17" s="15">
        <f>F17+(F17*$B$6)</f>
        <v/>
      </c>
      <c r="H17" s="15">
        <f>G17+(G17*$B$6)</f>
        <v/>
      </c>
      <c r="I17" s="15">
        <f>H17+(H17*$B$6)</f>
        <v/>
      </c>
      <c r="J17" s="15">
        <f>I17+(I17*$B$6)</f>
        <v/>
      </c>
      <c r="K17" s="15">
        <f>J17+(J17*$B$6)</f>
        <v/>
      </c>
      <c r="L17" s="15">
        <f>K17+(K17*$B$6)</f>
        <v/>
      </c>
    </row>
    <row r="18" ht="14.25" customHeight="1" s="1">
      <c r="K18" s="16" t="n"/>
    </row>
    <row r="19" ht="14.25" customHeight="1" s="1">
      <c r="A19" s="4" t="inlineStr">
        <is>
          <t>Valor residual del terreno</t>
        </is>
      </c>
      <c r="B19" s="17" t="n">
        <v>1250000</v>
      </c>
      <c r="K19" s="16" t="n"/>
    </row>
    <row r="20" ht="14.25" customHeight="1" s="1">
      <c r="A20" s="4" t="inlineStr">
        <is>
          <t>Valor residual de estanques y canales</t>
        </is>
      </c>
      <c r="B20" s="17" t="n">
        <v>1000000</v>
      </c>
      <c r="K20" s="16" t="n"/>
    </row>
    <row r="21" ht="14.25" customHeight="1" s="1">
      <c r="A21" s="4" t="inlineStr">
        <is>
          <t>Valor residual de edificios</t>
        </is>
      </c>
      <c r="B21" s="18" t="n">
        <v>50000</v>
      </c>
      <c r="K21" s="16" t="n"/>
    </row>
    <row r="22" ht="14.25" customHeight="1" s="1">
      <c r="A22" s="4" t="inlineStr">
        <is>
          <t>Tasa de fiananciamiento bancario</t>
        </is>
      </c>
      <c r="B22" s="5" t="n">
        <v>0.1</v>
      </c>
    </row>
    <row r="23" ht="14.25" customHeight="1" s="1">
      <c r="A23" s="4" t="inlineStr">
        <is>
          <t>Plazo del financiamiento bancario (años)</t>
        </is>
      </c>
      <c r="B23" s="19" t="n">
        <v>7</v>
      </c>
    </row>
    <row r="24" ht="14.25" customHeight="1" s="1">
      <c r="A24" s="4" t="inlineStr">
        <is>
          <t>Plazo del financiamiento bancario (valor)</t>
        </is>
      </c>
      <c r="B24" s="20">
        <f>5400000*0.5</f>
        <v/>
      </c>
    </row>
    <row r="25" ht="14.25" customHeight="1" s="1">
      <c r="A25" s="4" t="inlineStr">
        <is>
          <t>Tasa de corte</t>
        </is>
      </c>
      <c r="B25" s="5" t="n">
        <v>0.19</v>
      </c>
    </row>
    <row r="26" ht="14.25" customHeight="1" s="1">
      <c r="A26" s="4" t="inlineStr">
        <is>
          <t>Tasa de ISR</t>
        </is>
      </c>
      <c r="B26" s="5" t="n">
        <v>0.3</v>
      </c>
    </row>
    <row r="27" ht="14.25" customHeight="1" s="1">
      <c r="B27" s="21" t="n"/>
    </row>
    <row r="28" ht="14.25" customHeight="1" s="1">
      <c r="A28" s="22" t="inlineStr">
        <is>
          <t>1. Ingresos del proyecto</t>
        </is>
      </c>
      <c r="B28" s="21" t="n"/>
    </row>
    <row r="29" ht="15.75" customHeight="1" s="1">
      <c r="A29" s="23" t="inlineStr">
        <is>
          <t>Calendario de ingresos (venta del producto)</t>
        </is>
      </c>
      <c r="B29" s="24" t="n"/>
    </row>
    <row r="30" ht="14.25" customHeight="1" s="1">
      <c r="A30" s="161" t="inlineStr">
        <is>
          <t>Concepto</t>
        </is>
      </c>
      <c r="B30" s="26" t="inlineStr">
        <is>
          <t>Año 0</t>
        </is>
      </c>
      <c r="C30" s="26" t="inlineStr">
        <is>
          <t>Año 1</t>
        </is>
      </c>
      <c r="D30" s="26" t="inlineStr">
        <is>
          <t>Año 2</t>
        </is>
      </c>
      <c r="E30" s="26" t="inlineStr">
        <is>
          <t>Año 3</t>
        </is>
      </c>
      <c r="F30" s="26" t="inlineStr">
        <is>
          <t>Año 4</t>
        </is>
      </c>
      <c r="G30" s="26" t="inlineStr">
        <is>
          <t>Año 5</t>
        </is>
      </c>
      <c r="H30" s="26" t="inlineStr">
        <is>
          <t>Año 6</t>
        </is>
      </c>
      <c r="I30" s="26" t="inlineStr">
        <is>
          <t>Año 7</t>
        </is>
      </c>
      <c r="J30" s="26" t="inlineStr">
        <is>
          <t>Año 8</t>
        </is>
      </c>
      <c r="K30" s="26" t="inlineStr">
        <is>
          <t>Año 9</t>
        </is>
      </c>
      <c r="L30" s="27" t="inlineStr">
        <is>
          <t>Año 10</t>
        </is>
      </c>
    </row>
    <row r="31" ht="14.25" customHeight="1" s="1">
      <c r="A31" s="28" t="inlineStr">
        <is>
          <t>Cantidad de camarón (Lb)</t>
        </is>
      </c>
      <c r="B31" s="29" t="n"/>
      <c r="C31" s="30">
        <f>C10</f>
        <v/>
      </c>
      <c r="D31" s="30">
        <f>D10</f>
        <v/>
      </c>
      <c r="E31" s="30">
        <f>E10</f>
        <v/>
      </c>
      <c r="F31" s="30">
        <f>F10</f>
        <v/>
      </c>
      <c r="G31" s="30">
        <f>G10</f>
        <v/>
      </c>
      <c r="H31" s="30">
        <f>H10</f>
        <v/>
      </c>
      <c r="I31" s="30">
        <f>I10</f>
        <v/>
      </c>
      <c r="J31" s="30">
        <f>J10</f>
        <v/>
      </c>
      <c r="K31" s="30">
        <f>K10</f>
        <v/>
      </c>
      <c r="L31" s="31">
        <f>L10</f>
        <v/>
      </c>
    </row>
    <row r="32" ht="14.25" customHeight="1" s="1">
      <c r="A32" s="28" t="inlineStr">
        <is>
          <t>Precio unitario de venta ($/Lb)</t>
        </is>
      </c>
      <c r="B32" s="29" t="n"/>
      <c r="C32" s="32">
        <f>C12</f>
        <v/>
      </c>
      <c r="D32" s="32">
        <f>D12</f>
        <v/>
      </c>
      <c r="E32" s="32">
        <f>E12</f>
        <v/>
      </c>
      <c r="F32" s="32">
        <f>F12</f>
        <v/>
      </c>
      <c r="G32" s="32">
        <f>G12</f>
        <v/>
      </c>
      <c r="H32" s="32">
        <f>H12</f>
        <v/>
      </c>
      <c r="I32" s="32">
        <f>I12</f>
        <v/>
      </c>
      <c r="J32" s="32">
        <f>J12</f>
        <v/>
      </c>
      <c r="K32" s="32">
        <f>K12</f>
        <v/>
      </c>
      <c r="L32" s="33">
        <f>L12</f>
        <v/>
      </c>
    </row>
    <row r="33" ht="15.75" customHeight="1" s="1">
      <c r="A33" s="34" t="inlineStr">
        <is>
          <t>Ingresos</t>
        </is>
      </c>
      <c r="B33" s="35" t="n"/>
      <c r="C33" s="36">
        <f>C32*C31</f>
        <v/>
      </c>
      <c r="D33" s="36">
        <f>D32*D31</f>
        <v/>
      </c>
      <c r="E33" s="36">
        <f>E32*E31</f>
        <v/>
      </c>
      <c r="F33" s="36">
        <f>F32*F31</f>
        <v/>
      </c>
      <c r="G33" s="36">
        <f>G32*G31</f>
        <v/>
      </c>
      <c r="H33" s="36">
        <f>H32*H31</f>
        <v/>
      </c>
      <c r="I33" s="36">
        <f>I32*I31</f>
        <v/>
      </c>
      <c r="J33" s="36">
        <f>J32*J31</f>
        <v/>
      </c>
      <c r="K33" s="36">
        <f>K32*K31</f>
        <v/>
      </c>
      <c r="L33" s="37">
        <f>L32*L31</f>
        <v/>
      </c>
    </row>
    <row r="34" ht="14.25" customHeight="1" s="1">
      <c r="B34" s="21" t="n"/>
    </row>
    <row r="35" ht="14.25" customHeight="1" s="1">
      <c r="A35" s="22" t="inlineStr">
        <is>
          <t>2. Costos variables</t>
        </is>
      </c>
      <c r="B35" s="24" t="n"/>
    </row>
    <row r="36" ht="15.75" customHeight="1" s="1">
      <c r="A36" s="23" t="inlineStr">
        <is>
          <t>Calendario de costos variables</t>
        </is>
      </c>
      <c r="B36" s="24" t="n"/>
    </row>
    <row r="37" ht="14.25" customHeight="1" s="1">
      <c r="A37" s="161" t="inlineStr">
        <is>
          <t>Concepto</t>
        </is>
      </c>
      <c r="B37" s="26" t="inlineStr">
        <is>
          <t>Año 0</t>
        </is>
      </c>
      <c r="C37" s="26" t="inlineStr">
        <is>
          <t>Año 1</t>
        </is>
      </c>
      <c r="D37" s="26" t="inlineStr">
        <is>
          <t>Año 2</t>
        </is>
      </c>
      <c r="E37" s="26" t="inlineStr">
        <is>
          <t>Año 3</t>
        </is>
      </c>
      <c r="F37" s="26" t="inlineStr">
        <is>
          <t>Año 4</t>
        </is>
      </c>
      <c r="G37" s="26" t="inlineStr">
        <is>
          <t>Año 5</t>
        </is>
      </c>
      <c r="H37" s="26" t="inlineStr">
        <is>
          <t>Año 6</t>
        </is>
      </c>
      <c r="I37" s="26" t="inlineStr">
        <is>
          <t>Año 7</t>
        </is>
      </c>
      <c r="J37" s="26" t="inlineStr">
        <is>
          <t>Año 8</t>
        </is>
      </c>
      <c r="K37" s="26" t="inlineStr">
        <is>
          <t>Año 9</t>
        </is>
      </c>
      <c r="L37" s="27" t="inlineStr">
        <is>
          <t>Año 10</t>
        </is>
      </c>
    </row>
    <row r="38" ht="14.25" customHeight="1" s="1">
      <c r="A38" s="28" t="inlineStr">
        <is>
          <t>Costos variables</t>
        </is>
      </c>
      <c r="B38" s="29" t="n"/>
      <c r="C38" s="38">
        <f>C15</f>
        <v/>
      </c>
      <c r="D38" s="38">
        <f>D15</f>
        <v/>
      </c>
      <c r="E38" s="38">
        <f>E15</f>
        <v/>
      </c>
      <c r="F38" s="38">
        <f>F15</f>
        <v/>
      </c>
      <c r="G38" s="38">
        <f>G15</f>
        <v/>
      </c>
      <c r="H38" s="38">
        <f>H15</f>
        <v/>
      </c>
      <c r="I38" s="38">
        <f>I15</f>
        <v/>
      </c>
      <c r="J38" s="38">
        <f>J15</f>
        <v/>
      </c>
      <c r="K38" s="38">
        <f>K15</f>
        <v/>
      </c>
      <c r="L38" s="39">
        <f>L15</f>
        <v/>
      </c>
    </row>
    <row r="39" ht="15.75" customHeight="1" s="1">
      <c r="A39" s="40" t="inlineStr">
        <is>
          <t>Total de costos variables</t>
        </is>
      </c>
      <c r="B39" s="41" t="n"/>
      <c r="C39" s="36">
        <f>C38</f>
        <v/>
      </c>
      <c r="D39" s="36">
        <f>D38</f>
        <v/>
      </c>
      <c r="E39" s="36">
        <f>E38</f>
        <v/>
      </c>
      <c r="F39" s="36">
        <f>F38</f>
        <v/>
      </c>
      <c r="G39" s="36">
        <f>G38</f>
        <v/>
      </c>
      <c r="H39" s="36">
        <f>H38</f>
        <v/>
      </c>
      <c r="I39" s="36">
        <f>I38</f>
        <v/>
      </c>
      <c r="J39" s="36">
        <f>J38</f>
        <v/>
      </c>
      <c r="K39" s="36">
        <f>K38</f>
        <v/>
      </c>
      <c r="L39" s="37">
        <f>L38</f>
        <v/>
      </c>
    </row>
    <row r="40" ht="14.25" customHeight="1" s="1">
      <c r="B40" s="21" t="n"/>
    </row>
    <row r="41" ht="14.25" customHeight="1" s="1">
      <c r="A41" s="22" t="inlineStr">
        <is>
          <t xml:space="preserve">3. Costos  fijos </t>
        </is>
      </c>
      <c r="B41" s="24" t="n"/>
    </row>
    <row r="42" ht="15.75" customHeight="1" s="1">
      <c r="A42" s="23" t="inlineStr">
        <is>
          <t>Calendario de los costos fijos</t>
        </is>
      </c>
      <c r="B42" s="24" t="n"/>
    </row>
    <row r="43" ht="14.25" customHeight="1" s="1">
      <c r="A43" s="161" t="inlineStr">
        <is>
          <t>Concepto</t>
        </is>
      </c>
      <c r="B43" s="26" t="inlineStr">
        <is>
          <t>Año 0</t>
        </is>
      </c>
      <c r="C43" s="26" t="inlineStr">
        <is>
          <t>Año 1</t>
        </is>
      </c>
      <c r="D43" s="26" t="inlineStr">
        <is>
          <t>Año 2</t>
        </is>
      </c>
      <c r="E43" s="26" t="inlineStr">
        <is>
          <t>Año 3</t>
        </is>
      </c>
      <c r="F43" s="26" t="inlineStr">
        <is>
          <t>Año 4</t>
        </is>
      </c>
      <c r="G43" s="26" t="inlineStr">
        <is>
          <t>Año 5</t>
        </is>
      </c>
      <c r="H43" s="26" t="inlineStr">
        <is>
          <t>Año 6</t>
        </is>
      </c>
      <c r="I43" s="26" t="inlineStr">
        <is>
          <t>Año 7</t>
        </is>
      </c>
      <c r="J43" s="26" t="inlineStr">
        <is>
          <t>Año 8</t>
        </is>
      </c>
      <c r="K43" s="26" t="inlineStr">
        <is>
          <t>Año 9</t>
        </is>
      </c>
      <c r="L43" s="27" t="inlineStr">
        <is>
          <t>Año 10</t>
        </is>
      </c>
    </row>
    <row r="44" ht="14.25" customHeight="1" s="1">
      <c r="A44" s="28" t="inlineStr">
        <is>
          <t>Costos fijos de producción</t>
        </is>
      </c>
      <c r="B44" s="29" t="n"/>
      <c r="C44" s="38">
        <f>C16</f>
        <v/>
      </c>
      <c r="D44" s="38">
        <f>D16</f>
        <v/>
      </c>
      <c r="E44" s="38">
        <f>E16</f>
        <v/>
      </c>
      <c r="F44" s="38">
        <f>F16</f>
        <v/>
      </c>
      <c r="G44" s="38">
        <f>G16</f>
        <v/>
      </c>
      <c r="H44" s="38">
        <f>H16</f>
        <v/>
      </c>
      <c r="I44" s="38">
        <f>I16</f>
        <v/>
      </c>
      <c r="J44" s="38">
        <f>J16</f>
        <v/>
      </c>
      <c r="K44" s="38">
        <f>K16</f>
        <v/>
      </c>
      <c r="L44" s="39">
        <f>L16</f>
        <v/>
      </c>
    </row>
    <row r="45" ht="14.25" customHeight="1" s="1">
      <c r="A45" s="28" t="inlineStr">
        <is>
          <t>Gastos administrativos</t>
        </is>
      </c>
      <c r="B45" s="29" t="n"/>
      <c r="C45" s="38">
        <f>C17</f>
        <v/>
      </c>
      <c r="D45" s="38">
        <f>D17</f>
        <v/>
      </c>
      <c r="E45" s="38">
        <f>E17</f>
        <v/>
      </c>
      <c r="F45" s="38">
        <f>F17</f>
        <v/>
      </c>
      <c r="G45" s="38">
        <f>G17</f>
        <v/>
      </c>
      <c r="H45" s="38">
        <f>H17</f>
        <v/>
      </c>
      <c r="I45" s="38">
        <f>I17</f>
        <v/>
      </c>
      <c r="J45" s="38">
        <f>J17</f>
        <v/>
      </c>
      <c r="K45" s="38">
        <f>K17</f>
        <v/>
      </c>
      <c r="L45" s="39">
        <f>L17</f>
        <v/>
      </c>
    </row>
    <row r="46" ht="15.75" customHeight="1" s="1">
      <c r="A46" s="40" t="inlineStr">
        <is>
          <t>Total de costos fijos</t>
        </is>
      </c>
      <c r="B46" s="41" t="n"/>
      <c r="C46" s="36">
        <f>SUM(C44:C45)</f>
        <v/>
      </c>
      <c r="D46" s="36">
        <f>SUM(D44:D45)</f>
        <v/>
      </c>
      <c r="E46" s="36">
        <f>SUM(E44:E45)</f>
        <v/>
      </c>
      <c r="F46" s="36">
        <f>SUM(F44:F45)</f>
        <v/>
      </c>
      <c r="G46" s="36">
        <f>SUM(G44:G45)</f>
        <v/>
      </c>
      <c r="H46" s="36">
        <f>SUM(H44:H45)</f>
        <v/>
      </c>
      <c r="I46" s="36">
        <f>SUM(I44:I45)</f>
        <v/>
      </c>
      <c r="J46" s="36">
        <f>SUM(J44:J45)</f>
        <v/>
      </c>
      <c r="K46" s="36">
        <f>SUM(K44:K45)</f>
        <v/>
      </c>
      <c r="L46" s="37">
        <f>SUM(L44:L45)</f>
        <v/>
      </c>
    </row>
    <row r="47" ht="14.25" customHeight="1" s="1">
      <c r="B47" s="21" t="n"/>
    </row>
    <row r="48" ht="14.25" customHeight="1" s="1">
      <c r="A48" s="22" t="inlineStr">
        <is>
          <t>4. Capital de trabajo</t>
        </is>
      </c>
      <c r="B48" s="42" t="n"/>
      <c r="C48" s="43" t="n"/>
      <c r="D48" s="43" t="n"/>
      <c r="E48" s="43" t="n"/>
      <c r="F48" s="43" t="n"/>
      <c r="G48" s="43" t="n"/>
      <c r="H48" s="43" t="n"/>
    </row>
    <row r="49" ht="14.25" customHeight="1" s="1">
      <c r="A49" s="44" t="inlineStr">
        <is>
          <t>Capital de trabajo</t>
        </is>
      </c>
      <c r="B49" s="42" t="n"/>
      <c r="C49" s="43" t="n"/>
      <c r="D49" s="43" t="n"/>
      <c r="E49" s="43" t="n"/>
      <c r="F49" s="43" t="n"/>
      <c r="G49" s="43" t="n"/>
      <c r="H49" s="43" t="n"/>
    </row>
    <row r="50" ht="15.75" customHeight="1" s="1">
      <c r="A50" s="160" t="inlineStr">
        <is>
          <t>Necesidad de Efectivo</t>
        </is>
      </c>
    </row>
    <row r="51" ht="14.25" customHeight="1" s="1">
      <c r="A51" s="161" t="inlineStr">
        <is>
          <t>Concepto</t>
        </is>
      </c>
      <c r="B51" s="26" t="inlineStr">
        <is>
          <t>Año 0</t>
        </is>
      </c>
      <c r="C51" s="26" t="inlineStr">
        <is>
          <t>Año 1</t>
        </is>
      </c>
      <c r="D51" s="26" t="inlineStr">
        <is>
          <t>Año 2</t>
        </is>
      </c>
      <c r="E51" s="26" t="inlineStr">
        <is>
          <t>Año 3</t>
        </is>
      </c>
      <c r="F51" s="26" t="inlineStr">
        <is>
          <t>Año 4</t>
        </is>
      </c>
      <c r="G51" s="26" t="inlineStr">
        <is>
          <t>Año 5</t>
        </is>
      </c>
      <c r="H51" s="26" t="inlineStr">
        <is>
          <t>Año 6</t>
        </is>
      </c>
      <c r="I51" s="26" t="inlineStr">
        <is>
          <t>Año 7</t>
        </is>
      </c>
      <c r="J51" s="26" t="inlineStr">
        <is>
          <t>Año 8</t>
        </is>
      </c>
      <c r="K51" s="26" t="inlineStr">
        <is>
          <t>Año 9</t>
        </is>
      </c>
      <c r="L51" s="27" t="inlineStr">
        <is>
          <t>Año 10</t>
        </is>
      </c>
    </row>
    <row r="52" ht="14.25" customHeight="1" s="1">
      <c r="A52" s="28" t="inlineStr">
        <is>
          <t>Capital de trabajo</t>
        </is>
      </c>
      <c r="B52" s="45" t="n"/>
      <c r="C52" s="38">
        <f>C13+B52</f>
        <v/>
      </c>
      <c r="D52" s="38">
        <f>D13+C52</f>
        <v/>
      </c>
      <c r="E52" s="38">
        <f>E13+D52</f>
        <v/>
      </c>
      <c r="F52" s="38">
        <f>F13+E52</f>
        <v/>
      </c>
      <c r="G52" s="38">
        <f>G13+F52</f>
        <v/>
      </c>
      <c r="H52" s="38">
        <f>H13+G52</f>
        <v/>
      </c>
      <c r="I52" s="38">
        <f>I13+H52</f>
        <v/>
      </c>
      <c r="J52" s="38">
        <f>J13+I52</f>
        <v/>
      </c>
      <c r="K52" s="38">
        <f>K13+J52</f>
        <v/>
      </c>
      <c r="L52" s="38">
        <f>L13+K52</f>
        <v/>
      </c>
    </row>
    <row r="53" ht="15.75" customHeight="1" s="1">
      <c r="A53" s="34" t="inlineStr">
        <is>
          <t>Efectivo requerido en caja</t>
        </is>
      </c>
      <c r="B53" s="46" t="n"/>
      <c r="C53" s="36">
        <f>SUM(C52:C52)</f>
        <v/>
      </c>
      <c r="D53" s="36">
        <f>SUM(D52:D52)</f>
        <v/>
      </c>
      <c r="E53" s="36">
        <f>SUM(E52:E52)</f>
        <v/>
      </c>
      <c r="F53" s="36">
        <f>SUM(F52:F52)</f>
        <v/>
      </c>
      <c r="G53" s="36">
        <f>SUM(G52:G52)</f>
        <v/>
      </c>
      <c r="H53" s="36">
        <f>SUM(H52:H52)</f>
        <v/>
      </c>
      <c r="I53" s="36">
        <f>SUM(I52:I52)</f>
        <v/>
      </c>
      <c r="J53" s="36">
        <f>SUM(J52:J52)</f>
        <v/>
      </c>
      <c r="K53" s="36">
        <f>SUM(K52:K52)</f>
        <v/>
      </c>
      <c r="L53" s="37">
        <f>SUM(L52:L52)</f>
        <v/>
      </c>
    </row>
    <row r="54" ht="14.25" customHeight="1" s="1">
      <c r="A54" s="43" t="n"/>
      <c r="B54" s="42" t="n"/>
      <c r="C54" s="43" t="n"/>
      <c r="D54" s="43" t="n"/>
      <c r="E54" s="43" t="n"/>
      <c r="F54" s="43" t="n"/>
      <c r="G54" s="43" t="n"/>
      <c r="H54" s="43" t="n"/>
    </row>
    <row r="55" ht="15.75" customHeight="1" s="1">
      <c r="A55" s="160" t="inlineStr">
        <is>
          <t>Cálculo del Capital de Trabajo</t>
        </is>
      </c>
    </row>
    <row r="56" ht="14.25" customHeight="1" s="1">
      <c r="A56" s="161" t="inlineStr">
        <is>
          <t>Concepto</t>
        </is>
      </c>
      <c r="B56" s="26" t="inlineStr">
        <is>
          <t>Cobertura</t>
        </is>
      </c>
      <c r="C56" s="26" t="inlineStr">
        <is>
          <t>Año 1</t>
        </is>
      </c>
      <c r="D56" s="26" t="inlineStr">
        <is>
          <t>Año 2</t>
        </is>
      </c>
      <c r="E56" s="26" t="inlineStr">
        <is>
          <t>Año 3</t>
        </is>
      </c>
      <c r="F56" s="26" t="inlineStr">
        <is>
          <t>Año 4</t>
        </is>
      </c>
      <c r="G56" s="26" t="inlineStr">
        <is>
          <t>Año 5</t>
        </is>
      </c>
      <c r="H56" s="26" t="inlineStr">
        <is>
          <t>Año 6</t>
        </is>
      </c>
      <c r="I56" s="26" t="inlineStr">
        <is>
          <t>Año 7</t>
        </is>
      </c>
      <c r="J56" s="26" t="inlineStr">
        <is>
          <t>Año 8</t>
        </is>
      </c>
      <c r="K56" s="26" t="inlineStr">
        <is>
          <t>Año 9</t>
        </is>
      </c>
      <c r="L56" s="27" t="inlineStr">
        <is>
          <t>Año 10</t>
        </is>
      </c>
    </row>
    <row r="57" ht="14.25" customHeight="1" s="1">
      <c r="A57" s="47" t="inlineStr">
        <is>
          <t>Activo circulante</t>
        </is>
      </c>
      <c r="B57" s="48" t="n"/>
      <c r="C57" s="49">
        <f>C58</f>
        <v/>
      </c>
      <c r="D57" s="49">
        <f>D58</f>
        <v/>
      </c>
      <c r="E57" s="49">
        <f>E58</f>
        <v/>
      </c>
      <c r="F57" s="49">
        <f>F58</f>
        <v/>
      </c>
      <c r="G57" s="49">
        <f>G58</f>
        <v/>
      </c>
      <c r="H57" s="49">
        <f>H58</f>
        <v/>
      </c>
      <c r="I57" s="49">
        <f>I58</f>
        <v/>
      </c>
      <c r="J57" s="49">
        <f>J58</f>
        <v/>
      </c>
      <c r="K57" s="49">
        <f>K58</f>
        <v/>
      </c>
      <c r="L57" s="50">
        <f>L58</f>
        <v/>
      </c>
    </row>
    <row r="58" ht="14.25" customHeight="1" s="1">
      <c r="A58" s="28" t="inlineStr">
        <is>
          <t xml:space="preserve">     Efectivo </t>
        </is>
      </c>
      <c r="B58" s="45" t="n"/>
      <c r="C58" s="38">
        <f>C53</f>
        <v/>
      </c>
      <c r="D58" s="38">
        <f>D53</f>
        <v/>
      </c>
      <c r="E58" s="38">
        <f>E53</f>
        <v/>
      </c>
      <c r="F58" s="38">
        <f>F53</f>
        <v/>
      </c>
      <c r="G58" s="38">
        <f>G53</f>
        <v/>
      </c>
      <c r="H58" s="38">
        <f>H53</f>
        <v/>
      </c>
      <c r="I58" s="38">
        <f>I53</f>
        <v/>
      </c>
      <c r="J58" s="38">
        <f>J53</f>
        <v/>
      </c>
      <c r="K58" s="38">
        <f>K53</f>
        <v/>
      </c>
      <c r="L58" s="39">
        <f>L53</f>
        <v/>
      </c>
    </row>
    <row r="59" ht="14.25" customHeight="1" s="1">
      <c r="A59" s="47" t="inlineStr">
        <is>
          <t>Pasivo circulante</t>
        </is>
      </c>
      <c r="B59" s="48" t="n"/>
      <c r="C59" s="49">
        <f>SUM(C60:C61)</f>
        <v/>
      </c>
      <c r="D59" s="49">
        <f>SUM(D60:D61)</f>
        <v/>
      </c>
      <c r="E59" s="49">
        <f>SUM(E60:E61)</f>
        <v/>
      </c>
      <c r="F59" s="49">
        <f>SUM(F60:F61)</f>
        <v/>
      </c>
      <c r="G59" s="49">
        <f>SUM(G60:G61)</f>
        <v/>
      </c>
      <c r="H59" s="49">
        <f>SUM(H60:H61)</f>
        <v/>
      </c>
      <c r="I59" s="49">
        <f>SUM(I60:I61)</f>
        <v/>
      </c>
      <c r="J59" s="49">
        <f>SUM(J60:J61)</f>
        <v/>
      </c>
      <c r="K59" s="49">
        <f>SUM(K60:K61)</f>
        <v/>
      </c>
      <c r="L59" s="50">
        <f>SUM(L60:L61)</f>
        <v/>
      </c>
    </row>
    <row r="60" ht="14.25" customHeight="1" s="1">
      <c r="A60" s="28" t="inlineStr">
        <is>
          <t xml:space="preserve">     Cuentas por pagar</t>
        </is>
      </c>
      <c r="B60" s="45" t="n"/>
      <c r="C60" s="38" t="n">
        <v>0</v>
      </c>
      <c r="D60" s="38" t="n">
        <v>0</v>
      </c>
      <c r="E60" s="38" t="n">
        <v>0</v>
      </c>
      <c r="F60" s="38" t="n">
        <v>0</v>
      </c>
      <c r="G60" s="38" t="n">
        <v>0</v>
      </c>
      <c r="H60" s="38" t="n">
        <v>0</v>
      </c>
      <c r="I60" s="38" t="n">
        <v>0</v>
      </c>
      <c r="J60" s="38" t="n">
        <v>0</v>
      </c>
      <c r="K60" s="38" t="n">
        <v>0</v>
      </c>
      <c r="L60" s="39" t="n">
        <v>0</v>
      </c>
    </row>
    <row r="61" ht="14.25" customHeight="1" s="1">
      <c r="A61" s="28" t="inlineStr">
        <is>
          <t xml:space="preserve">     Proveedores</t>
        </is>
      </c>
      <c r="B61" s="45" t="n"/>
      <c r="C61" s="38" t="n">
        <v>0</v>
      </c>
      <c r="D61" s="38" t="n">
        <v>0</v>
      </c>
      <c r="E61" s="38" t="n">
        <v>0</v>
      </c>
      <c r="F61" s="38" t="n">
        <v>0</v>
      </c>
      <c r="G61" s="38" t="n">
        <v>0</v>
      </c>
      <c r="H61" s="38" t="n">
        <v>0</v>
      </c>
      <c r="I61" s="38" t="n">
        <v>0</v>
      </c>
      <c r="J61" s="38" t="n">
        <v>0</v>
      </c>
      <c r="K61" s="38" t="n">
        <v>0</v>
      </c>
      <c r="L61" s="39" t="n">
        <v>0</v>
      </c>
    </row>
    <row r="62" ht="14.25" customHeight="1" s="1">
      <c r="A62" s="51" t="inlineStr">
        <is>
          <t>Capital de Trabajo (Ac - Pc)</t>
        </is>
      </c>
      <c r="B62" s="52" t="n"/>
      <c r="C62" s="53">
        <f>C57-C59</f>
        <v/>
      </c>
      <c r="D62" s="53">
        <f>D57-D59</f>
        <v/>
      </c>
      <c r="E62" s="53">
        <f>E57-E59</f>
        <v/>
      </c>
      <c r="F62" s="53">
        <f>F57-F59</f>
        <v/>
      </c>
      <c r="G62" s="53">
        <f>G57-G59</f>
        <v/>
      </c>
      <c r="H62" s="53">
        <f>H57-H59</f>
        <v/>
      </c>
      <c r="I62" s="53">
        <f>I57-I59</f>
        <v/>
      </c>
      <c r="J62" s="53">
        <f>J57-J59</f>
        <v/>
      </c>
      <c r="K62" s="53">
        <f>K57-K59</f>
        <v/>
      </c>
      <c r="L62" s="54">
        <f>L57-L59</f>
        <v/>
      </c>
    </row>
    <row r="63" ht="15.75" customHeight="1" s="1">
      <c r="A63" s="34" t="inlineStr">
        <is>
          <t>Incremento Capital Trabajo</t>
        </is>
      </c>
      <c r="B63" s="36">
        <f>C62-B62</f>
        <v/>
      </c>
      <c r="C63" s="36">
        <f>D62-C62</f>
        <v/>
      </c>
      <c r="D63" s="36">
        <f>E62-D62</f>
        <v/>
      </c>
      <c r="E63" s="36">
        <f>F62-E62</f>
        <v/>
      </c>
      <c r="F63" s="36">
        <f>G62-F62</f>
        <v/>
      </c>
      <c r="G63" s="36">
        <f>H62-G62</f>
        <v/>
      </c>
      <c r="H63" s="36">
        <f>I62-H62</f>
        <v/>
      </c>
      <c r="I63" s="36">
        <f>J62-I62</f>
        <v/>
      </c>
      <c r="J63" s="36">
        <f>K62-J62</f>
        <v/>
      </c>
      <c r="K63" s="36">
        <f>L62-K62</f>
        <v/>
      </c>
      <c r="L63" s="37">
        <f>M62-L62</f>
        <v/>
      </c>
    </row>
    <row r="64" ht="14.25" customHeight="1" s="1">
      <c r="B64" s="24" t="n"/>
    </row>
    <row r="65" ht="14.25" customHeight="1" s="1">
      <c r="A65" s="22" t="inlineStr">
        <is>
          <t>5. Inversiones</t>
        </is>
      </c>
      <c r="B65" s="24" t="n"/>
    </row>
    <row r="66" ht="15.75" customHeight="1" s="1">
      <c r="A66" s="23" t="inlineStr">
        <is>
          <t>Calendario de inversiones</t>
        </is>
      </c>
      <c r="B66" s="24" t="n"/>
    </row>
    <row r="67" ht="14.25" customHeight="1" s="1">
      <c r="A67" s="161" t="inlineStr">
        <is>
          <t>Concepto</t>
        </is>
      </c>
      <c r="B67" s="26" t="inlineStr">
        <is>
          <t>Año 0</t>
        </is>
      </c>
      <c r="C67" s="26" t="inlineStr">
        <is>
          <t>Año 1</t>
        </is>
      </c>
      <c r="D67" s="26" t="inlineStr">
        <is>
          <t>Año 2</t>
        </is>
      </c>
      <c r="E67" s="26" t="inlineStr">
        <is>
          <t>Año 3</t>
        </is>
      </c>
      <c r="F67" s="26" t="inlineStr">
        <is>
          <t>Año 4</t>
        </is>
      </c>
      <c r="G67" s="26" t="inlineStr">
        <is>
          <t>Año 5</t>
        </is>
      </c>
      <c r="H67" s="26" t="inlineStr">
        <is>
          <t>Año 6</t>
        </is>
      </c>
      <c r="I67" s="26" t="inlineStr">
        <is>
          <t>Año 7</t>
        </is>
      </c>
      <c r="J67" s="26" t="inlineStr">
        <is>
          <t>Año 8</t>
        </is>
      </c>
      <c r="K67" s="26" t="inlineStr">
        <is>
          <t>Año 9</t>
        </is>
      </c>
      <c r="L67" s="27" t="inlineStr">
        <is>
          <t>Año 10</t>
        </is>
      </c>
    </row>
    <row r="68" ht="14.25" customHeight="1" s="1">
      <c r="A68" s="47" t="inlineStr">
        <is>
          <t>Activos Fijos</t>
        </is>
      </c>
      <c r="B68" s="55" t="n"/>
      <c r="C68" s="55" t="n"/>
      <c r="D68" s="55" t="n"/>
      <c r="E68" s="55" t="n"/>
      <c r="F68" s="55" t="n"/>
      <c r="G68" s="55" t="n"/>
      <c r="H68" s="55" t="n"/>
      <c r="I68" s="55" t="n"/>
      <c r="J68" s="55" t="n"/>
      <c r="K68" s="55" t="n"/>
      <c r="L68" s="56" t="n"/>
    </row>
    <row r="69" ht="14.25" customHeight="1" s="1">
      <c r="A69" s="28" t="inlineStr">
        <is>
          <t xml:space="preserve">   Inversiones a 20 años</t>
        </is>
      </c>
      <c r="B69" s="57" t="n">
        <v>100000</v>
      </c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6" t="n"/>
    </row>
    <row r="70" ht="14.25" customHeight="1" s="1">
      <c r="A70" s="28" t="inlineStr">
        <is>
          <t xml:space="preserve">  Inversiones a 10 años</t>
        </is>
      </c>
      <c r="B70" s="57">
        <f>3000000+200000+450000+50000</f>
        <v/>
      </c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6" t="n"/>
    </row>
    <row r="71" ht="14.25" customHeight="1" s="1">
      <c r="A71" s="28" t="inlineStr">
        <is>
          <t xml:space="preserve">  Inversiones a 5 años</t>
        </is>
      </c>
      <c r="B71" s="57">
        <f>300000+100000</f>
        <v/>
      </c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6" t="n"/>
    </row>
    <row r="72" ht="14.25" customHeight="1" s="1">
      <c r="A72" s="28" t="inlineStr">
        <is>
          <t xml:space="preserve">  Inversion terrenos</t>
        </is>
      </c>
      <c r="B72" s="57" t="n">
        <v>750000</v>
      </c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6" t="n"/>
    </row>
    <row r="73" ht="14.25" customHeight="1" s="1">
      <c r="A73" s="47" t="inlineStr">
        <is>
          <t>Gastos Pre-operativos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6" t="n"/>
    </row>
    <row r="74" ht="14.25" customHeight="1" s="1">
      <c r="A74" s="28" t="inlineStr">
        <is>
          <t xml:space="preserve">  Gastos puesta en marcha</t>
        </is>
      </c>
      <c r="B74" s="57" t="n">
        <v>0</v>
      </c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6" t="n"/>
    </row>
    <row r="75" ht="14.25" customHeight="1" s="1">
      <c r="A75" s="47" t="inlineStr">
        <is>
          <t>Capital de trabajo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6" t="n"/>
    </row>
    <row r="76" ht="14.25" customHeight="1" s="1">
      <c r="A76" s="28" t="inlineStr">
        <is>
          <t xml:space="preserve">   Capital de trabajo</t>
        </is>
      </c>
      <c r="B76" s="57">
        <f>B63</f>
        <v/>
      </c>
      <c r="C76" s="57">
        <f>C63</f>
        <v/>
      </c>
      <c r="D76" s="57">
        <f>D63</f>
        <v/>
      </c>
      <c r="E76" s="57">
        <f>E63</f>
        <v/>
      </c>
      <c r="F76" s="57">
        <f>F63</f>
        <v/>
      </c>
      <c r="G76" s="57">
        <f>G63</f>
        <v/>
      </c>
      <c r="H76" s="57">
        <f>H63</f>
        <v/>
      </c>
      <c r="I76" s="57">
        <f>I63</f>
        <v/>
      </c>
      <c r="J76" s="57">
        <f>J63</f>
        <v/>
      </c>
      <c r="K76" s="57">
        <f>K63</f>
        <v/>
      </c>
      <c r="L76" s="58">
        <f>L63</f>
        <v/>
      </c>
    </row>
    <row r="77" ht="15.75" customHeight="1" s="1">
      <c r="A77" s="40" t="inlineStr">
        <is>
          <t>Total Inversiones</t>
        </is>
      </c>
      <c r="B77" s="59">
        <f>SUM(B68:B76)</f>
        <v/>
      </c>
      <c r="C77" s="59">
        <f>SUM(C68:C76)</f>
        <v/>
      </c>
      <c r="D77" s="59">
        <f>SUM(D68:D76)</f>
        <v/>
      </c>
      <c r="E77" s="59">
        <f>SUM(E68:E76)</f>
        <v/>
      </c>
      <c r="F77" s="59">
        <f>SUM(F68:F76)</f>
        <v/>
      </c>
      <c r="G77" s="59">
        <f>SUM(G68:G76)</f>
        <v/>
      </c>
      <c r="H77" s="59">
        <f>SUM(H68:H76)</f>
        <v/>
      </c>
      <c r="I77" s="59">
        <f>SUM(I68:I76)</f>
        <v/>
      </c>
      <c r="J77" s="59">
        <f>SUM(J68:J76)</f>
        <v/>
      </c>
      <c r="K77" s="59">
        <f>SUM(K68:K76)</f>
        <v/>
      </c>
      <c r="L77" s="60">
        <f>SUM(L68:L76)</f>
        <v/>
      </c>
    </row>
    <row r="78" ht="14.25" customHeight="1" s="1">
      <c r="B78" s="21" t="n"/>
    </row>
    <row r="79" ht="14.25" customHeight="1" s="1">
      <c r="A79" s="22" t="inlineStr">
        <is>
          <t>6.  Depreciaciones y Amortizaciones</t>
        </is>
      </c>
      <c r="B79" s="24" t="n"/>
    </row>
    <row r="80" ht="15.75" customHeight="1" s="1">
      <c r="A80" s="23" t="inlineStr">
        <is>
          <t>Calendario de Depreciaciones y Amortizaciones</t>
        </is>
      </c>
      <c r="B80" s="24" t="n"/>
    </row>
    <row r="81" ht="14.25" customHeight="1" s="1">
      <c r="A81" s="161" t="inlineStr">
        <is>
          <t>Concepto</t>
        </is>
      </c>
      <c r="B81" s="26" t="inlineStr">
        <is>
          <t>Año 0</t>
        </is>
      </c>
      <c r="C81" s="26" t="inlineStr">
        <is>
          <t>Año 1</t>
        </is>
      </c>
      <c r="D81" s="26" t="inlineStr">
        <is>
          <t>Año 2</t>
        </is>
      </c>
      <c r="E81" s="26" t="inlineStr">
        <is>
          <t>Año 3</t>
        </is>
      </c>
      <c r="F81" s="26" t="inlineStr">
        <is>
          <t>Año 4</t>
        </is>
      </c>
      <c r="G81" s="26" t="inlineStr">
        <is>
          <t>Año 5</t>
        </is>
      </c>
      <c r="H81" s="26" t="inlineStr">
        <is>
          <t>Año 6</t>
        </is>
      </c>
      <c r="I81" s="26" t="inlineStr">
        <is>
          <t>Año 7</t>
        </is>
      </c>
      <c r="J81" s="26" t="inlineStr">
        <is>
          <t>Año 8</t>
        </is>
      </c>
      <c r="K81" s="26" t="inlineStr">
        <is>
          <t>Año 9</t>
        </is>
      </c>
      <c r="L81" s="27" t="inlineStr">
        <is>
          <t>Año 10</t>
        </is>
      </c>
      <c r="R81" s="61" t="inlineStr">
        <is>
          <t>Inversión</t>
        </is>
      </c>
      <c r="S81" s="62" t="inlineStr">
        <is>
          <t>Valor Activo</t>
        </is>
      </c>
      <c r="T81" s="62" t="inlineStr">
        <is>
          <t>Valor residual</t>
        </is>
      </c>
      <c r="U81" s="62" t="inlineStr">
        <is>
          <t>Vida útil</t>
        </is>
      </c>
      <c r="V81" s="62" t="inlineStr">
        <is>
          <t>Dep. Anual</t>
        </is>
      </c>
    </row>
    <row r="82" ht="14.25" customHeight="1" s="1">
      <c r="A82" s="28" t="inlineStr">
        <is>
          <t>Inversiones a 20 años</t>
        </is>
      </c>
      <c r="B82" s="55" t="n"/>
      <c r="C82" s="57">
        <f>$V$82</f>
        <v/>
      </c>
      <c r="D82" s="57">
        <f>$V$82</f>
        <v/>
      </c>
      <c r="E82" s="57">
        <f>$V$82</f>
        <v/>
      </c>
      <c r="F82" s="57">
        <f>$V$82</f>
        <v/>
      </c>
      <c r="G82" s="57">
        <f>$V$82</f>
        <v/>
      </c>
      <c r="H82" s="57">
        <f>$V$82</f>
        <v/>
      </c>
      <c r="I82" s="57">
        <f>$V$82</f>
        <v/>
      </c>
      <c r="J82" s="57">
        <f>$V$82</f>
        <v/>
      </c>
      <c r="K82" s="57">
        <f>$V$82</f>
        <v/>
      </c>
      <c r="L82" s="57">
        <f>$V$82</f>
        <v/>
      </c>
      <c r="R82" s="63" t="inlineStr">
        <is>
          <t>Edificio</t>
        </is>
      </c>
      <c r="S82" s="15">
        <f>B69</f>
        <v/>
      </c>
      <c r="T82" s="64" t="n">
        <v>50000</v>
      </c>
      <c r="U82" s="65" t="n">
        <v>20</v>
      </c>
      <c r="V82" s="15">
        <f>(S82-T82)/U82</f>
        <v/>
      </c>
    </row>
    <row r="83" ht="14.25" customHeight="1" s="1">
      <c r="A83" s="28" t="inlineStr">
        <is>
          <t>Inversiones a 10 años</t>
        </is>
      </c>
      <c r="B83" s="55" t="n"/>
      <c r="C83" s="57">
        <f>$V$83+$V$84</f>
        <v/>
      </c>
      <c r="D83" s="57">
        <f>$V$83+$V$84</f>
        <v/>
      </c>
      <c r="E83" s="57">
        <f>$V$83+$V$84</f>
        <v/>
      </c>
      <c r="F83" s="57">
        <f>$V$83+$V$84</f>
        <v/>
      </c>
      <c r="G83" s="57">
        <f>$V$83+$V$84</f>
        <v/>
      </c>
      <c r="H83" s="57">
        <f>$V$83+$V$84</f>
        <v/>
      </c>
      <c r="I83" s="57">
        <f>$V$83+$V$84</f>
        <v/>
      </c>
      <c r="J83" s="57">
        <f>$V$83+$V$84</f>
        <v/>
      </c>
      <c r="K83" s="57">
        <f>$V$83+$V$84</f>
        <v/>
      </c>
      <c r="L83" s="57">
        <f>$V$83+$V$84</f>
        <v/>
      </c>
      <c r="R83" s="63" t="inlineStr">
        <is>
          <t>Estanque y canales</t>
        </is>
      </c>
      <c r="S83" s="15" t="n">
        <v>3000000</v>
      </c>
      <c r="T83" s="64" t="n">
        <v>1000000</v>
      </c>
      <c r="U83" s="66" t="n">
        <v>10</v>
      </c>
      <c r="V83" s="15">
        <f>(S83-T83)/U83</f>
        <v/>
      </c>
    </row>
    <row r="84" ht="14.25" customHeight="1" s="1">
      <c r="A84" s="28" t="inlineStr">
        <is>
          <t>Inversiones a 5 años</t>
        </is>
      </c>
      <c r="B84" s="55" t="n"/>
      <c r="C84" s="57">
        <f>$V$85</f>
        <v/>
      </c>
      <c r="D84" s="57">
        <f>$V$85</f>
        <v/>
      </c>
      <c r="E84" s="57">
        <f>$V$85</f>
        <v/>
      </c>
      <c r="F84" s="57">
        <f>$V$85</f>
        <v/>
      </c>
      <c r="G84" s="57">
        <f>$V$85</f>
        <v/>
      </c>
      <c r="H84" s="57" t="n">
        <v>0</v>
      </c>
      <c r="I84" s="57" t="n">
        <v>0</v>
      </c>
      <c r="J84" s="57" t="n">
        <v>0</v>
      </c>
      <c r="K84" s="57" t="n">
        <v>0</v>
      </c>
      <c r="L84" s="57" t="n">
        <v>0</v>
      </c>
      <c r="R84" s="63" t="inlineStr">
        <is>
          <t>Maq &amp; Equipo</t>
        </is>
      </c>
      <c r="S84" s="67">
        <f>B70-S83</f>
        <v/>
      </c>
      <c r="T84" s="63" t="n">
        <v>0</v>
      </c>
      <c r="U84" s="65" t="n">
        <v>10</v>
      </c>
      <c r="V84" s="15">
        <f>(S84-T84)/U84</f>
        <v/>
      </c>
    </row>
    <row r="85" ht="14.25" customHeight="1" s="1">
      <c r="A85" s="68" t="inlineStr">
        <is>
          <t>Total Depreciación</t>
        </is>
      </c>
      <c r="B85" s="69" t="n"/>
      <c r="C85" s="70">
        <f>SUM(C82:C84)</f>
        <v/>
      </c>
      <c r="D85" s="70">
        <f>SUM(D82:D84)</f>
        <v/>
      </c>
      <c r="E85" s="70">
        <f>SUM(E82:E84)</f>
        <v/>
      </c>
      <c r="F85" s="70">
        <f>SUM(F82:F84)</f>
        <v/>
      </c>
      <c r="G85" s="70">
        <f>SUM(G82:G84)</f>
        <v/>
      </c>
      <c r="H85" s="70">
        <f>SUM(H82:H84)</f>
        <v/>
      </c>
      <c r="I85" s="70">
        <f>SUM(I82:I84)</f>
        <v/>
      </c>
      <c r="J85" s="70">
        <f>SUM(J82:J84)</f>
        <v/>
      </c>
      <c r="K85" s="70">
        <f>SUM(K82:K84)</f>
        <v/>
      </c>
      <c r="L85" s="70">
        <f>SUM(L82:L84)</f>
        <v/>
      </c>
      <c r="R85" s="63" t="inlineStr">
        <is>
          <t>Vehículos y embarcaciones</t>
        </is>
      </c>
      <c r="S85" s="15">
        <f>B71</f>
        <v/>
      </c>
      <c r="T85" s="64" t="n">
        <v>0</v>
      </c>
      <c r="U85" s="66" t="n">
        <v>5</v>
      </c>
      <c r="V85" s="15">
        <f>(S85-T85)/U85</f>
        <v/>
      </c>
    </row>
    <row r="86" ht="14.25" customHeight="1" s="1">
      <c r="A86" s="71" t="n"/>
      <c r="B86" s="55" t="n"/>
      <c r="C86" s="55" t="n"/>
      <c r="D86" s="55" t="n"/>
      <c r="E86" s="55" t="n"/>
      <c r="F86" s="55" t="n"/>
      <c r="G86" s="55" t="n"/>
      <c r="H86" s="55" t="n"/>
      <c r="I86" s="55" t="n"/>
      <c r="J86" s="55" t="n"/>
      <c r="K86" s="55" t="n"/>
      <c r="L86" s="56" t="n"/>
      <c r="S86" s="72">
        <f>SUM(S82:S85)</f>
        <v/>
      </c>
    </row>
    <row r="87" ht="14.25" customHeight="1" s="1">
      <c r="A87" s="28" t="inlineStr">
        <is>
          <t>Amortización pre-operativos</t>
        </is>
      </c>
      <c r="B87" s="55" t="n"/>
      <c r="C87" s="57">
        <f>$B$74/10</f>
        <v/>
      </c>
      <c r="D87" s="57">
        <f>$B$74/10</f>
        <v/>
      </c>
      <c r="E87" s="57">
        <f>$B$74/10</f>
        <v/>
      </c>
      <c r="F87" s="57">
        <f>$B$74/10</f>
        <v/>
      </c>
      <c r="G87" s="57">
        <f>$B$74/10</f>
        <v/>
      </c>
      <c r="H87" s="57">
        <f>$B$74/10</f>
        <v/>
      </c>
      <c r="I87" s="57">
        <f>$B$74/10</f>
        <v/>
      </c>
      <c r="J87" s="57">
        <f>$B$74/10</f>
        <v/>
      </c>
      <c r="K87" s="57">
        <f>$B$74/10</f>
        <v/>
      </c>
      <c r="L87" s="73">
        <f>$B$74/10</f>
        <v/>
      </c>
      <c r="O87" s="74" t="n"/>
    </row>
    <row r="88" ht="15.75" customHeight="1" s="1">
      <c r="A88" s="40" t="inlineStr">
        <is>
          <t>Total Amortización</t>
        </is>
      </c>
      <c r="B88" s="75" t="n"/>
      <c r="C88" s="59">
        <f>SUM(C87)</f>
        <v/>
      </c>
      <c r="D88" s="59">
        <f>SUM(D87)</f>
        <v/>
      </c>
      <c r="E88" s="59">
        <f>SUM(E87)</f>
        <v/>
      </c>
      <c r="F88" s="59">
        <f>SUM(F87)</f>
        <v/>
      </c>
      <c r="G88" s="59">
        <f>SUM(G87)</f>
        <v/>
      </c>
      <c r="H88" s="59">
        <f>SUM(H87)</f>
        <v/>
      </c>
      <c r="I88" s="59">
        <f>SUM(I87)</f>
        <v/>
      </c>
      <c r="J88" s="59">
        <f>SUM(J87)</f>
        <v/>
      </c>
      <c r="K88" s="59">
        <f>SUM(K87)</f>
        <v/>
      </c>
      <c r="L88" s="60">
        <f>SUM(L87)</f>
        <v/>
      </c>
      <c r="O88" s="74" t="n"/>
    </row>
    <row r="89" ht="14.25" customHeight="1" s="1">
      <c r="B89" s="21" t="n"/>
    </row>
    <row r="90" ht="14.25" customHeight="1" s="1">
      <c r="A90" s="22" t="inlineStr">
        <is>
          <t>7. Valor de desecho del proyecto</t>
        </is>
      </c>
      <c r="B90" s="24" t="n"/>
    </row>
    <row r="91" ht="15.75" customHeight="1" s="1">
      <c r="A91" s="23" t="inlineStr">
        <is>
          <t>Clalculo del valor de desecho del proyecto (método contable)</t>
        </is>
      </c>
      <c r="B91" s="24" t="n"/>
    </row>
    <row r="92" ht="14.25" customHeight="1" s="1">
      <c r="A92" s="161" t="inlineStr">
        <is>
          <t>Concepto</t>
        </is>
      </c>
      <c r="B92" s="162" t="inlineStr">
        <is>
          <t>Valor del</t>
        </is>
      </c>
      <c r="C92" s="162" t="inlineStr">
        <is>
          <t>Depreciación por periodo</t>
        </is>
      </c>
      <c r="D92" s="170" t="n"/>
      <c r="E92" s="170" t="n"/>
      <c r="F92" s="170" t="n"/>
      <c r="G92" s="170" t="n"/>
      <c r="H92" s="170" t="n"/>
      <c r="I92" s="170" t="n"/>
      <c r="J92" s="170" t="n"/>
      <c r="K92" s="170" t="n"/>
      <c r="L92" s="171" t="n"/>
      <c r="M92" s="77" t="inlineStr">
        <is>
          <t>Valor de</t>
        </is>
      </c>
    </row>
    <row r="93" ht="14.25" customHeight="1" s="1">
      <c r="A93" s="172" t="n"/>
      <c r="B93" s="62" t="inlineStr">
        <is>
          <t>Activo</t>
        </is>
      </c>
      <c r="C93" s="78" t="inlineStr">
        <is>
          <t>Año 1</t>
        </is>
      </c>
      <c r="D93" s="78" t="inlineStr">
        <is>
          <t>Año 2</t>
        </is>
      </c>
      <c r="E93" s="78" t="inlineStr">
        <is>
          <t>Año 3</t>
        </is>
      </c>
      <c r="F93" s="78" t="inlineStr">
        <is>
          <t>Año 4</t>
        </is>
      </c>
      <c r="G93" s="78" t="inlineStr">
        <is>
          <t>Año 5</t>
        </is>
      </c>
      <c r="H93" s="78" t="inlineStr">
        <is>
          <t>Año 6</t>
        </is>
      </c>
      <c r="I93" s="78" t="inlineStr">
        <is>
          <t>Año 7</t>
        </is>
      </c>
      <c r="J93" s="78" t="inlineStr">
        <is>
          <t>Año 8</t>
        </is>
      </c>
      <c r="K93" s="78" t="inlineStr">
        <is>
          <t>Año 9</t>
        </is>
      </c>
      <c r="L93" s="78" t="inlineStr">
        <is>
          <t>Año 10</t>
        </is>
      </c>
      <c r="M93" s="79" t="inlineStr">
        <is>
          <t>Desecho</t>
        </is>
      </c>
    </row>
    <row r="94" ht="14.25" customHeight="1" s="1">
      <c r="A94" s="28" t="inlineStr">
        <is>
          <t>Inversiones a 20 años</t>
        </is>
      </c>
      <c r="B94" s="57">
        <f>B69</f>
        <v/>
      </c>
      <c r="C94" s="57">
        <f>C82</f>
        <v/>
      </c>
      <c r="D94" s="57">
        <f>D82</f>
        <v/>
      </c>
      <c r="E94" s="57">
        <f>E82</f>
        <v/>
      </c>
      <c r="F94" s="57">
        <f>F82</f>
        <v/>
      </c>
      <c r="G94" s="57">
        <f>G82</f>
        <v/>
      </c>
      <c r="H94" s="57">
        <f>H82</f>
        <v/>
      </c>
      <c r="I94" s="57">
        <f>I82</f>
        <v/>
      </c>
      <c r="J94" s="57">
        <f>J82</f>
        <v/>
      </c>
      <c r="K94" s="57">
        <f>K82</f>
        <v/>
      </c>
      <c r="L94" s="57">
        <f>L82</f>
        <v/>
      </c>
      <c r="M94" s="73">
        <f>B94-SUM(C94:L94)</f>
        <v/>
      </c>
    </row>
    <row r="95" ht="14.25" customHeight="1" s="1">
      <c r="A95" s="28" t="inlineStr">
        <is>
          <t>Inversiones a 10 años</t>
        </is>
      </c>
      <c r="B95" s="57">
        <f>B70</f>
        <v/>
      </c>
      <c r="C95" s="57">
        <f>C83</f>
        <v/>
      </c>
      <c r="D95" s="57">
        <f>D83</f>
        <v/>
      </c>
      <c r="E95" s="57">
        <f>E83</f>
        <v/>
      </c>
      <c r="F95" s="57">
        <f>F83</f>
        <v/>
      </c>
      <c r="G95" s="57">
        <f>G83</f>
        <v/>
      </c>
      <c r="H95" s="57">
        <f>H83</f>
        <v/>
      </c>
      <c r="I95" s="57">
        <f>I83</f>
        <v/>
      </c>
      <c r="J95" s="57">
        <f>J83</f>
        <v/>
      </c>
      <c r="K95" s="57">
        <f>K83</f>
        <v/>
      </c>
      <c r="L95" s="57">
        <f>L83</f>
        <v/>
      </c>
      <c r="M95" s="73">
        <f>B95-SUM(C95:L95)</f>
        <v/>
      </c>
    </row>
    <row r="96" ht="14.25" customHeight="1" s="1">
      <c r="A96" s="28" t="inlineStr">
        <is>
          <t>Inversiones a 5 años</t>
        </is>
      </c>
      <c r="B96" s="57">
        <f>B71</f>
        <v/>
      </c>
      <c r="C96" s="57">
        <f>C84</f>
        <v/>
      </c>
      <c r="D96" s="57">
        <f>D84</f>
        <v/>
      </c>
      <c r="E96" s="57">
        <f>E84</f>
        <v/>
      </c>
      <c r="F96" s="57">
        <f>F84</f>
        <v/>
      </c>
      <c r="G96" s="57">
        <f>G84</f>
        <v/>
      </c>
      <c r="H96" s="57">
        <f>H84</f>
        <v/>
      </c>
      <c r="I96" s="57">
        <f>I84</f>
        <v/>
      </c>
      <c r="J96" s="57">
        <f>J84</f>
        <v/>
      </c>
      <c r="K96" s="57">
        <f>K84</f>
        <v/>
      </c>
      <c r="L96" s="57">
        <f>L84</f>
        <v/>
      </c>
      <c r="M96" s="73">
        <f>B96-SUM(C96:L96)</f>
        <v/>
      </c>
    </row>
    <row r="97" ht="15.75" customHeight="1" s="1">
      <c r="A97" s="80" t="inlineStr">
        <is>
          <t>Amortización pre-operativos</t>
        </is>
      </c>
      <c r="B97" s="81">
        <f>B74</f>
        <v/>
      </c>
      <c r="C97" s="81">
        <f>C87</f>
        <v/>
      </c>
      <c r="D97" s="81">
        <f>D87</f>
        <v/>
      </c>
      <c r="E97" s="81">
        <f>E87</f>
        <v/>
      </c>
      <c r="F97" s="81">
        <f>F87</f>
        <v/>
      </c>
      <c r="G97" s="81">
        <f>G87</f>
        <v/>
      </c>
      <c r="H97" s="81">
        <f>H87</f>
        <v/>
      </c>
      <c r="I97" s="81">
        <f>I87</f>
        <v/>
      </c>
      <c r="J97" s="81">
        <f>J87</f>
        <v/>
      </c>
      <c r="K97" s="81">
        <f>K87</f>
        <v/>
      </c>
      <c r="L97" s="81">
        <f>L87</f>
        <v/>
      </c>
      <c r="M97" s="82">
        <f>B97-SUM(C97:L97)</f>
        <v/>
      </c>
    </row>
    <row r="98" ht="15.75" customHeight="1" s="1">
      <c r="A98" s="163" t="inlineStr">
        <is>
          <t>Valor de desecho total</t>
        </is>
      </c>
      <c r="B98" s="173" t="n"/>
      <c r="C98" s="173" t="n"/>
      <c r="D98" s="173" t="n"/>
      <c r="E98" s="173" t="n"/>
      <c r="F98" s="173" t="n"/>
      <c r="G98" s="173" t="n"/>
      <c r="H98" s="173" t="n"/>
      <c r="I98" s="173" t="n"/>
      <c r="J98" s="173" t="n"/>
      <c r="K98" s="173" t="n"/>
      <c r="L98" s="174" t="n"/>
      <c r="M98" s="83">
        <f>SUM(M94:M97)</f>
        <v/>
      </c>
    </row>
    <row r="99" ht="14.25" customHeight="1" s="1">
      <c r="B99" s="21" t="n"/>
    </row>
    <row r="100" ht="14.25" customHeight="1" s="1">
      <c r="A100" s="22" t="inlineStr">
        <is>
          <t>8. Financiamiento</t>
        </is>
      </c>
      <c r="B100" s="24" t="n"/>
    </row>
    <row r="101" ht="15.75" customHeight="1" s="1">
      <c r="A101" s="44" t="inlineStr">
        <is>
          <t>Cálculo del Financiamiento</t>
        </is>
      </c>
      <c r="B101" s="42" t="n"/>
      <c r="C101" s="43" t="n"/>
      <c r="D101" s="43" t="n"/>
      <c r="E101" s="43" t="n"/>
    </row>
    <row r="102" ht="14.25" customHeight="1" s="1">
      <c r="A102" s="84" t="inlineStr">
        <is>
          <t>Financiamiento bancario (valor)</t>
        </is>
      </c>
      <c r="B102" s="85">
        <f>B77*E102</f>
        <v/>
      </c>
      <c r="C102" s="86" t="n"/>
      <c r="D102" s="43" t="n"/>
      <c r="E102" s="87" t="n">
        <v>0.5</v>
      </c>
    </row>
    <row r="103" ht="14.25" customHeight="1" s="1">
      <c r="A103" s="28" t="inlineStr">
        <is>
          <t>Financiamiento bancario (tasa)</t>
        </is>
      </c>
      <c r="B103" s="88">
        <f>B22</f>
        <v/>
      </c>
      <c r="C103" s="89" t="n"/>
      <c r="D103" s="43" t="n"/>
      <c r="E103" s="43" t="n"/>
    </row>
    <row r="104" ht="14.25" customHeight="1" s="1">
      <c r="A104" s="28" t="inlineStr">
        <is>
          <t>Financiamiento bancario (periodos)</t>
        </is>
      </c>
      <c r="B104" s="90" t="n">
        <v>7</v>
      </c>
      <c r="C104" s="91" t="inlineStr">
        <is>
          <t>años</t>
        </is>
      </c>
      <c r="D104" s="43" t="n"/>
      <c r="E104" s="43" t="n"/>
    </row>
    <row r="105" ht="15.75" customHeight="1" s="1">
      <c r="A105" s="92" t="inlineStr">
        <is>
          <t>Modalidad</t>
        </is>
      </c>
      <c r="B105" s="159" t="inlineStr">
        <is>
          <t>Pagos exactos</t>
        </is>
      </c>
      <c r="C105" s="175" t="n"/>
      <c r="D105" s="43" t="n"/>
      <c r="E105" s="43" t="n"/>
    </row>
    <row r="106" ht="15.75" customHeight="1" s="1">
      <c r="A106" s="43" t="n"/>
      <c r="B106" s="42" t="n"/>
      <c r="C106" s="43" t="n"/>
      <c r="D106" s="43" t="n"/>
      <c r="E106" s="43" t="n"/>
    </row>
    <row r="107" ht="14.25" customHeight="1" s="1">
      <c r="A107" s="161" t="inlineStr">
        <is>
          <t>Concepto</t>
        </is>
      </c>
      <c r="B107" s="26" t="inlineStr">
        <is>
          <t>Año 0</t>
        </is>
      </c>
      <c r="C107" s="26" t="inlineStr">
        <is>
          <t>Año 1</t>
        </is>
      </c>
      <c r="D107" s="26" t="inlineStr">
        <is>
          <t>Año 2</t>
        </is>
      </c>
      <c r="E107" s="26" t="inlineStr">
        <is>
          <t>Año 3</t>
        </is>
      </c>
      <c r="F107" s="26" t="inlineStr">
        <is>
          <t>Año 4</t>
        </is>
      </c>
      <c r="G107" s="26" t="inlineStr">
        <is>
          <t>Año 5</t>
        </is>
      </c>
      <c r="H107" s="26" t="inlineStr">
        <is>
          <t>Año 6</t>
        </is>
      </c>
      <c r="I107" s="26" t="inlineStr">
        <is>
          <t>Año 7</t>
        </is>
      </c>
    </row>
    <row r="108" ht="14.25" customHeight="1" s="1">
      <c r="A108" s="28" t="inlineStr">
        <is>
          <t xml:space="preserve">Saldo crédito </t>
        </is>
      </c>
      <c r="B108" s="57">
        <f>B102</f>
        <v/>
      </c>
      <c r="C108" s="57">
        <f>B108-C111</f>
        <v/>
      </c>
      <c r="D108" s="57">
        <f>C108-D111</f>
        <v/>
      </c>
      <c r="E108" s="57">
        <f>D108-E111</f>
        <v/>
      </c>
      <c r="F108" s="57">
        <f>E108-F111</f>
        <v/>
      </c>
      <c r="G108" s="57">
        <f>F108-G111</f>
        <v/>
      </c>
      <c r="H108" s="57">
        <f>G108-H111</f>
        <v/>
      </c>
      <c r="I108" s="57">
        <f>H108-I111</f>
        <v/>
      </c>
    </row>
    <row r="109" ht="14.25" customHeight="1" s="1">
      <c r="A109" s="28" t="inlineStr">
        <is>
          <t>Cuota mensual (anualidad)</t>
        </is>
      </c>
      <c r="B109" s="55" t="n"/>
      <c r="C109" s="57">
        <f>C110</f>
        <v/>
      </c>
      <c r="D109" s="57">
        <f>D110</f>
        <v/>
      </c>
      <c r="E109" s="57">
        <f>PMT($B$103,5,-$B$102)</f>
        <v/>
      </c>
      <c r="F109" s="57">
        <f>PMT($B$103,5,-$B$102)</f>
        <v/>
      </c>
      <c r="G109" s="57">
        <f>PMT($B$103,5,-$B$102)</f>
        <v/>
      </c>
      <c r="H109" s="57">
        <f>PMT($B$103,5,-$B$102)</f>
        <v/>
      </c>
      <c r="I109" s="57">
        <f>PMT($B$103,5,-$B$102)</f>
        <v/>
      </c>
    </row>
    <row r="110" ht="14.25" customHeight="1" s="1">
      <c r="A110" s="28" t="inlineStr">
        <is>
          <t>Intereses</t>
        </is>
      </c>
      <c r="B110" s="55" t="n"/>
      <c r="C110" s="57">
        <f>B108*$B$103</f>
        <v/>
      </c>
      <c r="D110" s="57">
        <f>C108*$B$103</f>
        <v/>
      </c>
      <c r="E110" s="57">
        <f>D108*$B$103</f>
        <v/>
      </c>
      <c r="F110" s="57">
        <f>E108*$B$103</f>
        <v/>
      </c>
      <c r="G110" s="57">
        <f>F108*$B$103</f>
        <v/>
      </c>
      <c r="H110" s="57">
        <f>G108*$B$103</f>
        <v/>
      </c>
      <c r="I110" s="57">
        <f>H108*$B$103</f>
        <v/>
      </c>
    </row>
    <row r="111" ht="15.75" customHeight="1" s="1">
      <c r="A111" s="92" t="inlineStr">
        <is>
          <t>Abono a capital (amortización)</t>
        </is>
      </c>
      <c r="B111" s="93" t="n"/>
      <c r="C111" s="81">
        <f>C109-C110</f>
        <v/>
      </c>
      <c r="D111" s="81">
        <f>D109-D110</f>
        <v/>
      </c>
      <c r="E111" s="81">
        <f>E109-E110</f>
        <v/>
      </c>
      <c r="F111" s="81">
        <f>F109-F110</f>
        <v/>
      </c>
      <c r="G111" s="81">
        <f>G109-G110</f>
        <v/>
      </c>
      <c r="H111" s="81">
        <f>H109-H110</f>
        <v/>
      </c>
      <c r="I111" s="81">
        <f>I109-I110</f>
        <v/>
      </c>
    </row>
    <row r="112" ht="14.25" customHeight="1" s="1">
      <c r="B112" s="21" t="n"/>
    </row>
    <row r="113" ht="14.25" customHeight="1" s="1">
      <c r="A113" s="22" t="inlineStr">
        <is>
          <t>9.Flujo de caja del proyecto</t>
        </is>
      </c>
      <c r="B113" s="24" t="n"/>
    </row>
    <row r="114" ht="15.75" customHeight="1" s="1">
      <c r="A114" s="4" t="inlineStr">
        <is>
          <t>Flujo de caja del proyecto (con) Financiamiento)</t>
        </is>
      </c>
      <c r="B114" s="24" t="n"/>
    </row>
    <row r="115" ht="14.25" customHeight="1" s="1">
      <c r="A115" s="161" t="inlineStr">
        <is>
          <t>Concepto</t>
        </is>
      </c>
      <c r="B115" s="26" t="inlineStr">
        <is>
          <t>Año 0</t>
        </is>
      </c>
      <c r="C115" s="26" t="inlineStr">
        <is>
          <t>Año 1</t>
        </is>
      </c>
      <c r="D115" s="26" t="inlineStr">
        <is>
          <t>Año 2</t>
        </is>
      </c>
      <c r="E115" s="26" t="inlineStr">
        <is>
          <t>Año 3</t>
        </is>
      </c>
      <c r="F115" s="26" t="inlineStr">
        <is>
          <t>Año 4</t>
        </is>
      </c>
      <c r="G115" s="26" t="inlineStr">
        <is>
          <t>Año 5</t>
        </is>
      </c>
      <c r="H115" s="26" t="inlineStr">
        <is>
          <t>Año 6</t>
        </is>
      </c>
      <c r="I115" s="26" t="inlineStr">
        <is>
          <t>Año 7</t>
        </is>
      </c>
      <c r="J115" s="26" t="inlineStr">
        <is>
          <t>Año 8</t>
        </is>
      </c>
      <c r="K115" s="26" t="inlineStr">
        <is>
          <t>Año 9</t>
        </is>
      </c>
      <c r="L115" s="27" t="inlineStr">
        <is>
          <t>Año 10</t>
        </is>
      </c>
    </row>
    <row r="116" ht="14.25" customHeight="1" s="1">
      <c r="A116" s="94" t="inlineStr">
        <is>
          <t>+ Ingreso por ventas</t>
        </is>
      </c>
      <c r="B116" s="95" t="n"/>
      <c r="C116" s="96">
        <f>C33</f>
        <v/>
      </c>
      <c r="D116" s="96">
        <f>D33</f>
        <v/>
      </c>
      <c r="E116" s="96">
        <f>E33</f>
        <v/>
      </c>
      <c r="F116" s="96">
        <f>F33</f>
        <v/>
      </c>
      <c r="G116" s="96">
        <f>G33</f>
        <v/>
      </c>
      <c r="H116" s="96">
        <f>H33</f>
        <v/>
      </c>
      <c r="I116" s="96">
        <f>I33</f>
        <v/>
      </c>
      <c r="J116" s="96">
        <f>J33</f>
        <v/>
      </c>
      <c r="K116" s="96">
        <f>K33</f>
        <v/>
      </c>
      <c r="L116" s="97">
        <f>L33</f>
        <v/>
      </c>
    </row>
    <row r="117" ht="14.25" customHeight="1" s="1">
      <c r="A117" s="98" t="inlineStr">
        <is>
          <t>Ingreso por venta del terreno</t>
        </is>
      </c>
      <c r="B117" s="95" t="n"/>
      <c r="C117" s="95" t="n"/>
      <c r="D117" s="95" t="n"/>
      <c r="E117" s="95" t="n"/>
      <c r="F117" s="95" t="n"/>
      <c r="G117" s="95" t="n"/>
      <c r="H117" s="95" t="n"/>
      <c r="I117" s="95" t="n"/>
      <c r="J117" s="95" t="n"/>
      <c r="K117" s="95" t="n"/>
      <c r="L117" s="97">
        <f>B19</f>
        <v/>
      </c>
    </row>
    <row r="118" ht="14.25" customHeight="1" s="1">
      <c r="A118" s="94" t="inlineStr">
        <is>
          <t>- Egresos deducibles de impuestos</t>
        </is>
      </c>
      <c r="B118" s="95" t="n"/>
      <c r="C118" s="96">
        <f>SUM(C119:C121)</f>
        <v/>
      </c>
      <c r="D118" s="96">
        <f>SUM(D119:D121)</f>
        <v/>
      </c>
      <c r="E118" s="96">
        <f>SUM(E119:E121)</f>
        <v/>
      </c>
      <c r="F118" s="96">
        <f>SUM(F119:F121)</f>
        <v/>
      </c>
      <c r="G118" s="96">
        <f>SUM(G119:G121)</f>
        <v/>
      </c>
      <c r="H118" s="96">
        <f>SUM(H119:H121)</f>
        <v/>
      </c>
      <c r="I118" s="96">
        <f>SUM(I119:I121)</f>
        <v/>
      </c>
      <c r="J118" s="96">
        <f>SUM(J119:J121)</f>
        <v/>
      </c>
      <c r="K118" s="96">
        <f>SUM(K119:K121)</f>
        <v/>
      </c>
      <c r="L118" s="97">
        <f>SUM(L119:L121)</f>
        <v/>
      </c>
    </row>
    <row r="119" ht="14.25" customHeight="1" s="1">
      <c r="A119" s="99" t="inlineStr">
        <is>
          <t xml:space="preserve">     Costos variables</t>
        </is>
      </c>
      <c r="B119" s="100" t="n"/>
      <c r="C119" s="15">
        <f>C39</f>
        <v/>
      </c>
      <c r="D119" s="15">
        <f>D39</f>
        <v/>
      </c>
      <c r="E119" s="15">
        <f>E39</f>
        <v/>
      </c>
      <c r="F119" s="15">
        <f>F39</f>
        <v/>
      </c>
      <c r="G119" s="15">
        <f>G39</f>
        <v/>
      </c>
      <c r="H119" s="15">
        <f>H39</f>
        <v/>
      </c>
      <c r="I119" s="15">
        <f>I39</f>
        <v/>
      </c>
      <c r="J119" s="15">
        <f>J39</f>
        <v/>
      </c>
      <c r="K119" s="15">
        <f>K39</f>
        <v/>
      </c>
      <c r="L119" s="101">
        <f>L39</f>
        <v/>
      </c>
    </row>
    <row r="120" ht="14.25" customHeight="1" s="1">
      <c r="A120" s="99" t="inlineStr">
        <is>
          <t xml:space="preserve">     Costos Fijos</t>
        </is>
      </c>
      <c r="B120" s="100" t="n"/>
      <c r="C120" s="15">
        <f>C46</f>
        <v/>
      </c>
      <c r="D120" s="15">
        <f>D46</f>
        <v/>
      </c>
      <c r="E120" s="15">
        <f>E46</f>
        <v/>
      </c>
      <c r="F120" s="15">
        <f>F46</f>
        <v/>
      </c>
      <c r="G120" s="15">
        <f>G46</f>
        <v/>
      </c>
      <c r="H120" s="15">
        <f>H46</f>
        <v/>
      </c>
      <c r="I120" s="15">
        <f>I46</f>
        <v/>
      </c>
      <c r="J120" s="15">
        <f>J46</f>
        <v/>
      </c>
      <c r="K120" s="15">
        <f>K46</f>
        <v/>
      </c>
      <c r="L120" s="101">
        <f>L46</f>
        <v/>
      </c>
    </row>
    <row r="121" ht="14.25" customHeight="1" s="1">
      <c r="A121" s="99" t="inlineStr">
        <is>
          <t xml:space="preserve">     Gastos financieros</t>
        </is>
      </c>
      <c r="B121" s="100" t="n"/>
      <c r="C121" s="15">
        <f>C110</f>
        <v/>
      </c>
      <c r="D121" s="15">
        <f>D110</f>
        <v/>
      </c>
      <c r="E121" s="15">
        <f>E110</f>
        <v/>
      </c>
      <c r="F121" s="15">
        <f>F110</f>
        <v/>
      </c>
      <c r="G121" s="15">
        <f>G110</f>
        <v/>
      </c>
      <c r="H121" s="15">
        <f>H110</f>
        <v/>
      </c>
      <c r="I121" s="15">
        <f>I110</f>
        <v/>
      </c>
      <c r="J121" s="15">
        <f>J110</f>
        <v/>
      </c>
      <c r="K121" s="15">
        <f>K110</f>
        <v/>
      </c>
      <c r="L121" s="101">
        <f>L110</f>
        <v/>
      </c>
    </row>
    <row r="122" ht="14.25" customHeight="1" s="1">
      <c r="A122" s="94" t="inlineStr">
        <is>
          <t>- Gastos no desembolsables</t>
        </is>
      </c>
      <c r="B122" s="95" t="n"/>
      <c r="C122" s="96">
        <f>SUM(C123:C124)</f>
        <v/>
      </c>
      <c r="D122" s="96">
        <f>SUM(D123:D124)</f>
        <v/>
      </c>
      <c r="E122" s="96">
        <f>SUM(E123:E124)</f>
        <v/>
      </c>
      <c r="F122" s="96">
        <f>SUM(F123:F124)</f>
        <v/>
      </c>
      <c r="G122" s="96">
        <f>SUM(G123:G124)</f>
        <v/>
      </c>
      <c r="H122" s="96">
        <f>SUM(H123:H124)</f>
        <v/>
      </c>
      <c r="I122" s="96">
        <f>SUM(I123:I124)</f>
        <v/>
      </c>
      <c r="J122" s="96">
        <f>SUM(J123:J124)</f>
        <v/>
      </c>
      <c r="K122" s="96">
        <f>SUM(K123:K124)</f>
        <v/>
      </c>
      <c r="L122" s="97">
        <f>SUM(L123:L124)</f>
        <v/>
      </c>
    </row>
    <row r="123" ht="14.25" customHeight="1" s="1">
      <c r="A123" s="99" t="inlineStr">
        <is>
          <t xml:space="preserve">     Depreciación de activos</t>
        </is>
      </c>
      <c r="B123" s="100" t="n"/>
      <c r="C123" s="15">
        <f>C85</f>
        <v/>
      </c>
      <c r="D123" s="15">
        <f>D85</f>
        <v/>
      </c>
      <c r="E123" s="15">
        <f>E85</f>
        <v/>
      </c>
      <c r="F123" s="15">
        <f>F85</f>
        <v/>
      </c>
      <c r="G123" s="15">
        <f>G85</f>
        <v/>
      </c>
      <c r="H123" s="15">
        <f>H85</f>
        <v/>
      </c>
      <c r="I123" s="15">
        <f>I85</f>
        <v/>
      </c>
      <c r="J123" s="15">
        <f>J85</f>
        <v/>
      </c>
      <c r="K123" s="15">
        <f>K85</f>
        <v/>
      </c>
      <c r="L123" s="101">
        <f>L85</f>
        <v/>
      </c>
    </row>
    <row r="124" ht="14.25" customHeight="1" s="1">
      <c r="A124" s="99" t="inlineStr">
        <is>
          <t xml:space="preserve">     Amortización de pre-operativos</t>
        </is>
      </c>
      <c r="B124" s="100" t="n"/>
      <c r="C124" s="15">
        <f>C87</f>
        <v/>
      </c>
      <c r="D124" s="15">
        <f>D87</f>
        <v/>
      </c>
      <c r="E124" s="15">
        <f>E87</f>
        <v/>
      </c>
      <c r="F124" s="15">
        <f>F87</f>
        <v/>
      </c>
      <c r="G124" s="15">
        <f>G87</f>
        <v/>
      </c>
      <c r="H124" s="15">
        <f>H87</f>
        <v/>
      </c>
      <c r="I124" s="15">
        <f>I87</f>
        <v/>
      </c>
      <c r="J124" s="15">
        <f>J87</f>
        <v/>
      </c>
      <c r="K124" s="15">
        <f>K87</f>
        <v/>
      </c>
      <c r="L124" s="101">
        <f>L87</f>
        <v/>
      </c>
    </row>
    <row r="125" ht="14.25" customHeight="1" s="1">
      <c r="A125" s="94" t="inlineStr">
        <is>
          <t>= Utilidad antes de impuestos</t>
        </is>
      </c>
      <c r="B125" s="95" t="n"/>
      <c r="C125" s="96">
        <f>C116+C117-C118-C122</f>
        <v/>
      </c>
      <c r="D125" s="96">
        <f>D116+D117-D118-D122</f>
        <v/>
      </c>
      <c r="E125" s="96">
        <f>E116+E117-E118-E122</f>
        <v/>
      </c>
      <c r="F125" s="96">
        <f>F116+F117-F118-F122</f>
        <v/>
      </c>
      <c r="G125" s="96">
        <f>G116+G117-G118-G122</f>
        <v/>
      </c>
      <c r="H125" s="96">
        <f>H116+H117-H118-H122</f>
        <v/>
      </c>
      <c r="I125" s="96">
        <f>I116+I117-I118-I122</f>
        <v/>
      </c>
      <c r="J125" s="96">
        <f>J116+J117-J118-J122</f>
        <v/>
      </c>
      <c r="K125" s="96">
        <f>K116+K117-K118-K122</f>
        <v/>
      </c>
      <c r="L125" s="96">
        <f>L116+L117-L118-L122</f>
        <v/>
      </c>
    </row>
    <row r="126" ht="14.25" customHeight="1" s="1">
      <c r="A126" s="99" t="inlineStr">
        <is>
          <t>- Impuestos (30%)</t>
        </is>
      </c>
      <c r="B126" s="100" t="n"/>
      <c r="C126" s="10">
        <f>C125*$B$26</f>
        <v/>
      </c>
      <c r="D126" s="15">
        <f>D125*$B$26</f>
        <v/>
      </c>
      <c r="E126" s="15">
        <f>E125*$B$26</f>
        <v/>
      </c>
      <c r="F126" s="15">
        <f>F125*$B$26</f>
        <v/>
      </c>
      <c r="G126" s="15">
        <f>G125*$B$26</f>
        <v/>
      </c>
      <c r="H126" s="15">
        <f>H125*$B$26</f>
        <v/>
      </c>
      <c r="I126" s="15">
        <f>I125*$B$26</f>
        <v/>
      </c>
      <c r="J126" s="15">
        <f>J125*$B$26</f>
        <v/>
      </c>
      <c r="K126" s="15">
        <f>K125*$B$26</f>
        <v/>
      </c>
      <c r="L126" s="101">
        <f>L125*$B$26</f>
        <v/>
      </c>
    </row>
    <row r="127" ht="14.25" customHeight="1" s="1">
      <c r="A127" s="94" t="inlineStr">
        <is>
          <t>= Utilidad después de impuestos</t>
        </is>
      </c>
      <c r="B127" s="95" t="n"/>
      <c r="C127" s="96">
        <f>C125-C126</f>
        <v/>
      </c>
      <c r="D127" s="96">
        <f>D125-D126</f>
        <v/>
      </c>
      <c r="E127" s="96">
        <f>E125-E126</f>
        <v/>
      </c>
      <c r="F127" s="96">
        <f>F125-F126</f>
        <v/>
      </c>
      <c r="G127" s="96">
        <f>G125-G126</f>
        <v/>
      </c>
      <c r="H127" s="96">
        <f>H125-H126</f>
        <v/>
      </c>
      <c r="I127" s="96">
        <f>I125-I126</f>
        <v/>
      </c>
      <c r="J127" s="96">
        <f>J125-J126</f>
        <v/>
      </c>
      <c r="K127" s="96">
        <f>K125-K126</f>
        <v/>
      </c>
      <c r="L127" s="97">
        <f>L125-L126</f>
        <v/>
      </c>
    </row>
    <row r="128" ht="14.25" customHeight="1" s="1">
      <c r="A128" s="98" t="inlineStr">
        <is>
          <t>+ Gastos no desembolsables</t>
        </is>
      </c>
      <c r="B128" s="95" t="n"/>
      <c r="C128" s="96">
        <f>SUM(C129:C130)</f>
        <v/>
      </c>
      <c r="D128" s="96">
        <f>SUM(D129:D130)</f>
        <v/>
      </c>
      <c r="E128" s="96">
        <f>SUM(E129:E130)</f>
        <v/>
      </c>
      <c r="F128" s="96">
        <f>SUM(F129:F130)</f>
        <v/>
      </c>
      <c r="G128" s="96">
        <f>SUM(G129:G130)</f>
        <v/>
      </c>
      <c r="H128" s="96">
        <f>SUM(H129:H130)</f>
        <v/>
      </c>
      <c r="I128" s="96">
        <f>SUM(I129:I130)</f>
        <v/>
      </c>
      <c r="J128" s="96">
        <f>SUM(J129:J130)</f>
        <v/>
      </c>
      <c r="K128" s="96">
        <f>SUM(K129:K130)</f>
        <v/>
      </c>
      <c r="L128" s="97">
        <f>SUM(L129:L130)</f>
        <v/>
      </c>
    </row>
    <row r="129" ht="14.25" customHeight="1" s="1">
      <c r="A129" s="99" t="inlineStr">
        <is>
          <t xml:space="preserve">     Depreciación de activos</t>
        </is>
      </c>
      <c r="B129" s="100" t="n"/>
      <c r="C129" s="15">
        <f>C123</f>
        <v/>
      </c>
      <c r="D129" s="15">
        <f>D123</f>
        <v/>
      </c>
      <c r="E129" s="15">
        <f>E123</f>
        <v/>
      </c>
      <c r="F129" s="15">
        <f>F123</f>
        <v/>
      </c>
      <c r="G129" s="15">
        <f>G123</f>
        <v/>
      </c>
      <c r="H129" s="15">
        <f>H123</f>
        <v/>
      </c>
      <c r="I129" s="15">
        <f>I123</f>
        <v/>
      </c>
      <c r="J129" s="15">
        <f>J123</f>
        <v/>
      </c>
      <c r="K129" s="15">
        <f>K123</f>
        <v/>
      </c>
      <c r="L129" s="101">
        <f>L123</f>
        <v/>
      </c>
    </row>
    <row r="130" ht="14.25" customHeight="1" s="1">
      <c r="A130" s="99" t="inlineStr">
        <is>
          <t xml:space="preserve">     Amortización de pre-operativos</t>
        </is>
      </c>
      <c r="B130" s="100" t="n"/>
      <c r="C130" s="15">
        <f>C124</f>
        <v/>
      </c>
      <c r="D130" s="15">
        <f>D124</f>
        <v/>
      </c>
      <c r="E130" s="15">
        <f>E124</f>
        <v/>
      </c>
      <c r="F130" s="15">
        <f>F124</f>
        <v/>
      </c>
      <c r="G130" s="15">
        <f>G124</f>
        <v/>
      </c>
      <c r="H130" s="15">
        <f>H124</f>
        <v/>
      </c>
      <c r="I130" s="15">
        <f>I124</f>
        <v/>
      </c>
      <c r="J130" s="15">
        <f>J124</f>
        <v/>
      </c>
      <c r="K130" s="15">
        <f>K124</f>
        <v/>
      </c>
      <c r="L130" s="101">
        <f>L124</f>
        <v/>
      </c>
    </row>
    <row r="131" ht="14.25" customHeight="1" s="1">
      <c r="A131" s="94" t="inlineStr">
        <is>
          <t>+ Ingresos no sujetos a impuestos</t>
        </is>
      </c>
      <c r="B131" s="96">
        <f>SUM(B132:B134)</f>
        <v/>
      </c>
      <c r="C131" s="96">
        <f>SUM(C132:C134)</f>
        <v/>
      </c>
      <c r="D131" s="96">
        <f>SUM(D132:D134)</f>
        <v/>
      </c>
      <c r="E131" s="96">
        <f>SUM(E132:E134)</f>
        <v/>
      </c>
      <c r="F131" s="96">
        <f>SUM(F132:F134)</f>
        <v/>
      </c>
      <c r="G131" s="96">
        <f>SUM(G132:G134)</f>
        <v/>
      </c>
      <c r="H131" s="96">
        <f>SUM(H132:H134)</f>
        <v/>
      </c>
      <c r="I131" s="96">
        <f>SUM(I132:I134)</f>
        <v/>
      </c>
      <c r="J131" s="96">
        <f>SUM(J132:J134)</f>
        <v/>
      </c>
      <c r="K131" s="96">
        <f>SUM(K132:K134)</f>
        <v/>
      </c>
      <c r="L131" s="97">
        <f>SUM(L132:L134)</f>
        <v/>
      </c>
    </row>
    <row r="132" ht="14.25" customHeight="1" s="1">
      <c r="A132" s="99" t="inlineStr">
        <is>
          <t xml:space="preserve">     Valor de desecho</t>
        </is>
      </c>
      <c r="B132" s="100" t="n"/>
      <c r="C132" s="100" t="n"/>
      <c r="D132" s="100" t="n"/>
      <c r="E132" s="100" t="n"/>
      <c r="F132" s="100" t="n"/>
      <c r="G132" s="100" t="n"/>
      <c r="H132" s="100" t="n"/>
      <c r="I132" s="100" t="n"/>
      <c r="J132" s="100" t="n"/>
      <c r="K132" s="100" t="n"/>
      <c r="L132" s="101">
        <f>M98</f>
        <v/>
      </c>
    </row>
    <row r="133" ht="14.25" customHeight="1" s="1">
      <c r="A133" s="99" t="inlineStr">
        <is>
          <t xml:space="preserve">     Recuperación del capital de trabajo</t>
        </is>
      </c>
      <c r="B133" s="100" t="n"/>
      <c r="C133" s="100" t="n"/>
      <c r="D133" s="100" t="n"/>
      <c r="E133" s="100" t="n"/>
      <c r="F133" s="100" t="n"/>
      <c r="G133" s="100" t="n"/>
      <c r="H133" s="100" t="n"/>
      <c r="I133" s="100" t="n"/>
      <c r="J133" s="100" t="n"/>
      <c r="K133" s="100" t="n"/>
      <c r="L133" s="101">
        <f>-L77</f>
        <v/>
      </c>
    </row>
    <row r="134" ht="14.25" customHeight="1" s="1">
      <c r="A134" s="99" t="inlineStr">
        <is>
          <t xml:space="preserve">     Préstamo bancario</t>
        </is>
      </c>
      <c r="B134" s="15">
        <f>B102</f>
        <v/>
      </c>
      <c r="C134" s="100" t="n"/>
      <c r="D134" s="100" t="n"/>
      <c r="E134" s="100" t="n"/>
      <c r="F134" s="100" t="n"/>
      <c r="G134" s="100" t="n"/>
      <c r="H134" s="100" t="n"/>
      <c r="I134" s="100" t="n"/>
      <c r="J134" s="100" t="n"/>
      <c r="K134" s="100" t="n"/>
      <c r="L134" s="102" t="n"/>
    </row>
    <row r="135" ht="14.25" customHeight="1" s="1">
      <c r="A135" s="94" t="inlineStr">
        <is>
          <t>- Egresos no deducibles de impuestos</t>
        </is>
      </c>
      <c r="B135" s="96">
        <f>SUM(B136:B139)</f>
        <v/>
      </c>
      <c r="C135" s="96">
        <f>SUM(C136:C139)</f>
        <v/>
      </c>
      <c r="D135" s="96">
        <f>SUM(D136:D139)</f>
        <v/>
      </c>
      <c r="E135" s="96">
        <f>SUM(E136:E139)</f>
        <v/>
      </c>
      <c r="F135" s="96">
        <f>SUM(F136:F139)</f>
        <v/>
      </c>
      <c r="G135" s="96">
        <f>SUM(G136:G139)</f>
        <v/>
      </c>
      <c r="H135" s="96">
        <f>SUM(H136:H139)</f>
        <v/>
      </c>
      <c r="I135" s="96">
        <f>SUM(I136:I139)</f>
        <v/>
      </c>
      <c r="J135" s="96">
        <f>SUM(J136:J139)</f>
        <v/>
      </c>
      <c r="K135" s="96">
        <f>SUM(K136:K139)</f>
        <v/>
      </c>
      <c r="L135" s="103" t="n"/>
    </row>
    <row r="136" ht="14.25" customHeight="1" s="1">
      <c r="A136" s="99" t="inlineStr">
        <is>
          <t xml:space="preserve">     Activos (inv. 20 años, 10 años, 5 años, terreno)</t>
        </is>
      </c>
      <c r="B136" s="96">
        <f>SUM(B69:B72)</f>
        <v/>
      </c>
      <c r="C136" s="95" t="n"/>
      <c r="D136" s="95" t="n"/>
      <c r="E136" s="95" t="n"/>
      <c r="F136" s="95" t="n"/>
      <c r="G136" s="96">
        <f>G69</f>
        <v/>
      </c>
      <c r="H136" s="95" t="n"/>
      <c r="I136" s="95" t="n"/>
      <c r="J136" s="95" t="n"/>
      <c r="K136" s="95" t="n"/>
      <c r="L136" s="103" t="n"/>
    </row>
    <row r="137" ht="14.25" customHeight="1" s="1">
      <c r="A137" s="99" t="inlineStr">
        <is>
          <t xml:space="preserve">     Gastos de puesta en marcha (pre-operativos)</t>
        </is>
      </c>
      <c r="B137" s="15">
        <f>B74</f>
        <v/>
      </c>
      <c r="C137" s="100" t="n"/>
      <c r="D137" s="100" t="n"/>
      <c r="E137" s="100" t="n"/>
      <c r="F137" s="100" t="n"/>
      <c r="G137" s="100" t="n"/>
      <c r="H137" s="100" t="n"/>
      <c r="I137" s="100" t="n"/>
      <c r="J137" s="100" t="n"/>
      <c r="K137" s="100" t="n"/>
      <c r="L137" s="102" t="n"/>
    </row>
    <row r="138" ht="14.25" customHeight="1" s="1">
      <c r="A138" s="99" t="inlineStr">
        <is>
          <t xml:space="preserve">     Inversión en capital de trabajo</t>
        </is>
      </c>
      <c r="B138" s="15">
        <f>B76</f>
        <v/>
      </c>
      <c r="C138" s="15">
        <f>C76</f>
        <v/>
      </c>
      <c r="D138" s="15">
        <f>D76</f>
        <v/>
      </c>
      <c r="E138" s="15">
        <f>E76</f>
        <v/>
      </c>
      <c r="F138" s="15">
        <f>F76</f>
        <v/>
      </c>
      <c r="G138" s="15">
        <f>G76</f>
        <v/>
      </c>
      <c r="H138" s="15">
        <f>H76</f>
        <v/>
      </c>
      <c r="I138" s="15">
        <f>I76</f>
        <v/>
      </c>
      <c r="J138" s="15">
        <f>J76</f>
        <v/>
      </c>
      <c r="K138" s="15">
        <f>K76</f>
        <v/>
      </c>
      <c r="L138" s="101">
        <f>-L76</f>
        <v/>
      </c>
    </row>
    <row r="139" ht="14.25" customHeight="1" s="1">
      <c r="A139" s="99" t="inlineStr">
        <is>
          <t xml:space="preserve">     Pago préstamo bancario</t>
        </is>
      </c>
      <c r="B139" s="100" t="n"/>
      <c r="C139" s="15">
        <f>C111</f>
        <v/>
      </c>
      <c r="D139" s="15">
        <f>D111</f>
        <v/>
      </c>
      <c r="E139" s="15">
        <f>E111</f>
        <v/>
      </c>
      <c r="F139" s="15">
        <f>F111</f>
        <v/>
      </c>
      <c r="G139" s="15">
        <f>G111</f>
        <v/>
      </c>
      <c r="H139" s="15">
        <f>H111</f>
        <v/>
      </c>
      <c r="I139" s="15">
        <f>I111</f>
        <v/>
      </c>
      <c r="J139" s="15">
        <f>J111</f>
        <v/>
      </c>
      <c r="K139" s="15">
        <f>K111</f>
        <v/>
      </c>
      <c r="L139" s="101">
        <f>L111</f>
        <v/>
      </c>
    </row>
    <row r="140" ht="14.25" customHeight="1" s="1">
      <c r="A140" s="104" t="inlineStr">
        <is>
          <t>= Flujo de caja</t>
        </is>
      </c>
      <c r="B140" s="53">
        <f>B127+B128+B131-B135</f>
        <v/>
      </c>
      <c r="C140" s="53">
        <f>C127+C128+C131-C135</f>
        <v/>
      </c>
      <c r="D140" s="53">
        <f>D127+D128+D131-D135</f>
        <v/>
      </c>
      <c r="E140" s="53">
        <f>E127+E128+E131-E135</f>
        <v/>
      </c>
      <c r="F140" s="53">
        <f>F127+F128+F131-F135</f>
        <v/>
      </c>
      <c r="G140" s="53">
        <f>G127+G128+G131-G135</f>
        <v/>
      </c>
      <c r="H140" s="53">
        <f>H127+H128+H131-H135</f>
        <v/>
      </c>
      <c r="I140" s="53">
        <f>I127+I128+I131-I135</f>
        <v/>
      </c>
      <c r="J140" s="53">
        <f>J127+J128+J131-J135</f>
        <v/>
      </c>
      <c r="K140" s="53">
        <f>K127+K128+K131-K135</f>
        <v/>
      </c>
      <c r="L140" s="53">
        <f>L127+L128+L131-L135</f>
        <v/>
      </c>
    </row>
    <row r="141" ht="14.25" customHeight="1" s="1">
      <c r="A141" s="105" t="inlineStr">
        <is>
          <t>Flujo de caja acumulado (PRI)</t>
        </is>
      </c>
    </row>
    <row r="142" ht="14.25" customHeight="1" s="1">
      <c r="A142" s="145" t="inlineStr">
        <is>
          <t xml:space="preserve">     Flujo acumulado</t>
        </is>
      </c>
      <c r="B142" s="53">
        <f>B140</f>
        <v/>
      </c>
      <c r="C142" s="53">
        <f>B142+C140</f>
        <v/>
      </c>
      <c r="D142" s="53">
        <f>C142+D140</f>
        <v/>
      </c>
      <c r="E142" s="53">
        <f>D142+E140</f>
        <v/>
      </c>
      <c r="F142" s="53">
        <f>E142+F140</f>
        <v/>
      </c>
      <c r="G142" s="53">
        <f>F142+G140</f>
        <v/>
      </c>
      <c r="H142" s="53">
        <f>G142+H140</f>
        <v/>
      </c>
      <c r="I142" s="53">
        <f>H142+I140</f>
        <v/>
      </c>
      <c r="J142" s="53">
        <f>I142+J140</f>
        <v/>
      </c>
      <c r="K142" s="53">
        <f>J142+K140</f>
        <v/>
      </c>
      <c r="L142" s="53">
        <f>K142+L140</f>
        <v/>
      </c>
    </row>
    <row r="143" ht="14.25" customHeight="1" s="1">
      <c r="A143" s="105" t="inlineStr">
        <is>
          <t>Flujo descontado acumulado (PRID)</t>
        </is>
      </c>
    </row>
    <row r="144" ht="14.25" customHeight="1" s="1">
      <c r="A144" s="145" t="inlineStr">
        <is>
          <t xml:space="preserve">     Flujo desc. acumulado</t>
        </is>
      </c>
      <c r="B144" s="53">
        <f>B140</f>
        <v/>
      </c>
      <c r="C144" s="53">
        <f>B144+C140/(1+E150)^1</f>
        <v/>
      </c>
      <c r="D144" s="53">
        <f>C144+D140/(1+E150)^2</f>
        <v/>
      </c>
      <c r="E144" s="53">
        <f>D144+E140/(1+E150)^3</f>
        <v/>
      </c>
      <c r="F144" s="53">
        <f>E144+F140/(1+E150)^4</f>
        <v/>
      </c>
      <c r="G144" s="53">
        <f>F144+G140/(1+E150)^5</f>
        <v/>
      </c>
      <c r="H144" s="53">
        <f>G144+H140/(1+E150)^6</f>
        <v/>
      </c>
      <c r="I144" s="53">
        <f>H144+I140/(1+E150)^7</f>
        <v/>
      </c>
      <c r="J144" s="53">
        <f>I144+J140/(1+E150)^8</f>
        <v/>
      </c>
      <c r="K144" s="53">
        <f>J144+K140/(1+E150)^9</f>
        <v/>
      </c>
      <c r="L144" s="53">
        <f>K144+L140/(1+E150)^10</f>
        <v/>
      </c>
    </row>
    <row r="145" ht="14.25" customHeight="1" s="1">
      <c r="B145" s="21" t="n"/>
      <c r="F145" s="106" t="n"/>
    </row>
    <row r="146" ht="14.25" customHeight="1" s="1">
      <c r="A146" s="22" t="inlineStr">
        <is>
          <t>10. Costo del capital</t>
        </is>
      </c>
    </row>
    <row r="147" ht="14.25" customHeight="1" s="1">
      <c r="B147" s="107" t="inlineStr">
        <is>
          <t>Participación ($)</t>
        </is>
      </c>
      <c r="C147" s="107" t="inlineStr">
        <is>
          <t>Participación (%)</t>
        </is>
      </c>
      <c r="D147" s="107" t="inlineStr">
        <is>
          <t>Costo</t>
        </is>
      </c>
      <c r="E147" s="107" t="inlineStr">
        <is>
          <t>Costo promedio</t>
        </is>
      </c>
    </row>
    <row r="148" ht="14.25" customHeight="1" s="1">
      <c r="A148" s="4" t="inlineStr">
        <is>
          <t>Préstamo bancario</t>
        </is>
      </c>
      <c r="B148" s="147">
        <f>B102</f>
        <v/>
      </c>
      <c r="C148" s="149">
        <f>E102</f>
        <v/>
      </c>
      <c r="D148" s="149">
        <f>B103*(1-B26)</f>
        <v/>
      </c>
      <c r="E148" s="149">
        <f>C148*D148</f>
        <v/>
      </c>
    </row>
    <row r="149" ht="18" customHeight="1" s="1">
      <c r="A149" s="4" t="inlineStr">
        <is>
          <t>Fondos propios</t>
        </is>
      </c>
      <c r="B149" s="148">
        <f>B77-B148</f>
        <v/>
      </c>
      <c r="C149" s="150">
        <f>100%-C148</f>
        <v/>
      </c>
      <c r="D149" s="149">
        <f>B25</f>
        <v/>
      </c>
      <c r="E149" s="150">
        <f>C149*D149</f>
        <v/>
      </c>
    </row>
    <row r="150" ht="14.25" customHeight="1" s="1">
      <c r="B150" s="147">
        <f>SUM(B148:B149)</f>
        <v/>
      </c>
      <c r="C150" s="149">
        <f>SUM(C148:C149)</f>
        <v/>
      </c>
      <c r="D150" s="108" t="n"/>
      <c r="E150" s="149">
        <f>SUM(E148:E149)</f>
        <v/>
      </c>
    </row>
    <row r="152" ht="14.25" customHeight="1" s="1">
      <c r="A152" s="22" t="inlineStr">
        <is>
          <t>11. Indicadores financieros</t>
        </is>
      </c>
    </row>
    <row r="153" ht="14.25" customHeight="1" s="1">
      <c r="A153" s="109" t="inlineStr">
        <is>
          <t>VAN(WACC) =</t>
        </is>
      </c>
      <c r="B153" s="110">
        <f>NPV(E150,C140:L140)+B140</f>
        <v/>
      </c>
    </row>
    <row r="154" ht="14.25" customHeight="1" s="1">
      <c r="A154" s="109" t="inlineStr">
        <is>
          <t>TIR =</t>
        </is>
      </c>
      <c r="B154" s="151">
        <f>IRR(B140:L140)</f>
        <v/>
      </c>
    </row>
    <row r="155" ht="14.25" customHeight="1" s="1">
      <c r="A155" s="109" t="inlineStr">
        <is>
          <t>PRI =</t>
        </is>
      </c>
      <c r="B155" s="112">
        <f>IFERROR(MATCH(1,INDEX((C142:L142&gt;=0)*1,0),0),"&gt;10")</f>
        <v/>
      </c>
    </row>
    <row r="156" ht="14.25" customHeight="1" s="1">
      <c r="A156" s="109" t="inlineStr">
        <is>
          <t>PRID =</t>
        </is>
      </c>
      <c r="B156" s="112">
        <f>IFERROR(MATCH(1,INDEX((C144:L144&gt;=0)*1,0),0),"&gt;10")</f>
        <v/>
      </c>
    </row>
    <row r="157" ht="14.25" customHeight="1" s="1">
      <c r="A157" s="109" t="inlineStr">
        <is>
          <t>ID =</t>
        </is>
      </c>
      <c r="B157" s="142">
        <f>(NPV(E150,C140:L140)+B140+ABS(B140))/ABS(B140)</f>
        <v/>
      </c>
    </row>
    <row r="158" ht="14.25" customHeight="1" s="1">
      <c r="B158" s="21" t="n"/>
    </row>
    <row r="159" ht="14.25" customHeight="1" s="1">
      <c r="B159" s="21" t="n"/>
    </row>
    <row r="160" ht="14.25" customHeight="1" s="1">
      <c r="A160" s="105" t="n"/>
      <c r="B160" s="113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</row>
    <row r="161" ht="14.25" customHeight="1" s="1">
      <c r="A161" s="105" t="n"/>
      <c r="B161" s="121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</row>
    <row r="162" ht="14.25" customHeight="1" s="1">
      <c r="A162" s="105" t="n"/>
      <c r="B162" s="121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</row>
    <row r="163" ht="14.25" customHeight="1" s="1">
      <c r="A163" s="105" t="n"/>
      <c r="B163" s="121" t="n"/>
      <c r="C163" s="115" t="n"/>
      <c r="D163" s="115" t="n"/>
      <c r="E163" s="115" t="n"/>
      <c r="F163" s="115" t="n"/>
      <c r="G163" s="115" t="n"/>
      <c r="H163" s="115" t="n"/>
      <c r="I163" s="115" t="n"/>
      <c r="J163" s="115" t="n"/>
      <c r="K163" s="115" t="n"/>
      <c r="L163" s="115" t="n"/>
    </row>
    <row r="164" ht="14.25" customHeight="1" s="1">
      <c r="B164" s="21" t="n"/>
    </row>
    <row r="165" ht="14.25" customHeight="1" s="1">
      <c r="B165" s="21" t="n"/>
    </row>
    <row r="166" ht="14.25" customHeight="1" s="1">
      <c r="B166" s="21" t="n"/>
    </row>
  </sheetData>
  <mergeCells count="6">
    <mergeCell ref="A50:H50"/>
    <mergeCell ref="A55:H55"/>
    <mergeCell ref="A98:L98"/>
    <mergeCell ref="A92:A93"/>
    <mergeCell ref="C92:L92"/>
    <mergeCell ref="B105:C105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66"/>
  <sheetViews>
    <sheetView showGridLines="0" topLeftCell="A129" zoomScaleNormal="100" workbookViewId="0">
      <selection activeCell="B157" sqref="B157"/>
    </sheetView>
  </sheetViews>
  <sheetFormatPr baseColWidth="10" defaultColWidth="8.6640625" defaultRowHeight="14.4"/>
  <cols>
    <col width="42.44140625" customWidth="1" style="1" min="1" max="1"/>
    <col width="15.5546875" customWidth="1" style="1" min="2" max="2"/>
    <col width="16.109375" customWidth="1" style="1" min="3" max="3"/>
    <col width="15.44140625" customWidth="1" style="1" min="4" max="8"/>
    <col width="15.5546875" customWidth="1" style="1" min="9" max="11"/>
    <col width="15.44140625" customWidth="1" style="1" min="12" max="12"/>
    <col width="13.5546875" customWidth="1" style="1" min="13" max="13"/>
    <col width="13.33203125" customWidth="1" style="1" min="14" max="14"/>
    <col width="10.6640625" customWidth="1" style="1" min="16" max="16"/>
    <col width="25.109375" customWidth="1" style="1" min="18" max="18"/>
    <col width="11.6640625" customWidth="1" style="1" min="19" max="19"/>
    <col width="13.44140625" customWidth="1" style="1" min="20" max="20"/>
    <col width="8.44140625" customWidth="1" style="1" min="21" max="21"/>
    <col width="10.6640625" customWidth="1" style="1" min="22" max="22"/>
  </cols>
  <sheetData>
    <row r="1" ht="15" customHeight="1" s="1">
      <c r="A1" s="2" t="inlineStr">
        <is>
          <t>Camaronera Industrial</t>
        </is>
      </c>
    </row>
    <row r="3" ht="14.25" customHeight="1" s="1">
      <c r="A3" s="3" t="inlineStr">
        <is>
          <t>Variables</t>
        </is>
      </c>
    </row>
    <row r="4" ht="14.25" customHeight="1" s="1">
      <c r="A4" s="4" t="inlineStr">
        <is>
          <t>Horizonte de evaluación (años)</t>
        </is>
      </c>
      <c r="B4" s="4" t="n">
        <v>10</v>
      </c>
    </row>
    <row r="5" ht="14.25" customHeight="1" s="1">
      <c r="A5" s="4" t="inlineStr">
        <is>
          <t>Devaluación</t>
        </is>
      </c>
      <c r="B5" s="5" t="n">
        <v>0.05</v>
      </c>
    </row>
    <row r="6" ht="14.25" customHeight="1" s="1">
      <c r="A6" s="4" t="inlineStr">
        <is>
          <t>Inflación</t>
        </is>
      </c>
      <c r="B6" s="5" t="n">
        <v>0.07000000000000001</v>
      </c>
    </row>
    <row r="7" ht="14.25" customHeight="1" s="1">
      <c r="B7" s="6" t="inlineStr">
        <is>
          <t>Año 0</t>
        </is>
      </c>
      <c r="C7" s="6" t="inlineStr">
        <is>
          <t>Año 1</t>
        </is>
      </c>
      <c r="D7" s="6" t="inlineStr">
        <is>
          <t>Año 2</t>
        </is>
      </c>
      <c r="E7" s="6" t="inlineStr">
        <is>
          <t>Año 3</t>
        </is>
      </c>
      <c r="F7" s="6" t="inlineStr">
        <is>
          <t>Año 4</t>
        </is>
      </c>
      <c r="G7" s="6" t="inlineStr">
        <is>
          <t>Año 5</t>
        </is>
      </c>
      <c r="H7" s="6" t="inlineStr">
        <is>
          <t>Año 6</t>
        </is>
      </c>
      <c r="I7" s="6" t="inlineStr">
        <is>
          <t>Año 7</t>
        </is>
      </c>
      <c r="J7" s="6" t="inlineStr">
        <is>
          <t>Año 8</t>
        </is>
      </c>
      <c r="K7" s="6" t="inlineStr">
        <is>
          <t>Año 9</t>
        </is>
      </c>
      <c r="L7" s="6" t="inlineStr">
        <is>
          <t>Año 10</t>
        </is>
      </c>
    </row>
    <row r="8" ht="14.25" customHeight="1" s="1">
      <c r="A8" s="4" t="inlineStr">
        <is>
          <t>Área en producción (Ha)</t>
        </is>
      </c>
      <c r="B8" s="7" t="n"/>
      <c r="C8" s="8" t="n">
        <v>750</v>
      </c>
      <c r="D8" s="8" t="n">
        <v>900</v>
      </c>
      <c r="E8" s="8" t="n">
        <v>900</v>
      </c>
      <c r="F8" s="8" t="n">
        <v>900</v>
      </c>
      <c r="G8" s="8" t="n">
        <v>900</v>
      </c>
      <c r="H8" s="8" t="n">
        <v>900</v>
      </c>
      <c r="I8" s="8" t="n">
        <v>900</v>
      </c>
      <c r="J8" s="8" t="n">
        <v>900</v>
      </c>
      <c r="K8" s="8" t="n">
        <v>900</v>
      </c>
      <c r="L8" s="8" t="n">
        <v>900</v>
      </c>
    </row>
    <row r="9" ht="14.25" customHeight="1" s="1">
      <c r="A9" s="4" t="inlineStr">
        <is>
          <t>Producción neta (Lb/Ha/año)</t>
        </is>
      </c>
      <c r="B9" s="7" t="n"/>
      <c r="C9" s="9">
        <f>1225</f>
        <v/>
      </c>
      <c r="D9" s="9">
        <f>1470</f>
        <v/>
      </c>
      <c r="E9" s="9">
        <f>1715</f>
        <v/>
      </c>
      <c r="F9" s="9">
        <f>1960</f>
        <v/>
      </c>
      <c r="G9" s="9">
        <f>2205</f>
        <v/>
      </c>
      <c r="H9" s="9">
        <f>2205</f>
        <v/>
      </c>
      <c r="I9" s="9">
        <f>2205</f>
        <v/>
      </c>
      <c r="J9" s="9">
        <f>2205</f>
        <v/>
      </c>
      <c r="K9" s="9">
        <f>2205</f>
        <v/>
      </c>
      <c r="L9" s="9">
        <f>2205</f>
        <v/>
      </c>
    </row>
    <row r="10" ht="14.25" customHeight="1" s="1">
      <c r="A10" s="4" t="inlineStr">
        <is>
          <t>Producción neta total (Lb/año)</t>
        </is>
      </c>
      <c r="B10" s="7" t="n"/>
      <c r="C10" s="9">
        <f>C9*C8</f>
        <v/>
      </c>
      <c r="D10" s="9">
        <f>D9*D8</f>
        <v/>
      </c>
      <c r="E10" s="9">
        <f>E9*E8</f>
        <v/>
      </c>
      <c r="F10" s="9">
        <f>F9*F8</f>
        <v/>
      </c>
      <c r="G10" s="9">
        <f>G9*G8</f>
        <v/>
      </c>
      <c r="H10" s="9">
        <f>H9*H8</f>
        <v/>
      </c>
      <c r="I10" s="9">
        <f>I9*I8</f>
        <v/>
      </c>
      <c r="J10" s="9">
        <f>J9*J8</f>
        <v/>
      </c>
      <c r="K10" s="9">
        <f>K9*K8</f>
        <v/>
      </c>
      <c r="L10" s="9">
        <f>L9*L8</f>
        <v/>
      </c>
    </row>
    <row r="11" ht="14.25" customHeight="1" s="1">
      <c r="A11" s="4" t="inlineStr">
        <is>
          <t>Tasa de cambio</t>
        </is>
      </c>
      <c r="B11" s="7" t="n"/>
      <c r="C11" s="10" t="n">
        <v>1</v>
      </c>
      <c r="D11" s="10">
        <f>C11+(C11*$B$5)</f>
        <v/>
      </c>
      <c r="E11" s="10">
        <f>D11+(D11*$B$5)</f>
        <v/>
      </c>
      <c r="F11" s="10">
        <f>E11+(E11*$B$5)</f>
        <v/>
      </c>
      <c r="G11" s="10">
        <f>F11+(F11*$B$5)</f>
        <v/>
      </c>
      <c r="H11" s="10">
        <f>G11+(G11*$B$5)</f>
        <v/>
      </c>
      <c r="I11" s="10">
        <f>H11+(H11*$B$5)</f>
        <v/>
      </c>
      <c r="J11" s="10">
        <f>I11+(I11*$B$5)</f>
        <v/>
      </c>
      <c r="K11" s="10">
        <f>J11+(J11*$B$5)</f>
        <v/>
      </c>
      <c r="L11" s="10">
        <f>K11+(K11*$B$5)</f>
        <v/>
      </c>
    </row>
    <row r="12" ht="14.25" customHeight="1" s="1">
      <c r="A12" s="4" t="inlineStr">
        <is>
          <t>Precio de venta FOB ($/Lb)</t>
        </is>
      </c>
      <c r="B12" s="7" t="n"/>
      <c r="C12" s="11" t="n">
        <v>3</v>
      </c>
      <c r="D12" s="11">
        <f>C12+(C12*$B$6)</f>
        <v/>
      </c>
      <c r="E12" s="11">
        <f>D12+(D12*$B$6)</f>
        <v/>
      </c>
      <c r="F12" s="11">
        <f>E12+(E12*$B$6)</f>
        <v/>
      </c>
      <c r="G12" s="11">
        <f>F12+(F12*$B$6)</f>
        <v/>
      </c>
      <c r="H12" s="11">
        <f>G12+(G12*$B$6)</f>
        <v/>
      </c>
      <c r="I12" s="11">
        <f>H12+(H12*$B$6)</f>
        <v/>
      </c>
      <c r="J12" s="11">
        <f>I12+(I12*$B$6)</f>
        <v/>
      </c>
      <c r="K12" s="11">
        <f>J12+(J12*$B$6)</f>
        <v/>
      </c>
      <c r="L12" s="11">
        <f>K12+(K12*$B$6)</f>
        <v/>
      </c>
    </row>
    <row r="13" ht="14.25" customHeight="1" s="1">
      <c r="A13" s="4" t="inlineStr">
        <is>
          <t>Capital de trabajo</t>
        </is>
      </c>
      <c r="B13" s="12" t="n"/>
      <c r="C13" s="13" t="n">
        <v>450000</v>
      </c>
      <c r="D13" s="13" t="n">
        <v>250000</v>
      </c>
      <c r="E13" s="13" t="n">
        <v>250000</v>
      </c>
      <c r="F13" s="13" t="n">
        <v>250000</v>
      </c>
      <c r="G13" s="13" t="n">
        <v>250000</v>
      </c>
      <c r="H13" s="13" t="n">
        <v>250000</v>
      </c>
      <c r="I13" s="13" t="n">
        <v>0</v>
      </c>
      <c r="J13" s="13" t="n">
        <v>0</v>
      </c>
      <c r="K13" s="13" t="n">
        <v>0</v>
      </c>
      <c r="L13" s="13" t="n">
        <v>0</v>
      </c>
    </row>
    <row r="14" ht="14.25" customHeight="1" s="1">
      <c r="A14" s="4" t="inlineStr">
        <is>
          <t>Costos variables ($1.45 x Lb)</t>
        </is>
      </c>
      <c r="B14" s="12" t="n"/>
      <c r="C14" s="11">
        <f>1.45</f>
        <v/>
      </c>
      <c r="D14" s="11">
        <f>C14+(C14*$B$6)</f>
        <v/>
      </c>
      <c r="E14" s="11">
        <f>D14+(D14*$B$6)</f>
        <v/>
      </c>
      <c r="F14" s="11">
        <f>E14+(E14*$B$6)</f>
        <v/>
      </c>
      <c r="G14" s="11">
        <f>F14+(F14*$B$6)</f>
        <v/>
      </c>
      <c r="H14" s="11">
        <f>G14+(G14*$B$6)</f>
        <v/>
      </c>
      <c r="I14" s="11">
        <f>H14+(H14*$B$6)</f>
        <v/>
      </c>
      <c r="J14" s="11">
        <f>I14+(I14*$B$6)</f>
        <v/>
      </c>
      <c r="K14" s="11">
        <f>J14+(J14*$B$6)</f>
        <v/>
      </c>
      <c r="L14" s="11">
        <f>K14+(K14*$B$6)</f>
        <v/>
      </c>
    </row>
    <row r="15" ht="14.25" customHeight="1" s="1">
      <c r="A15" s="4" t="inlineStr">
        <is>
          <t>Costos variables anuales</t>
        </is>
      </c>
      <c r="B15" s="14" t="n"/>
      <c r="C15" s="15">
        <f>C14*C10</f>
        <v/>
      </c>
      <c r="D15" s="15">
        <f>D14*D10</f>
        <v/>
      </c>
      <c r="E15" s="15">
        <f>E14*E10</f>
        <v/>
      </c>
      <c r="F15" s="15">
        <f>F14*F10</f>
        <v/>
      </c>
      <c r="G15" s="15">
        <f>G14*G10</f>
        <v/>
      </c>
      <c r="H15" s="15">
        <f>H14*H10</f>
        <v/>
      </c>
      <c r="I15" s="15">
        <f>I14*I10</f>
        <v/>
      </c>
      <c r="J15" s="15">
        <f>J14*J10</f>
        <v/>
      </c>
      <c r="K15" s="15">
        <f>K14*K10</f>
        <v/>
      </c>
      <c r="L15" s="15">
        <f>L14*L10</f>
        <v/>
      </c>
    </row>
    <row r="16" ht="14.25" customHeight="1" s="1">
      <c r="A16" s="4" t="inlineStr">
        <is>
          <t>Costos fijos de producción</t>
        </is>
      </c>
      <c r="B16" s="14" t="n"/>
      <c r="C16" s="15" t="n">
        <v>50000</v>
      </c>
      <c r="D16" s="15">
        <f>C16+(C16*$B$6)</f>
        <v/>
      </c>
      <c r="E16" s="15">
        <f>D16+(D16*$B$6)</f>
        <v/>
      </c>
      <c r="F16" s="15">
        <f>E16+(E16*$B$6)</f>
        <v/>
      </c>
      <c r="G16" s="15">
        <f>F16+(F16*$B$6)</f>
        <v/>
      </c>
      <c r="H16" s="15">
        <f>G16+(G16*$B$6)</f>
        <v/>
      </c>
      <c r="I16" s="15">
        <f>H16+(H16*$B$6)</f>
        <v/>
      </c>
      <c r="J16" s="15">
        <f>I16+(I16*$B$6)</f>
        <v/>
      </c>
      <c r="K16" s="15">
        <f>J16+(J16*$B$6)</f>
        <v/>
      </c>
      <c r="L16" s="15">
        <f>K16+(K16*$B$6)</f>
        <v/>
      </c>
    </row>
    <row r="17" ht="14.25" customHeight="1" s="1">
      <c r="A17" s="4" t="inlineStr">
        <is>
          <t>Gastos administrativos</t>
        </is>
      </c>
      <c r="B17" s="14" t="n"/>
      <c r="C17" s="15" t="n">
        <v>200000</v>
      </c>
      <c r="D17" s="15">
        <f>C17+(C17*$B$6)</f>
        <v/>
      </c>
      <c r="E17" s="15">
        <f>D17+(D17*$B$6)</f>
        <v/>
      </c>
      <c r="F17" s="15">
        <f>E17+(E17*$B$6)</f>
        <v/>
      </c>
      <c r="G17" s="15">
        <f>F17+(F17*$B$6)</f>
        <v/>
      </c>
      <c r="H17" s="15">
        <f>G17+(G17*$B$6)</f>
        <v/>
      </c>
      <c r="I17" s="15">
        <f>H17+(H17*$B$6)</f>
        <v/>
      </c>
      <c r="J17" s="15">
        <f>I17+(I17*$B$6)</f>
        <v/>
      </c>
      <c r="K17" s="15">
        <f>J17+(J17*$B$6)</f>
        <v/>
      </c>
      <c r="L17" s="15">
        <f>K17+(K17*$B$6)</f>
        <v/>
      </c>
    </row>
    <row r="18" ht="14.25" customHeight="1" s="1">
      <c r="K18" s="16" t="n"/>
    </row>
    <row r="19" ht="14.25" customHeight="1" s="1">
      <c r="A19" s="4" t="inlineStr">
        <is>
          <t>Valor residual del terreno</t>
        </is>
      </c>
      <c r="B19" s="17" t="n">
        <v>1250000</v>
      </c>
      <c r="K19" s="16" t="n"/>
    </row>
    <row r="20" ht="14.25" customHeight="1" s="1">
      <c r="A20" s="4" t="inlineStr">
        <is>
          <t>Valor residual de estanques y canales</t>
        </is>
      </c>
      <c r="B20" s="17" t="n">
        <v>1000000</v>
      </c>
      <c r="K20" s="16" t="n"/>
    </row>
    <row r="21" ht="14.25" customHeight="1" s="1">
      <c r="A21" s="4" t="inlineStr">
        <is>
          <t>Valor residual de edificios</t>
        </is>
      </c>
      <c r="B21" s="18" t="n">
        <v>50000</v>
      </c>
      <c r="K21" s="16" t="n"/>
    </row>
    <row r="22" ht="14.25" customHeight="1" s="1">
      <c r="A22" s="4" t="inlineStr">
        <is>
          <t>Tasa de fiananciamiento bancario</t>
        </is>
      </c>
      <c r="B22" s="5" t="n">
        <v>0.1</v>
      </c>
    </row>
    <row r="23" ht="14.25" customHeight="1" s="1">
      <c r="A23" s="4" t="inlineStr">
        <is>
          <t>Plazo del financiamiento bancario (años)</t>
        </is>
      </c>
      <c r="B23" s="19" t="n">
        <v>7</v>
      </c>
    </row>
    <row r="24" ht="14.25" customHeight="1" s="1">
      <c r="A24" s="4" t="inlineStr">
        <is>
          <t>Plazo del financiamiento bancario (valor)</t>
        </is>
      </c>
      <c r="B24" s="20">
        <f>5400000*0.5</f>
        <v/>
      </c>
    </row>
    <row r="25" ht="14.25" customHeight="1" s="1">
      <c r="A25" s="4" t="inlineStr">
        <is>
          <t>Tasa de corte</t>
        </is>
      </c>
      <c r="B25" s="5" t="n">
        <v>0.19</v>
      </c>
    </row>
    <row r="26" ht="14.25" customHeight="1" s="1">
      <c r="A26" s="4" t="inlineStr">
        <is>
          <t>Tasa de ISR</t>
        </is>
      </c>
      <c r="B26" s="5" t="n">
        <v>0.3</v>
      </c>
    </row>
    <row r="27" ht="14.25" customHeight="1" s="1">
      <c r="B27" s="21" t="n"/>
    </row>
    <row r="28" ht="14.25" customHeight="1" s="1">
      <c r="A28" s="22" t="inlineStr">
        <is>
          <t>1. Ingresos del proyecto</t>
        </is>
      </c>
      <c r="B28" s="21" t="n"/>
    </row>
    <row r="29" ht="15.75" customHeight="1" s="1">
      <c r="A29" s="23" t="inlineStr">
        <is>
          <t>Calendario de ingresos (venta del producto)</t>
        </is>
      </c>
      <c r="B29" s="24" t="n"/>
    </row>
    <row r="30" ht="14.25" customHeight="1" s="1">
      <c r="A30" s="161" t="inlineStr">
        <is>
          <t>Concepto</t>
        </is>
      </c>
      <c r="B30" s="26" t="inlineStr">
        <is>
          <t>Año 0</t>
        </is>
      </c>
      <c r="C30" s="26" t="inlineStr">
        <is>
          <t>Año 1</t>
        </is>
      </c>
      <c r="D30" s="26" t="inlineStr">
        <is>
          <t>Año 2</t>
        </is>
      </c>
      <c r="E30" s="26" t="inlineStr">
        <is>
          <t>Año 3</t>
        </is>
      </c>
      <c r="F30" s="26" t="inlineStr">
        <is>
          <t>Año 4</t>
        </is>
      </c>
      <c r="G30" s="26" t="inlineStr">
        <is>
          <t>Año 5</t>
        </is>
      </c>
      <c r="H30" s="26" t="inlineStr">
        <is>
          <t>Año 6</t>
        </is>
      </c>
      <c r="I30" s="26" t="inlineStr">
        <is>
          <t>Año 7</t>
        </is>
      </c>
      <c r="J30" s="26" t="inlineStr">
        <is>
          <t>Año 8</t>
        </is>
      </c>
      <c r="K30" s="26" t="inlineStr">
        <is>
          <t>Año 9</t>
        </is>
      </c>
      <c r="L30" s="27" t="inlineStr">
        <is>
          <t>Año 10</t>
        </is>
      </c>
    </row>
    <row r="31" ht="14.25" customHeight="1" s="1">
      <c r="A31" s="28" t="inlineStr">
        <is>
          <t>Cantidad de camarón (Lb)</t>
        </is>
      </c>
      <c r="B31" s="29" t="n"/>
      <c r="C31" s="30">
        <f>C10</f>
        <v/>
      </c>
      <c r="D31" s="30">
        <f>D10</f>
        <v/>
      </c>
      <c r="E31" s="30">
        <f>E10</f>
        <v/>
      </c>
      <c r="F31" s="30">
        <f>F10</f>
        <v/>
      </c>
      <c r="G31" s="30">
        <f>G10</f>
        <v/>
      </c>
      <c r="H31" s="30">
        <f>H10</f>
        <v/>
      </c>
      <c r="I31" s="30">
        <f>I10</f>
        <v/>
      </c>
      <c r="J31" s="30">
        <f>J10</f>
        <v/>
      </c>
      <c r="K31" s="30">
        <f>K10</f>
        <v/>
      </c>
      <c r="L31" s="31">
        <f>L10</f>
        <v/>
      </c>
    </row>
    <row r="32" ht="14.25" customHeight="1" s="1">
      <c r="A32" s="28" t="inlineStr">
        <is>
          <t>Precio unitario de venta ($/Lb)</t>
        </is>
      </c>
      <c r="B32" s="29" t="n"/>
      <c r="C32" s="32">
        <f>C12</f>
        <v/>
      </c>
      <c r="D32" s="32">
        <f>D12</f>
        <v/>
      </c>
      <c r="E32" s="32">
        <f>E12</f>
        <v/>
      </c>
      <c r="F32" s="32">
        <f>F12</f>
        <v/>
      </c>
      <c r="G32" s="32">
        <f>G12</f>
        <v/>
      </c>
      <c r="H32" s="32">
        <f>H12</f>
        <v/>
      </c>
      <c r="I32" s="32">
        <f>I12</f>
        <v/>
      </c>
      <c r="J32" s="32">
        <f>J12</f>
        <v/>
      </c>
      <c r="K32" s="32">
        <f>K12</f>
        <v/>
      </c>
      <c r="L32" s="33">
        <f>L12</f>
        <v/>
      </c>
    </row>
    <row r="33" ht="15.75" customHeight="1" s="1">
      <c r="A33" s="34" t="inlineStr">
        <is>
          <t>Ingresos</t>
        </is>
      </c>
      <c r="B33" s="35" t="n"/>
      <c r="C33" s="36">
        <f>C32*C31</f>
        <v/>
      </c>
      <c r="D33" s="36">
        <f>D32*D31</f>
        <v/>
      </c>
      <c r="E33" s="36">
        <f>E32*E31</f>
        <v/>
      </c>
      <c r="F33" s="36">
        <f>F32*F31</f>
        <v/>
      </c>
      <c r="G33" s="36">
        <f>G32*G31</f>
        <v/>
      </c>
      <c r="H33" s="36">
        <f>H32*H31</f>
        <v/>
      </c>
      <c r="I33" s="36">
        <f>I32*I31</f>
        <v/>
      </c>
      <c r="J33" s="36">
        <f>J32*J31</f>
        <v/>
      </c>
      <c r="K33" s="36">
        <f>K32*K31</f>
        <v/>
      </c>
      <c r="L33" s="37">
        <f>L32*L31</f>
        <v/>
      </c>
    </row>
    <row r="34" ht="14.25" customHeight="1" s="1">
      <c r="B34" s="21" t="n"/>
    </row>
    <row r="35" ht="14.25" customHeight="1" s="1">
      <c r="A35" s="22" t="inlineStr">
        <is>
          <t>2. Costos variables</t>
        </is>
      </c>
      <c r="B35" s="24" t="n"/>
    </row>
    <row r="36" ht="15.75" customHeight="1" s="1">
      <c r="A36" s="23" t="inlineStr">
        <is>
          <t>Calendario de costos variables</t>
        </is>
      </c>
      <c r="B36" s="24" t="n"/>
    </row>
    <row r="37" ht="14.25" customHeight="1" s="1">
      <c r="A37" s="161" t="inlineStr">
        <is>
          <t>Concepto</t>
        </is>
      </c>
      <c r="B37" s="26" t="inlineStr">
        <is>
          <t>Año 0</t>
        </is>
      </c>
      <c r="C37" s="26" t="inlineStr">
        <is>
          <t>Año 1</t>
        </is>
      </c>
      <c r="D37" s="26" t="inlineStr">
        <is>
          <t>Año 2</t>
        </is>
      </c>
      <c r="E37" s="26" t="inlineStr">
        <is>
          <t>Año 3</t>
        </is>
      </c>
      <c r="F37" s="26" t="inlineStr">
        <is>
          <t>Año 4</t>
        </is>
      </c>
      <c r="G37" s="26" t="inlineStr">
        <is>
          <t>Año 5</t>
        </is>
      </c>
      <c r="H37" s="26" t="inlineStr">
        <is>
          <t>Año 6</t>
        </is>
      </c>
      <c r="I37" s="26" t="inlineStr">
        <is>
          <t>Año 7</t>
        </is>
      </c>
      <c r="J37" s="26" t="inlineStr">
        <is>
          <t>Año 8</t>
        </is>
      </c>
      <c r="K37" s="26" t="inlineStr">
        <is>
          <t>Año 9</t>
        </is>
      </c>
      <c r="L37" s="27" t="inlineStr">
        <is>
          <t>Año 10</t>
        </is>
      </c>
    </row>
    <row r="38" ht="14.25" customHeight="1" s="1">
      <c r="A38" s="28" t="inlineStr">
        <is>
          <t>Costos variables</t>
        </is>
      </c>
      <c r="B38" s="29" t="n"/>
      <c r="C38" s="38">
        <f>C15</f>
        <v/>
      </c>
      <c r="D38" s="38">
        <f>D15</f>
        <v/>
      </c>
      <c r="E38" s="38">
        <f>E15</f>
        <v/>
      </c>
      <c r="F38" s="38">
        <f>F15</f>
        <v/>
      </c>
      <c r="G38" s="38">
        <f>G15</f>
        <v/>
      </c>
      <c r="H38" s="38">
        <f>H15</f>
        <v/>
      </c>
      <c r="I38" s="38">
        <f>I15</f>
        <v/>
      </c>
      <c r="J38" s="38">
        <f>J15</f>
        <v/>
      </c>
      <c r="K38" s="38">
        <f>K15</f>
        <v/>
      </c>
      <c r="L38" s="39">
        <f>L15</f>
        <v/>
      </c>
    </row>
    <row r="39" ht="15.75" customHeight="1" s="1">
      <c r="A39" s="40" t="inlineStr">
        <is>
          <t>Total de costos variables</t>
        </is>
      </c>
      <c r="B39" s="41" t="n"/>
      <c r="C39" s="36">
        <f>C38</f>
        <v/>
      </c>
      <c r="D39" s="36">
        <f>D38</f>
        <v/>
      </c>
      <c r="E39" s="36">
        <f>E38</f>
        <v/>
      </c>
      <c r="F39" s="36">
        <f>F38</f>
        <v/>
      </c>
      <c r="G39" s="36">
        <f>G38</f>
        <v/>
      </c>
      <c r="H39" s="36">
        <f>H38</f>
        <v/>
      </c>
      <c r="I39" s="36">
        <f>I38</f>
        <v/>
      </c>
      <c r="J39" s="36">
        <f>J38</f>
        <v/>
      </c>
      <c r="K39" s="36">
        <f>K38</f>
        <v/>
      </c>
      <c r="L39" s="37">
        <f>L38</f>
        <v/>
      </c>
    </row>
    <row r="40" ht="14.25" customHeight="1" s="1">
      <c r="B40" s="21" t="n"/>
    </row>
    <row r="41" ht="14.25" customHeight="1" s="1">
      <c r="A41" s="22" t="inlineStr">
        <is>
          <t xml:space="preserve">3. Costos  fijos </t>
        </is>
      </c>
      <c r="B41" s="24" t="n"/>
    </row>
    <row r="42" ht="15.75" customHeight="1" s="1">
      <c r="A42" s="23" t="inlineStr">
        <is>
          <t>Calendario de los costos fijos</t>
        </is>
      </c>
      <c r="B42" s="24" t="n"/>
    </row>
    <row r="43" ht="14.25" customHeight="1" s="1">
      <c r="A43" s="161" t="inlineStr">
        <is>
          <t>Concepto</t>
        </is>
      </c>
      <c r="B43" s="26" t="inlineStr">
        <is>
          <t>Año 0</t>
        </is>
      </c>
      <c r="C43" s="26" t="inlineStr">
        <is>
          <t>Año 1</t>
        </is>
      </c>
      <c r="D43" s="26" t="inlineStr">
        <is>
          <t>Año 2</t>
        </is>
      </c>
      <c r="E43" s="26" t="inlineStr">
        <is>
          <t>Año 3</t>
        </is>
      </c>
      <c r="F43" s="26" t="inlineStr">
        <is>
          <t>Año 4</t>
        </is>
      </c>
      <c r="G43" s="26" t="inlineStr">
        <is>
          <t>Año 5</t>
        </is>
      </c>
      <c r="H43" s="26" t="inlineStr">
        <is>
          <t>Año 6</t>
        </is>
      </c>
      <c r="I43" s="26" t="inlineStr">
        <is>
          <t>Año 7</t>
        </is>
      </c>
      <c r="J43" s="26" t="inlineStr">
        <is>
          <t>Año 8</t>
        </is>
      </c>
      <c r="K43" s="26" t="inlineStr">
        <is>
          <t>Año 9</t>
        </is>
      </c>
      <c r="L43" s="27" t="inlineStr">
        <is>
          <t>Año 10</t>
        </is>
      </c>
    </row>
    <row r="44" ht="14.25" customHeight="1" s="1">
      <c r="A44" s="28" t="inlineStr">
        <is>
          <t>Costos fijos de producción</t>
        </is>
      </c>
      <c r="B44" s="29" t="n"/>
      <c r="C44" s="38">
        <f>C16</f>
        <v/>
      </c>
      <c r="D44" s="38">
        <f>D16</f>
        <v/>
      </c>
      <c r="E44" s="38">
        <f>E16</f>
        <v/>
      </c>
      <c r="F44" s="38">
        <f>F16</f>
        <v/>
      </c>
      <c r="G44" s="38">
        <f>G16</f>
        <v/>
      </c>
      <c r="H44" s="38">
        <f>H16</f>
        <v/>
      </c>
      <c r="I44" s="38">
        <f>I16</f>
        <v/>
      </c>
      <c r="J44" s="38">
        <f>J16</f>
        <v/>
      </c>
      <c r="K44" s="38">
        <f>K16</f>
        <v/>
      </c>
      <c r="L44" s="39">
        <f>L16</f>
        <v/>
      </c>
    </row>
    <row r="45" ht="14.25" customHeight="1" s="1">
      <c r="A45" s="28" t="inlineStr">
        <is>
          <t>Gastos administrativos</t>
        </is>
      </c>
      <c r="B45" s="29" t="n"/>
      <c r="C45" s="38">
        <f>C17</f>
        <v/>
      </c>
      <c r="D45" s="38">
        <f>D17</f>
        <v/>
      </c>
      <c r="E45" s="38">
        <f>E17</f>
        <v/>
      </c>
      <c r="F45" s="38">
        <f>F17</f>
        <v/>
      </c>
      <c r="G45" s="38">
        <f>G17</f>
        <v/>
      </c>
      <c r="H45" s="38">
        <f>H17</f>
        <v/>
      </c>
      <c r="I45" s="38">
        <f>I17</f>
        <v/>
      </c>
      <c r="J45" s="38">
        <f>J17</f>
        <v/>
      </c>
      <c r="K45" s="38">
        <f>K17</f>
        <v/>
      </c>
      <c r="L45" s="39">
        <f>L17</f>
        <v/>
      </c>
    </row>
    <row r="46" ht="15.75" customHeight="1" s="1">
      <c r="A46" s="40" t="inlineStr">
        <is>
          <t>Total de costos fijos</t>
        </is>
      </c>
      <c r="B46" s="41" t="n"/>
      <c r="C46" s="36">
        <f>SUM(C44:C45)</f>
        <v/>
      </c>
      <c r="D46" s="36">
        <f>SUM(D44:D45)</f>
        <v/>
      </c>
      <c r="E46" s="36">
        <f>SUM(E44:E45)</f>
        <v/>
      </c>
      <c r="F46" s="36">
        <f>SUM(F44:F45)</f>
        <v/>
      </c>
      <c r="G46" s="36">
        <f>SUM(G44:G45)</f>
        <v/>
      </c>
      <c r="H46" s="36">
        <f>SUM(H44:H45)</f>
        <v/>
      </c>
      <c r="I46" s="36">
        <f>SUM(I44:I45)</f>
        <v/>
      </c>
      <c r="J46" s="36">
        <f>SUM(J44:J45)</f>
        <v/>
      </c>
      <c r="K46" s="36">
        <f>SUM(K44:K45)</f>
        <v/>
      </c>
      <c r="L46" s="37">
        <f>SUM(L44:L45)</f>
        <v/>
      </c>
    </row>
    <row r="47" ht="14.25" customHeight="1" s="1">
      <c r="B47" s="21" t="n"/>
    </row>
    <row r="48" ht="14.25" customHeight="1" s="1">
      <c r="A48" s="22" t="inlineStr">
        <is>
          <t>4. Capital de trabajo</t>
        </is>
      </c>
      <c r="B48" s="42" t="n"/>
      <c r="C48" s="43" t="n"/>
      <c r="D48" s="43" t="n"/>
      <c r="E48" s="43" t="n"/>
      <c r="F48" s="43" t="n"/>
      <c r="G48" s="43" t="n"/>
      <c r="H48" s="43" t="n"/>
    </row>
    <row r="49" ht="14.25" customHeight="1" s="1">
      <c r="A49" s="44" t="inlineStr">
        <is>
          <t>Capital de trabajo</t>
        </is>
      </c>
      <c r="B49" s="42" t="n"/>
      <c r="C49" s="43" t="n"/>
      <c r="D49" s="43" t="n"/>
      <c r="E49" s="43" t="n"/>
      <c r="F49" s="43" t="n"/>
      <c r="G49" s="43" t="n"/>
      <c r="H49" s="43" t="n"/>
    </row>
    <row r="50" ht="15.75" customHeight="1" s="1">
      <c r="A50" s="160" t="inlineStr">
        <is>
          <t>Necesidad de Efectivo</t>
        </is>
      </c>
    </row>
    <row r="51" ht="14.25" customHeight="1" s="1">
      <c r="A51" s="161" t="inlineStr">
        <is>
          <t>Concepto</t>
        </is>
      </c>
      <c r="B51" s="26" t="inlineStr">
        <is>
          <t>Año 0</t>
        </is>
      </c>
      <c r="C51" s="26" t="inlineStr">
        <is>
          <t>Año 1</t>
        </is>
      </c>
      <c r="D51" s="26" t="inlineStr">
        <is>
          <t>Año 2</t>
        </is>
      </c>
      <c r="E51" s="26" t="inlineStr">
        <is>
          <t>Año 3</t>
        </is>
      </c>
      <c r="F51" s="26" t="inlineStr">
        <is>
          <t>Año 4</t>
        </is>
      </c>
      <c r="G51" s="26" t="inlineStr">
        <is>
          <t>Año 5</t>
        </is>
      </c>
      <c r="H51" s="26" t="inlineStr">
        <is>
          <t>Año 6</t>
        </is>
      </c>
      <c r="I51" s="26" t="inlineStr">
        <is>
          <t>Año 7</t>
        </is>
      </c>
      <c r="J51" s="26" t="inlineStr">
        <is>
          <t>Año 8</t>
        </is>
      </c>
      <c r="K51" s="26" t="inlineStr">
        <is>
          <t>Año 9</t>
        </is>
      </c>
      <c r="L51" s="27" t="inlineStr">
        <is>
          <t>Año 10</t>
        </is>
      </c>
    </row>
    <row r="52" ht="14.25" customHeight="1" s="1">
      <c r="A52" s="28" t="inlineStr">
        <is>
          <t>Capital de trabajo</t>
        </is>
      </c>
      <c r="B52" s="45" t="n"/>
      <c r="C52" s="38">
        <f>C13+B52</f>
        <v/>
      </c>
      <c r="D52" s="38">
        <f>D13+C52</f>
        <v/>
      </c>
      <c r="E52" s="38">
        <f>E13+D52</f>
        <v/>
      </c>
      <c r="F52" s="38">
        <f>F13+E52</f>
        <v/>
      </c>
      <c r="G52" s="38">
        <f>G13+F52</f>
        <v/>
      </c>
      <c r="H52" s="38">
        <f>H13+G52</f>
        <v/>
      </c>
      <c r="I52" s="38">
        <f>I13+H52</f>
        <v/>
      </c>
      <c r="J52" s="38">
        <f>J13+I52</f>
        <v/>
      </c>
      <c r="K52" s="38">
        <f>K13+J52</f>
        <v/>
      </c>
      <c r="L52" s="38">
        <f>L13+K52</f>
        <v/>
      </c>
    </row>
    <row r="53" ht="15.75" customHeight="1" s="1">
      <c r="A53" s="34" t="inlineStr">
        <is>
          <t>Efectivo requerido en caja</t>
        </is>
      </c>
      <c r="B53" s="46" t="n"/>
      <c r="C53" s="36">
        <f>SUM(C52:C52)</f>
        <v/>
      </c>
      <c r="D53" s="36">
        <f>SUM(D52:D52)</f>
        <v/>
      </c>
      <c r="E53" s="36">
        <f>SUM(E52:E52)</f>
        <v/>
      </c>
      <c r="F53" s="36">
        <f>SUM(F52:F52)</f>
        <v/>
      </c>
      <c r="G53" s="36">
        <f>SUM(G52:G52)</f>
        <v/>
      </c>
      <c r="H53" s="36">
        <f>SUM(H52:H52)</f>
        <v/>
      </c>
      <c r="I53" s="36">
        <f>SUM(I52:I52)</f>
        <v/>
      </c>
      <c r="J53" s="36">
        <f>SUM(J52:J52)</f>
        <v/>
      </c>
      <c r="K53" s="36">
        <f>SUM(K52:K52)</f>
        <v/>
      </c>
      <c r="L53" s="37">
        <f>SUM(L52:L52)</f>
        <v/>
      </c>
    </row>
    <row r="54" ht="14.25" customHeight="1" s="1">
      <c r="A54" s="43" t="n"/>
      <c r="B54" s="42" t="n"/>
      <c r="C54" s="43" t="n"/>
      <c r="D54" s="43" t="n"/>
      <c r="E54" s="43" t="n"/>
      <c r="F54" s="43" t="n"/>
      <c r="G54" s="43" t="n"/>
      <c r="H54" s="43" t="n"/>
    </row>
    <row r="55" ht="15.75" customHeight="1" s="1">
      <c r="A55" s="160" t="inlineStr">
        <is>
          <t>Cálculo del Capital de Trabajo</t>
        </is>
      </c>
    </row>
    <row r="56" ht="14.25" customHeight="1" s="1">
      <c r="A56" s="161" t="inlineStr">
        <is>
          <t>Concepto</t>
        </is>
      </c>
      <c r="B56" s="26" t="inlineStr">
        <is>
          <t>Cobertura</t>
        </is>
      </c>
      <c r="C56" s="26" t="inlineStr">
        <is>
          <t>Año 1</t>
        </is>
      </c>
      <c r="D56" s="26" t="inlineStr">
        <is>
          <t>Año 2</t>
        </is>
      </c>
      <c r="E56" s="26" t="inlineStr">
        <is>
          <t>Año 3</t>
        </is>
      </c>
      <c r="F56" s="26" t="inlineStr">
        <is>
          <t>Año 4</t>
        </is>
      </c>
      <c r="G56" s="26" t="inlineStr">
        <is>
          <t>Año 5</t>
        </is>
      </c>
      <c r="H56" s="26" t="inlineStr">
        <is>
          <t>Año 6</t>
        </is>
      </c>
      <c r="I56" s="26" t="inlineStr">
        <is>
          <t>Año 7</t>
        </is>
      </c>
      <c r="J56" s="26" t="inlineStr">
        <is>
          <t>Año 8</t>
        </is>
      </c>
      <c r="K56" s="26" t="inlineStr">
        <is>
          <t>Año 9</t>
        </is>
      </c>
      <c r="L56" s="27" t="inlineStr">
        <is>
          <t>Año 10</t>
        </is>
      </c>
    </row>
    <row r="57" ht="14.25" customHeight="1" s="1">
      <c r="A57" s="47" t="inlineStr">
        <is>
          <t>Activo circulante</t>
        </is>
      </c>
      <c r="B57" s="48" t="n"/>
      <c r="C57" s="49">
        <f>C58</f>
        <v/>
      </c>
      <c r="D57" s="49">
        <f>D58</f>
        <v/>
      </c>
      <c r="E57" s="49">
        <f>E58</f>
        <v/>
      </c>
      <c r="F57" s="49">
        <f>F58</f>
        <v/>
      </c>
      <c r="G57" s="49">
        <f>G58</f>
        <v/>
      </c>
      <c r="H57" s="49">
        <f>H58</f>
        <v/>
      </c>
      <c r="I57" s="49">
        <f>I58</f>
        <v/>
      </c>
      <c r="J57" s="49">
        <f>J58</f>
        <v/>
      </c>
      <c r="K57" s="49">
        <f>K58</f>
        <v/>
      </c>
      <c r="L57" s="50">
        <f>L58</f>
        <v/>
      </c>
    </row>
    <row r="58" ht="14.25" customHeight="1" s="1">
      <c r="A58" s="28" t="inlineStr">
        <is>
          <t xml:space="preserve">     Efectivo </t>
        </is>
      </c>
      <c r="B58" s="45" t="n"/>
      <c r="C58" s="38">
        <f>C53</f>
        <v/>
      </c>
      <c r="D58" s="38">
        <f>D53</f>
        <v/>
      </c>
      <c r="E58" s="38">
        <f>E53</f>
        <v/>
      </c>
      <c r="F58" s="38">
        <f>F53</f>
        <v/>
      </c>
      <c r="G58" s="38">
        <f>G53</f>
        <v/>
      </c>
      <c r="H58" s="38">
        <f>H53</f>
        <v/>
      </c>
      <c r="I58" s="38">
        <f>I53</f>
        <v/>
      </c>
      <c r="J58" s="38">
        <f>J53</f>
        <v/>
      </c>
      <c r="K58" s="38">
        <f>K53</f>
        <v/>
      </c>
      <c r="L58" s="39">
        <f>L53</f>
        <v/>
      </c>
    </row>
    <row r="59" ht="14.25" customHeight="1" s="1">
      <c r="A59" s="47" t="inlineStr">
        <is>
          <t>Pasivo circulante</t>
        </is>
      </c>
      <c r="B59" s="48" t="n"/>
      <c r="C59" s="49">
        <f>SUM(C60:C61)</f>
        <v/>
      </c>
      <c r="D59" s="49">
        <f>SUM(D60:D61)</f>
        <v/>
      </c>
      <c r="E59" s="49">
        <f>SUM(E60:E61)</f>
        <v/>
      </c>
      <c r="F59" s="49">
        <f>SUM(F60:F61)</f>
        <v/>
      </c>
      <c r="G59" s="49">
        <f>SUM(G60:G61)</f>
        <v/>
      </c>
      <c r="H59" s="49">
        <f>SUM(H60:H61)</f>
        <v/>
      </c>
      <c r="I59" s="49">
        <f>SUM(I60:I61)</f>
        <v/>
      </c>
      <c r="J59" s="49">
        <f>SUM(J60:J61)</f>
        <v/>
      </c>
      <c r="K59" s="49">
        <f>SUM(K60:K61)</f>
        <v/>
      </c>
      <c r="L59" s="50">
        <f>SUM(L60:L61)</f>
        <v/>
      </c>
    </row>
    <row r="60" ht="14.25" customHeight="1" s="1">
      <c r="A60" s="28" t="inlineStr">
        <is>
          <t xml:space="preserve">     Cuentas por pagar</t>
        </is>
      </c>
      <c r="B60" s="45" t="n"/>
      <c r="C60" s="38" t="n">
        <v>0</v>
      </c>
      <c r="D60" s="38" t="n">
        <v>0</v>
      </c>
      <c r="E60" s="38" t="n">
        <v>0</v>
      </c>
      <c r="F60" s="38" t="n">
        <v>0</v>
      </c>
      <c r="G60" s="38" t="n">
        <v>0</v>
      </c>
      <c r="H60" s="38" t="n">
        <v>0</v>
      </c>
      <c r="I60" s="38" t="n">
        <v>0</v>
      </c>
      <c r="J60" s="38" t="n">
        <v>0</v>
      </c>
      <c r="K60" s="38" t="n">
        <v>0</v>
      </c>
      <c r="L60" s="39" t="n">
        <v>0</v>
      </c>
    </row>
    <row r="61" ht="14.25" customHeight="1" s="1">
      <c r="A61" s="28" t="inlineStr">
        <is>
          <t xml:space="preserve">     Proveedores</t>
        </is>
      </c>
      <c r="B61" s="45" t="n"/>
      <c r="C61" s="38" t="n">
        <v>0</v>
      </c>
      <c r="D61" s="38" t="n">
        <v>0</v>
      </c>
      <c r="E61" s="38" t="n">
        <v>0</v>
      </c>
      <c r="F61" s="38" t="n">
        <v>0</v>
      </c>
      <c r="G61" s="38" t="n">
        <v>0</v>
      </c>
      <c r="H61" s="38" t="n">
        <v>0</v>
      </c>
      <c r="I61" s="38" t="n">
        <v>0</v>
      </c>
      <c r="J61" s="38" t="n">
        <v>0</v>
      </c>
      <c r="K61" s="38" t="n">
        <v>0</v>
      </c>
      <c r="L61" s="39" t="n">
        <v>0</v>
      </c>
    </row>
    <row r="62" ht="14.25" customHeight="1" s="1">
      <c r="A62" s="51" t="inlineStr">
        <is>
          <t>Capital de Trabajo (Ac - Pc)</t>
        </is>
      </c>
      <c r="B62" s="52" t="n"/>
      <c r="C62" s="53">
        <f>C57-C59</f>
        <v/>
      </c>
      <c r="D62" s="53">
        <f>D57-D59</f>
        <v/>
      </c>
      <c r="E62" s="53">
        <f>E57-E59</f>
        <v/>
      </c>
      <c r="F62" s="53">
        <f>F57-F59</f>
        <v/>
      </c>
      <c r="G62" s="53">
        <f>G57-G59</f>
        <v/>
      </c>
      <c r="H62" s="53">
        <f>H57-H59</f>
        <v/>
      </c>
      <c r="I62" s="53">
        <f>I57-I59</f>
        <v/>
      </c>
      <c r="J62" s="53">
        <f>J57-J59</f>
        <v/>
      </c>
      <c r="K62" s="53">
        <f>K57-K59</f>
        <v/>
      </c>
      <c r="L62" s="54">
        <f>L57-L59</f>
        <v/>
      </c>
    </row>
    <row r="63" ht="15.75" customHeight="1" s="1">
      <c r="A63" s="34" t="inlineStr">
        <is>
          <t>Incremento Capital Trabajo</t>
        </is>
      </c>
      <c r="B63" s="36">
        <f>C62-B62</f>
        <v/>
      </c>
      <c r="C63" s="36">
        <f>D62-C62</f>
        <v/>
      </c>
      <c r="D63" s="36">
        <f>E62-D62</f>
        <v/>
      </c>
      <c r="E63" s="36">
        <f>F62-E62</f>
        <v/>
      </c>
      <c r="F63" s="36">
        <f>G62-F62</f>
        <v/>
      </c>
      <c r="G63" s="36">
        <f>H62-G62</f>
        <v/>
      </c>
      <c r="H63" s="36">
        <f>I62-H62</f>
        <v/>
      </c>
      <c r="I63" s="36">
        <f>J62-I62</f>
        <v/>
      </c>
      <c r="J63" s="36">
        <f>K62-J62</f>
        <v/>
      </c>
      <c r="K63" s="36">
        <f>L62-K62</f>
        <v/>
      </c>
      <c r="L63" s="37">
        <f>M62-L62</f>
        <v/>
      </c>
    </row>
    <row r="64" ht="14.25" customHeight="1" s="1">
      <c r="B64" s="24" t="n"/>
    </row>
    <row r="65" ht="14.25" customHeight="1" s="1">
      <c r="A65" s="22" t="inlineStr">
        <is>
          <t>5. Inversiones</t>
        </is>
      </c>
      <c r="B65" s="24" t="n"/>
    </row>
    <row r="66" ht="15.75" customHeight="1" s="1">
      <c r="A66" s="23" t="inlineStr">
        <is>
          <t>Calendario de inversiones</t>
        </is>
      </c>
      <c r="B66" s="24" t="n"/>
    </row>
    <row r="67" ht="14.25" customHeight="1" s="1">
      <c r="A67" s="161" t="inlineStr">
        <is>
          <t>Concepto</t>
        </is>
      </c>
      <c r="B67" s="26" t="inlineStr">
        <is>
          <t>Año 0</t>
        </is>
      </c>
      <c r="C67" s="26" t="inlineStr">
        <is>
          <t>Año 1</t>
        </is>
      </c>
      <c r="D67" s="26" t="inlineStr">
        <is>
          <t>Año 2</t>
        </is>
      </c>
      <c r="E67" s="26" t="inlineStr">
        <is>
          <t>Año 3</t>
        </is>
      </c>
      <c r="F67" s="26" t="inlineStr">
        <is>
          <t>Año 4</t>
        </is>
      </c>
      <c r="G67" s="26" t="inlineStr">
        <is>
          <t>Año 5</t>
        </is>
      </c>
      <c r="H67" s="26" t="inlineStr">
        <is>
          <t>Año 6</t>
        </is>
      </c>
      <c r="I67" s="26" t="inlineStr">
        <is>
          <t>Año 7</t>
        </is>
      </c>
      <c r="J67" s="26" t="inlineStr">
        <is>
          <t>Año 8</t>
        </is>
      </c>
      <c r="K67" s="26" t="inlineStr">
        <is>
          <t>Año 9</t>
        </is>
      </c>
      <c r="L67" s="27" t="inlineStr">
        <is>
          <t>Año 10</t>
        </is>
      </c>
    </row>
    <row r="68" ht="14.25" customHeight="1" s="1">
      <c r="A68" s="47" t="inlineStr">
        <is>
          <t>Activos Fijos</t>
        </is>
      </c>
      <c r="B68" s="55" t="n"/>
      <c r="C68" s="55" t="n"/>
      <c r="D68" s="55" t="n"/>
      <c r="E68" s="55" t="n"/>
      <c r="F68" s="55" t="n"/>
      <c r="G68" s="55" t="n"/>
      <c r="H68" s="55" t="n"/>
      <c r="I68" s="55" t="n"/>
      <c r="J68" s="55" t="n"/>
      <c r="K68" s="55" t="n"/>
      <c r="L68" s="56" t="n"/>
    </row>
    <row r="69" ht="14.25" customHeight="1" s="1">
      <c r="A69" s="28" t="inlineStr">
        <is>
          <t xml:space="preserve">   Inversiones a 20 años</t>
        </is>
      </c>
      <c r="B69" s="57" t="n">
        <v>100000</v>
      </c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6" t="n"/>
    </row>
    <row r="70" ht="14.25" customHeight="1" s="1">
      <c r="A70" s="28" t="inlineStr">
        <is>
          <t xml:space="preserve">  Inversiones a 10 años</t>
        </is>
      </c>
      <c r="B70" s="57">
        <f>3000000+200000+450000+50000</f>
        <v/>
      </c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6" t="n"/>
    </row>
    <row r="71" ht="14.25" customHeight="1" s="1">
      <c r="A71" s="28" t="inlineStr">
        <is>
          <t xml:space="preserve">  Inversiones a 5 años</t>
        </is>
      </c>
      <c r="B71" s="57">
        <f>300000+100000</f>
        <v/>
      </c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6" t="n"/>
    </row>
    <row r="72" ht="14.25" customHeight="1" s="1">
      <c r="A72" s="28" t="inlineStr">
        <is>
          <t xml:space="preserve">  Inversion terrenos</t>
        </is>
      </c>
      <c r="B72" s="57" t="n">
        <v>750000</v>
      </c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6" t="n"/>
    </row>
    <row r="73" ht="14.25" customHeight="1" s="1">
      <c r="A73" s="47" t="inlineStr">
        <is>
          <t>Gastos Pre-operativos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6" t="n"/>
    </row>
    <row r="74" ht="14.25" customHeight="1" s="1">
      <c r="A74" s="28" t="inlineStr">
        <is>
          <t xml:space="preserve">  Gastos puesta en marcha</t>
        </is>
      </c>
      <c r="B74" s="57" t="n">
        <v>0</v>
      </c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6" t="n"/>
    </row>
    <row r="75" ht="14.25" customHeight="1" s="1">
      <c r="A75" s="47" t="inlineStr">
        <is>
          <t>Capital de trabajo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6" t="n"/>
    </row>
    <row r="76" ht="14.25" customHeight="1" s="1">
      <c r="A76" s="28" t="inlineStr">
        <is>
          <t xml:space="preserve">   Capital de trabajo</t>
        </is>
      </c>
      <c r="B76" s="57">
        <f>B63</f>
        <v/>
      </c>
      <c r="C76" s="57">
        <f>C63</f>
        <v/>
      </c>
      <c r="D76" s="57">
        <f>D63</f>
        <v/>
      </c>
      <c r="E76" s="57">
        <f>E63</f>
        <v/>
      </c>
      <c r="F76" s="57">
        <f>F63</f>
        <v/>
      </c>
      <c r="G76" s="57">
        <f>G63</f>
        <v/>
      </c>
      <c r="H76" s="57">
        <f>H63</f>
        <v/>
      </c>
      <c r="I76" s="57">
        <f>I63</f>
        <v/>
      </c>
      <c r="J76" s="57">
        <f>J63</f>
        <v/>
      </c>
      <c r="K76" s="57">
        <f>K63</f>
        <v/>
      </c>
      <c r="L76" s="58">
        <f>L63</f>
        <v/>
      </c>
    </row>
    <row r="77" ht="15.75" customHeight="1" s="1">
      <c r="A77" s="40" t="inlineStr">
        <is>
          <t>Total Inversiones</t>
        </is>
      </c>
      <c r="B77" s="59">
        <f>SUM(B68:B76)</f>
        <v/>
      </c>
      <c r="C77" s="59">
        <f>SUM(C68:C76)</f>
        <v/>
      </c>
      <c r="D77" s="59">
        <f>SUM(D68:D76)</f>
        <v/>
      </c>
      <c r="E77" s="59">
        <f>SUM(E68:E76)</f>
        <v/>
      </c>
      <c r="F77" s="59">
        <f>SUM(F68:F76)</f>
        <v/>
      </c>
      <c r="G77" s="59">
        <f>SUM(G68:G76)</f>
        <v/>
      </c>
      <c r="H77" s="59">
        <f>SUM(H68:H76)</f>
        <v/>
      </c>
      <c r="I77" s="59">
        <f>SUM(I68:I76)</f>
        <v/>
      </c>
      <c r="J77" s="59">
        <f>SUM(J68:J76)</f>
        <v/>
      </c>
      <c r="K77" s="59">
        <f>SUM(K68:K76)</f>
        <v/>
      </c>
      <c r="L77" s="60">
        <f>SUM(L68:L76)</f>
        <v/>
      </c>
    </row>
    <row r="78" ht="14.25" customHeight="1" s="1">
      <c r="B78" s="21" t="n"/>
    </row>
    <row r="79" ht="14.25" customHeight="1" s="1">
      <c r="A79" s="22" t="inlineStr">
        <is>
          <t>6.  Depreciaciones y Amortizaciones</t>
        </is>
      </c>
      <c r="B79" s="24" t="n"/>
    </row>
    <row r="80" ht="15.75" customHeight="1" s="1">
      <c r="A80" s="23" t="inlineStr">
        <is>
          <t>Calendario de Depreciaciones y Amortizaciones</t>
        </is>
      </c>
      <c r="B80" s="24" t="n"/>
    </row>
    <row r="81" ht="14.25" customHeight="1" s="1">
      <c r="A81" s="161" t="inlineStr">
        <is>
          <t>Concepto</t>
        </is>
      </c>
      <c r="B81" s="26" t="inlineStr">
        <is>
          <t>Año 0</t>
        </is>
      </c>
      <c r="C81" s="26" t="inlineStr">
        <is>
          <t>Año 1</t>
        </is>
      </c>
      <c r="D81" s="26" t="inlineStr">
        <is>
          <t>Año 2</t>
        </is>
      </c>
      <c r="E81" s="26" t="inlineStr">
        <is>
          <t>Año 3</t>
        </is>
      </c>
      <c r="F81" s="26" t="inlineStr">
        <is>
          <t>Año 4</t>
        </is>
      </c>
      <c r="G81" s="26" t="inlineStr">
        <is>
          <t>Año 5</t>
        </is>
      </c>
      <c r="H81" s="26" t="inlineStr">
        <is>
          <t>Año 6</t>
        </is>
      </c>
      <c r="I81" s="26" t="inlineStr">
        <is>
          <t>Año 7</t>
        </is>
      </c>
      <c r="J81" s="26" t="inlineStr">
        <is>
          <t>Año 8</t>
        </is>
      </c>
      <c r="K81" s="26" t="inlineStr">
        <is>
          <t>Año 9</t>
        </is>
      </c>
      <c r="L81" s="27" t="inlineStr">
        <is>
          <t>Año 10</t>
        </is>
      </c>
      <c r="R81" s="61" t="inlineStr">
        <is>
          <t>Inversión</t>
        </is>
      </c>
      <c r="S81" s="62" t="inlineStr">
        <is>
          <t>Valor Activo</t>
        </is>
      </c>
      <c r="T81" s="62" t="inlineStr">
        <is>
          <t>Valor residual</t>
        </is>
      </c>
      <c r="U81" s="62" t="inlineStr">
        <is>
          <t>Vida útil</t>
        </is>
      </c>
      <c r="V81" s="62" t="inlineStr">
        <is>
          <t>Dep. Anual</t>
        </is>
      </c>
    </row>
    <row r="82" ht="14.25" customHeight="1" s="1">
      <c r="A82" s="28" t="inlineStr">
        <is>
          <t>Inversiones a 20 años</t>
        </is>
      </c>
      <c r="B82" s="55" t="n"/>
      <c r="C82" s="57">
        <f>$V$82</f>
        <v/>
      </c>
      <c r="D82" s="57">
        <f>$V$82</f>
        <v/>
      </c>
      <c r="E82" s="57">
        <f>$V$82</f>
        <v/>
      </c>
      <c r="F82" s="57">
        <f>$V$82</f>
        <v/>
      </c>
      <c r="G82" s="57">
        <f>$V$82</f>
        <v/>
      </c>
      <c r="H82" s="57">
        <f>$V$82</f>
        <v/>
      </c>
      <c r="I82" s="57">
        <f>$V$82</f>
        <v/>
      </c>
      <c r="J82" s="57">
        <f>$V$82</f>
        <v/>
      </c>
      <c r="K82" s="57">
        <f>$V$82</f>
        <v/>
      </c>
      <c r="L82" s="57">
        <f>$V$82</f>
        <v/>
      </c>
      <c r="R82" s="63" t="inlineStr">
        <is>
          <t>Edificio</t>
        </is>
      </c>
      <c r="S82" s="15">
        <f>B69</f>
        <v/>
      </c>
      <c r="T82" s="64" t="n">
        <v>50000</v>
      </c>
      <c r="U82" s="65" t="n">
        <v>20</v>
      </c>
      <c r="V82" s="15">
        <f>(S82-T82)/U82</f>
        <v/>
      </c>
    </row>
    <row r="83" ht="14.25" customHeight="1" s="1">
      <c r="A83" s="28" t="inlineStr">
        <is>
          <t>Inversiones a 10 años</t>
        </is>
      </c>
      <c r="B83" s="55" t="n"/>
      <c r="C83" s="57">
        <f>$V$83+$V$84</f>
        <v/>
      </c>
      <c r="D83" s="57">
        <f>$V$83+$V$84</f>
        <v/>
      </c>
      <c r="E83" s="57">
        <f>$V$83+$V$84</f>
        <v/>
      </c>
      <c r="F83" s="57">
        <f>$V$83+$V$84</f>
        <v/>
      </c>
      <c r="G83" s="57">
        <f>$V$83+$V$84</f>
        <v/>
      </c>
      <c r="H83" s="57">
        <f>$V$83+$V$84</f>
        <v/>
      </c>
      <c r="I83" s="57">
        <f>$V$83+$V$84</f>
        <v/>
      </c>
      <c r="J83" s="57">
        <f>$V$83+$V$84</f>
        <v/>
      </c>
      <c r="K83" s="57">
        <f>$V$83+$V$84</f>
        <v/>
      </c>
      <c r="L83" s="57">
        <f>$V$83+$V$84</f>
        <v/>
      </c>
      <c r="R83" s="63" t="inlineStr">
        <is>
          <t>Estanque y canales</t>
        </is>
      </c>
      <c r="S83" s="15" t="n">
        <v>3000000</v>
      </c>
      <c r="T83" s="64" t="n">
        <v>1000000</v>
      </c>
      <c r="U83" s="66" t="n">
        <v>10</v>
      </c>
      <c r="V83" s="15">
        <f>(S83-T83)/U83</f>
        <v/>
      </c>
    </row>
    <row r="84" ht="14.25" customHeight="1" s="1">
      <c r="A84" s="28" t="inlineStr">
        <is>
          <t>Inversiones a 5 años</t>
        </is>
      </c>
      <c r="B84" s="55" t="n"/>
      <c r="C84" s="57">
        <f>$V$85</f>
        <v/>
      </c>
      <c r="D84" s="57">
        <f>$V$85</f>
        <v/>
      </c>
      <c r="E84" s="57">
        <f>$V$85</f>
        <v/>
      </c>
      <c r="F84" s="57">
        <f>$V$85</f>
        <v/>
      </c>
      <c r="G84" s="57">
        <f>$V$85</f>
        <v/>
      </c>
      <c r="H84" s="57" t="n">
        <v>0</v>
      </c>
      <c r="I84" s="57" t="n">
        <v>0</v>
      </c>
      <c r="J84" s="57" t="n">
        <v>0</v>
      </c>
      <c r="K84" s="57" t="n">
        <v>0</v>
      </c>
      <c r="L84" s="57" t="n">
        <v>0</v>
      </c>
      <c r="R84" s="63" t="inlineStr">
        <is>
          <t>Maq &amp; Equipo</t>
        </is>
      </c>
      <c r="S84" s="67">
        <f>B70-S83</f>
        <v/>
      </c>
      <c r="T84" s="63" t="n">
        <v>0</v>
      </c>
      <c r="U84" s="65" t="n">
        <v>10</v>
      </c>
      <c r="V84" s="15">
        <f>(S84-T84)/U84</f>
        <v/>
      </c>
    </row>
    <row r="85" ht="14.25" customHeight="1" s="1">
      <c r="A85" s="68" t="inlineStr">
        <is>
          <t>Total Depreciación</t>
        </is>
      </c>
      <c r="B85" s="69" t="n"/>
      <c r="C85" s="70">
        <f>SUM(C82:C84)</f>
        <v/>
      </c>
      <c r="D85" s="70">
        <f>SUM(D82:D84)</f>
        <v/>
      </c>
      <c r="E85" s="70">
        <f>SUM(E82:E84)</f>
        <v/>
      </c>
      <c r="F85" s="70">
        <f>SUM(F82:F84)</f>
        <v/>
      </c>
      <c r="G85" s="70">
        <f>SUM(G82:G84)</f>
        <v/>
      </c>
      <c r="H85" s="70">
        <f>SUM(H82:H84)</f>
        <v/>
      </c>
      <c r="I85" s="70">
        <f>SUM(I82:I84)</f>
        <v/>
      </c>
      <c r="J85" s="70">
        <f>SUM(J82:J84)</f>
        <v/>
      </c>
      <c r="K85" s="70">
        <f>SUM(K82:K84)</f>
        <v/>
      </c>
      <c r="L85" s="70">
        <f>SUM(L82:L84)</f>
        <v/>
      </c>
      <c r="R85" s="63" t="inlineStr">
        <is>
          <t>Vehículos y embarcaciones</t>
        </is>
      </c>
      <c r="S85" s="15">
        <f>B71</f>
        <v/>
      </c>
      <c r="T85" s="64" t="n">
        <v>0</v>
      </c>
      <c r="U85" s="66" t="n">
        <v>5</v>
      </c>
      <c r="V85" s="15">
        <f>(S85-T85)/U85</f>
        <v/>
      </c>
    </row>
    <row r="86" ht="14.25" customHeight="1" s="1">
      <c r="A86" s="71" t="n"/>
      <c r="B86" s="55" t="n"/>
      <c r="C86" s="55" t="n"/>
      <c r="D86" s="55" t="n"/>
      <c r="E86" s="55" t="n"/>
      <c r="F86" s="55" t="n"/>
      <c r="G86" s="55" t="n"/>
      <c r="H86" s="55" t="n"/>
      <c r="I86" s="55" t="n"/>
      <c r="J86" s="55" t="n"/>
      <c r="K86" s="55" t="n"/>
      <c r="L86" s="56" t="n"/>
      <c r="S86" s="72">
        <f>SUM(S82:S85)</f>
        <v/>
      </c>
    </row>
    <row r="87" ht="14.25" customHeight="1" s="1">
      <c r="A87" s="28" t="inlineStr">
        <is>
          <t>Amortización pre-operativos</t>
        </is>
      </c>
      <c r="B87" s="55" t="n"/>
      <c r="C87" s="57">
        <f>$B$74/10</f>
        <v/>
      </c>
      <c r="D87" s="57">
        <f>$B$74/10</f>
        <v/>
      </c>
      <c r="E87" s="57">
        <f>$B$74/10</f>
        <v/>
      </c>
      <c r="F87" s="57">
        <f>$B$74/10</f>
        <v/>
      </c>
      <c r="G87" s="57">
        <f>$B$74/10</f>
        <v/>
      </c>
      <c r="H87" s="57">
        <f>$B$74/10</f>
        <v/>
      </c>
      <c r="I87" s="57">
        <f>$B$74/10</f>
        <v/>
      </c>
      <c r="J87" s="57">
        <f>$B$74/10</f>
        <v/>
      </c>
      <c r="K87" s="57">
        <f>$B$74/10</f>
        <v/>
      </c>
      <c r="L87" s="73">
        <f>$B$74/10</f>
        <v/>
      </c>
      <c r="O87" s="74" t="n"/>
    </row>
    <row r="88" ht="15.75" customHeight="1" s="1">
      <c r="A88" s="40" t="inlineStr">
        <is>
          <t>Total Amortización</t>
        </is>
      </c>
      <c r="B88" s="75" t="n"/>
      <c r="C88" s="59">
        <f>SUM(C87)</f>
        <v/>
      </c>
      <c r="D88" s="59">
        <f>SUM(D87)</f>
        <v/>
      </c>
      <c r="E88" s="59">
        <f>SUM(E87)</f>
        <v/>
      </c>
      <c r="F88" s="59">
        <f>SUM(F87)</f>
        <v/>
      </c>
      <c r="G88" s="59">
        <f>SUM(G87)</f>
        <v/>
      </c>
      <c r="H88" s="59">
        <f>SUM(H87)</f>
        <v/>
      </c>
      <c r="I88" s="59">
        <f>SUM(I87)</f>
        <v/>
      </c>
      <c r="J88" s="59">
        <f>SUM(J87)</f>
        <v/>
      </c>
      <c r="K88" s="59">
        <f>SUM(K87)</f>
        <v/>
      </c>
      <c r="L88" s="60">
        <f>SUM(L87)</f>
        <v/>
      </c>
      <c r="O88" s="74" t="n"/>
    </row>
    <row r="89" ht="14.25" customHeight="1" s="1">
      <c r="B89" s="21" t="n"/>
    </row>
    <row r="90" ht="14.25" customHeight="1" s="1">
      <c r="A90" s="22" t="inlineStr">
        <is>
          <t>7. Valor de desecho del proyecto</t>
        </is>
      </c>
      <c r="B90" s="24" t="n"/>
    </row>
    <row r="91" ht="15.75" customHeight="1" s="1">
      <c r="A91" s="23" t="inlineStr">
        <is>
          <t>Clalculo del valor de desecho del proyecto (método contable)</t>
        </is>
      </c>
      <c r="B91" s="24" t="n"/>
    </row>
    <row r="92" ht="14.25" customHeight="1" s="1">
      <c r="A92" s="161" t="inlineStr">
        <is>
          <t>Concepto</t>
        </is>
      </c>
      <c r="B92" s="162" t="inlineStr">
        <is>
          <t>Valor del</t>
        </is>
      </c>
      <c r="C92" s="162" t="inlineStr">
        <is>
          <t>Depreciación por periodo</t>
        </is>
      </c>
      <c r="D92" s="170" t="n"/>
      <c r="E92" s="170" t="n"/>
      <c r="F92" s="170" t="n"/>
      <c r="G92" s="170" t="n"/>
      <c r="H92" s="170" t="n"/>
      <c r="I92" s="170" t="n"/>
      <c r="J92" s="170" t="n"/>
      <c r="K92" s="170" t="n"/>
      <c r="L92" s="171" t="n"/>
      <c r="M92" s="77" t="inlineStr">
        <is>
          <t>Valor de</t>
        </is>
      </c>
    </row>
    <row r="93" ht="14.25" customHeight="1" s="1">
      <c r="A93" s="172" t="n"/>
      <c r="B93" s="62" t="inlineStr">
        <is>
          <t>Activo</t>
        </is>
      </c>
      <c r="C93" s="78" t="inlineStr">
        <is>
          <t>Año 1</t>
        </is>
      </c>
      <c r="D93" s="78" t="inlineStr">
        <is>
          <t>Año 2</t>
        </is>
      </c>
      <c r="E93" s="78" t="inlineStr">
        <is>
          <t>Año 3</t>
        </is>
      </c>
      <c r="F93" s="78" t="inlineStr">
        <is>
          <t>Año 4</t>
        </is>
      </c>
      <c r="G93" s="78" t="inlineStr">
        <is>
          <t>Año 5</t>
        </is>
      </c>
      <c r="H93" s="78" t="inlineStr">
        <is>
          <t>Año 6</t>
        </is>
      </c>
      <c r="I93" s="78" t="inlineStr">
        <is>
          <t>Año 7</t>
        </is>
      </c>
      <c r="J93" s="78" t="inlineStr">
        <is>
          <t>Año 8</t>
        </is>
      </c>
      <c r="K93" s="78" t="inlineStr">
        <is>
          <t>Año 9</t>
        </is>
      </c>
      <c r="L93" s="78" t="inlineStr">
        <is>
          <t>Año 10</t>
        </is>
      </c>
      <c r="M93" s="79" t="inlineStr">
        <is>
          <t>Desecho</t>
        </is>
      </c>
    </row>
    <row r="94" ht="14.25" customHeight="1" s="1">
      <c r="A94" s="28" t="inlineStr">
        <is>
          <t>Inversiones a 20 años</t>
        </is>
      </c>
      <c r="B94" s="57">
        <f>B69</f>
        <v/>
      </c>
      <c r="C94" s="57">
        <f>C82</f>
        <v/>
      </c>
      <c r="D94" s="57">
        <f>D82</f>
        <v/>
      </c>
      <c r="E94" s="57">
        <f>E82</f>
        <v/>
      </c>
      <c r="F94" s="57">
        <f>F82</f>
        <v/>
      </c>
      <c r="G94" s="57">
        <f>G82</f>
        <v/>
      </c>
      <c r="H94" s="57">
        <f>H82</f>
        <v/>
      </c>
      <c r="I94" s="57">
        <f>I82</f>
        <v/>
      </c>
      <c r="J94" s="57">
        <f>J82</f>
        <v/>
      </c>
      <c r="K94" s="57">
        <f>K82</f>
        <v/>
      </c>
      <c r="L94" s="57">
        <f>L82</f>
        <v/>
      </c>
      <c r="M94" s="73">
        <f>B94-SUM(C94:L94)</f>
        <v/>
      </c>
    </row>
    <row r="95" ht="14.25" customHeight="1" s="1">
      <c r="A95" s="28" t="inlineStr">
        <is>
          <t>Inversiones a 10 años</t>
        </is>
      </c>
      <c r="B95" s="57">
        <f>B70</f>
        <v/>
      </c>
      <c r="C95" s="57">
        <f>C83</f>
        <v/>
      </c>
      <c r="D95" s="57">
        <f>D83</f>
        <v/>
      </c>
      <c r="E95" s="57">
        <f>E83</f>
        <v/>
      </c>
      <c r="F95" s="57">
        <f>F83</f>
        <v/>
      </c>
      <c r="G95" s="57">
        <f>G83</f>
        <v/>
      </c>
      <c r="H95" s="57">
        <f>H83</f>
        <v/>
      </c>
      <c r="I95" s="57">
        <f>I83</f>
        <v/>
      </c>
      <c r="J95" s="57">
        <f>J83</f>
        <v/>
      </c>
      <c r="K95" s="57">
        <f>K83</f>
        <v/>
      </c>
      <c r="L95" s="57">
        <f>L83</f>
        <v/>
      </c>
      <c r="M95" s="73">
        <f>B95-SUM(C95:L95)</f>
        <v/>
      </c>
    </row>
    <row r="96" ht="14.25" customHeight="1" s="1">
      <c r="A96" s="28" t="inlineStr">
        <is>
          <t>Inversiones a 5 años</t>
        </is>
      </c>
      <c r="B96" s="57">
        <f>B71</f>
        <v/>
      </c>
      <c r="C96" s="57">
        <f>C84</f>
        <v/>
      </c>
      <c r="D96" s="57">
        <f>D84</f>
        <v/>
      </c>
      <c r="E96" s="57">
        <f>E84</f>
        <v/>
      </c>
      <c r="F96" s="57">
        <f>F84</f>
        <v/>
      </c>
      <c r="G96" s="57">
        <f>G84</f>
        <v/>
      </c>
      <c r="H96" s="57">
        <f>H84</f>
        <v/>
      </c>
      <c r="I96" s="57">
        <f>I84</f>
        <v/>
      </c>
      <c r="J96" s="57">
        <f>J84</f>
        <v/>
      </c>
      <c r="K96" s="57">
        <f>K84</f>
        <v/>
      </c>
      <c r="L96" s="57">
        <f>L84</f>
        <v/>
      </c>
      <c r="M96" s="73">
        <f>B96-SUM(C96:L96)</f>
        <v/>
      </c>
    </row>
    <row r="97" ht="15.75" customHeight="1" s="1">
      <c r="A97" s="80" t="inlineStr">
        <is>
          <t>Amortización pre-operativos</t>
        </is>
      </c>
      <c r="B97" s="81">
        <f>B74</f>
        <v/>
      </c>
      <c r="C97" s="81">
        <f>C87</f>
        <v/>
      </c>
      <c r="D97" s="81">
        <f>D87</f>
        <v/>
      </c>
      <c r="E97" s="81">
        <f>E87</f>
        <v/>
      </c>
      <c r="F97" s="81">
        <f>F87</f>
        <v/>
      </c>
      <c r="G97" s="81">
        <f>G87</f>
        <v/>
      </c>
      <c r="H97" s="81">
        <f>H87</f>
        <v/>
      </c>
      <c r="I97" s="81">
        <f>I87</f>
        <v/>
      </c>
      <c r="J97" s="81">
        <f>J87</f>
        <v/>
      </c>
      <c r="K97" s="81">
        <f>K87</f>
        <v/>
      </c>
      <c r="L97" s="81">
        <f>L87</f>
        <v/>
      </c>
      <c r="M97" s="82">
        <f>B97-SUM(C97:L97)</f>
        <v/>
      </c>
    </row>
    <row r="98" ht="15.75" customHeight="1" s="1">
      <c r="A98" s="163" t="inlineStr">
        <is>
          <t>Valor de desecho total</t>
        </is>
      </c>
      <c r="B98" s="173" t="n"/>
      <c r="C98" s="173" t="n"/>
      <c r="D98" s="173" t="n"/>
      <c r="E98" s="173" t="n"/>
      <c r="F98" s="173" t="n"/>
      <c r="G98" s="173" t="n"/>
      <c r="H98" s="173" t="n"/>
      <c r="I98" s="173" t="n"/>
      <c r="J98" s="173" t="n"/>
      <c r="K98" s="173" t="n"/>
      <c r="L98" s="174" t="n"/>
      <c r="M98" s="83">
        <f>SUM(M94:M97)</f>
        <v/>
      </c>
    </row>
    <row r="99" ht="14.25" customHeight="1" s="1">
      <c r="B99" s="21" t="n"/>
    </row>
    <row r="100" ht="14.25" customHeight="1" s="1">
      <c r="A100" s="22" t="inlineStr">
        <is>
          <t>8. Financiamiento</t>
        </is>
      </c>
      <c r="B100" s="24" t="n"/>
    </row>
    <row r="101" ht="15.75" customHeight="1" s="1">
      <c r="A101" s="44" t="inlineStr">
        <is>
          <t>Cálculo del Financiamiento</t>
        </is>
      </c>
      <c r="B101" s="42" t="n"/>
      <c r="C101" s="43" t="n"/>
      <c r="D101" s="43" t="n"/>
      <c r="E101" s="43" t="n"/>
    </row>
    <row r="102" ht="14.25" customHeight="1" s="1">
      <c r="A102" s="84" t="inlineStr">
        <is>
          <t>Financiamiento bancario (valor)</t>
        </is>
      </c>
      <c r="B102" s="85">
        <f>B77*E102</f>
        <v/>
      </c>
      <c r="C102" s="86" t="n"/>
      <c r="D102" s="43" t="n"/>
      <c r="E102" s="87" t="n">
        <v>0.5</v>
      </c>
    </row>
    <row r="103" ht="14.25" customHeight="1" s="1">
      <c r="A103" s="28" t="inlineStr">
        <is>
          <t>Financiamiento bancario (tasa)</t>
        </is>
      </c>
      <c r="B103" s="88">
        <f>B22</f>
        <v/>
      </c>
      <c r="C103" s="89" t="n"/>
      <c r="D103" s="43" t="n"/>
      <c r="E103" s="43" t="n"/>
    </row>
    <row r="104" ht="14.25" customHeight="1" s="1">
      <c r="A104" s="28" t="inlineStr">
        <is>
          <t>Financiamiento bancario (periodos)</t>
        </is>
      </c>
      <c r="B104" s="90" t="n">
        <v>7</v>
      </c>
      <c r="C104" s="91" t="inlineStr">
        <is>
          <t>años</t>
        </is>
      </c>
      <c r="D104" s="43" t="n"/>
      <c r="E104" s="43" t="n"/>
    </row>
    <row r="105" ht="15.75" customHeight="1" s="1">
      <c r="A105" s="92" t="inlineStr">
        <is>
          <t>Modalidad</t>
        </is>
      </c>
      <c r="B105" s="159" t="inlineStr">
        <is>
          <t>Pagos exactos</t>
        </is>
      </c>
      <c r="C105" s="175" t="n"/>
      <c r="D105" s="43" t="n"/>
      <c r="E105" s="43" t="n"/>
    </row>
    <row r="106" ht="15.75" customHeight="1" s="1">
      <c r="A106" s="43" t="n"/>
      <c r="B106" s="42" t="n"/>
      <c r="C106" s="43" t="n"/>
      <c r="D106" s="43" t="n"/>
      <c r="E106" s="43" t="n"/>
    </row>
    <row r="107" ht="14.25" customHeight="1" s="1">
      <c r="A107" s="161" t="inlineStr">
        <is>
          <t>Concepto</t>
        </is>
      </c>
      <c r="B107" s="26" t="inlineStr">
        <is>
          <t>Año 0</t>
        </is>
      </c>
      <c r="C107" s="26" t="inlineStr">
        <is>
          <t>Año 1</t>
        </is>
      </c>
      <c r="D107" s="26" t="inlineStr">
        <is>
          <t>Año 2</t>
        </is>
      </c>
      <c r="E107" s="26" t="inlineStr">
        <is>
          <t>Año 3</t>
        </is>
      </c>
      <c r="F107" s="26" t="inlineStr">
        <is>
          <t>Año 4</t>
        </is>
      </c>
      <c r="G107" s="26" t="inlineStr">
        <is>
          <t>Año 5</t>
        </is>
      </c>
      <c r="H107" s="26" t="inlineStr">
        <is>
          <t>Año 6</t>
        </is>
      </c>
      <c r="I107" s="26" t="inlineStr">
        <is>
          <t>Año 7</t>
        </is>
      </c>
    </row>
    <row r="108" ht="14.25" customHeight="1" s="1">
      <c r="A108" s="28" t="inlineStr">
        <is>
          <t xml:space="preserve">Saldo crédito </t>
        </is>
      </c>
      <c r="B108" s="57">
        <f>B102</f>
        <v/>
      </c>
      <c r="C108" s="57">
        <f>B108-C111</f>
        <v/>
      </c>
      <c r="D108" s="57">
        <f>C108-D111</f>
        <v/>
      </c>
      <c r="E108" s="57">
        <f>D108-E111</f>
        <v/>
      </c>
      <c r="F108" s="57">
        <f>E108-F111</f>
        <v/>
      </c>
      <c r="G108" s="57">
        <f>F108-G111</f>
        <v/>
      </c>
      <c r="H108" s="57">
        <f>G108-H111</f>
        <v/>
      </c>
      <c r="I108" s="57">
        <f>H108-I111</f>
        <v/>
      </c>
    </row>
    <row r="109" ht="14.25" customHeight="1" s="1">
      <c r="A109" s="28" t="inlineStr">
        <is>
          <t>Cuota mensual (anualidad)</t>
        </is>
      </c>
      <c r="B109" s="55" t="n"/>
      <c r="C109" s="57">
        <f>C110</f>
        <v/>
      </c>
      <c r="D109" s="57">
        <f>D110</f>
        <v/>
      </c>
      <c r="E109" s="57">
        <f>E110</f>
        <v/>
      </c>
      <c r="F109" s="57">
        <f>F110</f>
        <v/>
      </c>
      <c r="G109" s="57">
        <f>G110</f>
        <v/>
      </c>
      <c r="H109" s="57">
        <f>H110</f>
        <v/>
      </c>
      <c r="I109" s="57">
        <f>H108+(H108*B103)</f>
        <v/>
      </c>
    </row>
    <row r="110" ht="14.25" customHeight="1" s="1">
      <c r="A110" s="28" t="inlineStr">
        <is>
          <t>Intereses</t>
        </is>
      </c>
      <c r="B110" s="55" t="n"/>
      <c r="C110" s="57">
        <f>B108*$B$103</f>
        <v/>
      </c>
      <c r="D110" s="57">
        <f>C108*$B$103</f>
        <v/>
      </c>
      <c r="E110" s="57">
        <f>D108*$B$103</f>
        <v/>
      </c>
      <c r="F110" s="57">
        <f>E108*$B$103</f>
        <v/>
      </c>
      <c r="G110" s="57">
        <f>F108*$B$103</f>
        <v/>
      </c>
      <c r="H110" s="57">
        <f>G108*$B$103</f>
        <v/>
      </c>
      <c r="I110" s="57">
        <f>H108*$B$103</f>
        <v/>
      </c>
    </row>
    <row r="111" ht="15.75" customHeight="1" s="1">
      <c r="A111" s="92" t="inlineStr">
        <is>
          <t>Abono a capital (amortización)</t>
        </is>
      </c>
      <c r="B111" s="93" t="n"/>
      <c r="C111" s="81">
        <f>C109-C110</f>
        <v/>
      </c>
      <c r="D111" s="81">
        <f>D109-D110</f>
        <v/>
      </c>
      <c r="E111" s="81">
        <f>E109-E110</f>
        <v/>
      </c>
      <c r="F111" s="81">
        <f>F109-F110</f>
        <v/>
      </c>
      <c r="G111" s="81">
        <f>G109-G110</f>
        <v/>
      </c>
      <c r="H111" s="81">
        <f>H109-H110</f>
        <v/>
      </c>
      <c r="I111" s="81">
        <f>I109-I110</f>
        <v/>
      </c>
    </row>
    <row r="112" ht="14.25" customHeight="1" s="1">
      <c r="B112" s="21" t="n"/>
    </row>
    <row r="113" ht="14.25" customHeight="1" s="1">
      <c r="A113" s="22" t="inlineStr">
        <is>
          <t>9.Flujo de caja del proyecto</t>
        </is>
      </c>
      <c r="B113" s="24" t="n"/>
    </row>
    <row r="114" ht="15.75" customHeight="1" s="1">
      <c r="A114" s="4" t="inlineStr">
        <is>
          <t>Flujo de caja del proyecto (con) Financiamiento)</t>
        </is>
      </c>
      <c r="B114" s="24" t="n"/>
    </row>
    <row r="115" ht="14.25" customHeight="1" s="1">
      <c r="A115" s="161" t="inlineStr">
        <is>
          <t>Concepto</t>
        </is>
      </c>
      <c r="B115" s="26" t="inlineStr">
        <is>
          <t>Año 0</t>
        </is>
      </c>
      <c r="C115" s="26" t="inlineStr">
        <is>
          <t>Año 1</t>
        </is>
      </c>
      <c r="D115" s="26" t="inlineStr">
        <is>
          <t>Año 2</t>
        </is>
      </c>
      <c r="E115" s="26" t="inlineStr">
        <is>
          <t>Año 3</t>
        </is>
      </c>
      <c r="F115" s="26" t="inlineStr">
        <is>
          <t>Año 4</t>
        </is>
      </c>
      <c r="G115" s="26" t="inlineStr">
        <is>
          <t>Año 5</t>
        </is>
      </c>
      <c r="H115" s="26" t="inlineStr">
        <is>
          <t>Año 6</t>
        </is>
      </c>
      <c r="I115" s="26" t="inlineStr">
        <is>
          <t>Año 7</t>
        </is>
      </c>
      <c r="J115" s="26" t="inlineStr">
        <is>
          <t>Año 8</t>
        </is>
      </c>
      <c r="K115" s="26" t="inlineStr">
        <is>
          <t>Año 9</t>
        </is>
      </c>
      <c r="L115" s="27" t="inlineStr">
        <is>
          <t>Año 10</t>
        </is>
      </c>
    </row>
    <row r="116" ht="14.25" customHeight="1" s="1">
      <c r="A116" s="94" t="inlineStr">
        <is>
          <t>+ Ingreso por ventas</t>
        </is>
      </c>
      <c r="B116" s="95" t="n"/>
      <c r="C116" s="96">
        <f>C33</f>
        <v/>
      </c>
      <c r="D116" s="96">
        <f>D33</f>
        <v/>
      </c>
      <c r="E116" s="96">
        <f>E33</f>
        <v/>
      </c>
      <c r="F116" s="96">
        <f>F33</f>
        <v/>
      </c>
      <c r="G116" s="96">
        <f>G33</f>
        <v/>
      </c>
      <c r="H116" s="96">
        <f>H33</f>
        <v/>
      </c>
      <c r="I116" s="96">
        <f>I33</f>
        <v/>
      </c>
      <c r="J116" s="96">
        <f>J33</f>
        <v/>
      </c>
      <c r="K116" s="96">
        <f>K33</f>
        <v/>
      </c>
      <c r="L116" s="97">
        <f>L33</f>
        <v/>
      </c>
    </row>
    <row r="117" ht="14.25" customHeight="1" s="1">
      <c r="A117" s="98" t="inlineStr">
        <is>
          <t>Ingreso por venta del terreno</t>
        </is>
      </c>
      <c r="B117" s="95" t="n"/>
      <c r="C117" s="95" t="n"/>
      <c r="D117" s="95" t="n"/>
      <c r="E117" s="95" t="n"/>
      <c r="F117" s="95" t="n"/>
      <c r="G117" s="95" t="n"/>
      <c r="H117" s="95" t="n"/>
      <c r="I117" s="95" t="n"/>
      <c r="J117" s="95" t="n"/>
      <c r="K117" s="95" t="n"/>
      <c r="L117" s="97">
        <f>B19</f>
        <v/>
      </c>
    </row>
    <row r="118" ht="14.25" customHeight="1" s="1">
      <c r="A118" s="94" t="inlineStr">
        <is>
          <t>- Egresos deducibles de impuestos</t>
        </is>
      </c>
      <c r="B118" s="95" t="n"/>
      <c r="C118" s="96">
        <f>SUM(C119:C121)</f>
        <v/>
      </c>
      <c r="D118" s="96">
        <f>SUM(D119:D121)</f>
        <v/>
      </c>
      <c r="E118" s="96">
        <f>SUM(E119:E121)</f>
        <v/>
      </c>
      <c r="F118" s="96">
        <f>SUM(F119:F121)</f>
        <v/>
      </c>
      <c r="G118" s="96">
        <f>SUM(G119:G121)</f>
        <v/>
      </c>
      <c r="H118" s="96">
        <f>SUM(H119:H121)</f>
        <v/>
      </c>
      <c r="I118" s="96">
        <f>SUM(I119:I121)</f>
        <v/>
      </c>
      <c r="J118" s="96">
        <f>SUM(J119:J121)</f>
        <v/>
      </c>
      <c r="K118" s="96">
        <f>SUM(K119:K121)</f>
        <v/>
      </c>
      <c r="L118" s="97">
        <f>SUM(L119:L121)</f>
        <v/>
      </c>
    </row>
    <row r="119" ht="14.25" customHeight="1" s="1">
      <c r="A119" s="99" t="inlineStr">
        <is>
          <t xml:space="preserve">     Costos variables</t>
        </is>
      </c>
      <c r="B119" s="100" t="n"/>
      <c r="C119" s="15">
        <f>C39</f>
        <v/>
      </c>
      <c r="D119" s="15">
        <f>D39</f>
        <v/>
      </c>
      <c r="E119" s="15">
        <f>E39</f>
        <v/>
      </c>
      <c r="F119" s="15">
        <f>F39</f>
        <v/>
      </c>
      <c r="G119" s="15">
        <f>G39</f>
        <v/>
      </c>
      <c r="H119" s="15">
        <f>H39</f>
        <v/>
      </c>
      <c r="I119" s="15">
        <f>I39</f>
        <v/>
      </c>
      <c r="J119" s="15">
        <f>J39</f>
        <v/>
      </c>
      <c r="K119" s="15">
        <f>K39</f>
        <v/>
      </c>
      <c r="L119" s="101">
        <f>L39</f>
        <v/>
      </c>
    </row>
    <row r="120" ht="14.25" customHeight="1" s="1">
      <c r="A120" s="99" t="inlineStr">
        <is>
          <t xml:space="preserve">     Costos Fijos</t>
        </is>
      </c>
      <c r="B120" s="100" t="n"/>
      <c r="C120" s="15">
        <f>C46</f>
        <v/>
      </c>
      <c r="D120" s="15">
        <f>D46</f>
        <v/>
      </c>
      <c r="E120" s="15">
        <f>E46</f>
        <v/>
      </c>
      <c r="F120" s="15">
        <f>F46</f>
        <v/>
      </c>
      <c r="G120" s="15">
        <f>G46</f>
        <v/>
      </c>
      <c r="H120" s="15">
        <f>H46</f>
        <v/>
      </c>
      <c r="I120" s="15">
        <f>I46</f>
        <v/>
      </c>
      <c r="J120" s="15">
        <f>J46</f>
        <v/>
      </c>
      <c r="K120" s="15">
        <f>K46</f>
        <v/>
      </c>
      <c r="L120" s="101">
        <f>L46</f>
        <v/>
      </c>
    </row>
    <row r="121" ht="14.25" customHeight="1" s="1">
      <c r="A121" s="99" t="inlineStr">
        <is>
          <t xml:space="preserve">     Gastos financieros</t>
        </is>
      </c>
      <c r="B121" s="100" t="n"/>
      <c r="C121" s="15">
        <f>C110</f>
        <v/>
      </c>
      <c r="D121" s="15">
        <f>D110</f>
        <v/>
      </c>
      <c r="E121" s="15">
        <f>E110</f>
        <v/>
      </c>
      <c r="F121" s="15">
        <f>F110</f>
        <v/>
      </c>
      <c r="G121" s="15">
        <f>G110</f>
        <v/>
      </c>
      <c r="H121" s="15">
        <f>H110</f>
        <v/>
      </c>
      <c r="I121" s="15">
        <f>I110</f>
        <v/>
      </c>
      <c r="J121" s="15">
        <f>J110</f>
        <v/>
      </c>
      <c r="K121" s="15">
        <f>K110</f>
        <v/>
      </c>
      <c r="L121" s="101">
        <f>L110</f>
        <v/>
      </c>
    </row>
    <row r="122" ht="14.25" customHeight="1" s="1">
      <c r="A122" s="94" t="inlineStr">
        <is>
          <t>- Gastos no desembolsables</t>
        </is>
      </c>
      <c r="B122" s="95" t="n"/>
      <c r="C122" s="96">
        <f>SUM(C123:C124)</f>
        <v/>
      </c>
      <c r="D122" s="96">
        <f>SUM(D123:D124)</f>
        <v/>
      </c>
      <c r="E122" s="96">
        <f>SUM(E123:E124)</f>
        <v/>
      </c>
      <c r="F122" s="96">
        <f>SUM(F123:F124)</f>
        <v/>
      </c>
      <c r="G122" s="96">
        <f>SUM(G123:G124)</f>
        <v/>
      </c>
      <c r="H122" s="96">
        <f>SUM(H123:H124)</f>
        <v/>
      </c>
      <c r="I122" s="96">
        <f>SUM(I123:I124)</f>
        <v/>
      </c>
      <c r="J122" s="96">
        <f>SUM(J123:J124)</f>
        <v/>
      </c>
      <c r="K122" s="96">
        <f>SUM(K123:K124)</f>
        <v/>
      </c>
      <c r="L122" s="97">
        <f>SUM(L123:L124)</f>
        <v/>
      </c>
    </row>
    <row r="123" ht="14.25" customHeight="1" s="1">
      <c r="A123" s="99" t="inlineStr">
        <is>
          <t xml:space="preserve">     Depreciación de activos</t>
        </is>
      </c>
      <c r="B123" s="100" t="n"/>
      <c r="C123" s="15">
        <f>C85</f>
        <v/>
      </c>
      <c r="D123" s="15">
        <f>D85</f>
        <v/>
      </c>
      <c r="E123" s="15">
        <f>E85</f>
        <v/>
      </c>
      <c r="F123" s="15">
        <f>F85</f>
        <v/>
      </c>
      <c r="G123" s="15">
        <f>G85</f>
        <v/>
      </c>
      <c r="H123" s="15">
        <f>H85</f>
        <v/>
      </c>
      <c r="I123" s="15">
        <f>I85</f>
        <v/>
      </c>
      <c r="J123" s="15">
        <f>J85</f>
        <v/>
      </c>
      <c r="K123" s="15">
        <f>K85</f>
        <v/>
      </c>
      <c r="L123" s="101">
        <f>L85</f>
        <v/>
      </c>
    </row>
    <row r="124" ht="14.25" customHeight="1" s="1">
      <c r="A124" s="99" t="inlineStr">
        <is>
          <t xml:space="preserve">     Amortización de pre-operativos</t>
        </is>
      </c>
      <c r="B124" s="100" t="n"/>
      <c r="C124" s="15">
        <f>C87</f>
        <v/>
      </c>
      <c r="D124" s="15">
        <f>D87</f>
        <v/>
      </c>
      <c r="E124" s="15">
        <f>E87</f>
        <v/>
      </c>
      <c r="F124" s="15">
        <f>F87</f>
        <v/>
      </c>
      <c r="G124" s="15">
        <f>G87</f>
        <v/>
      </c>
      <c r="H124" s="15">
        <f>H87</f>
        <v/>
      </c>
      <c r="I124" s="15">
        <f>I87</f>
        <v/>
      </c>
      <c r="J124" s="15">
        <f>J87</f>
        <v/>
      </c>
      <c r="K124" s="15">
        <f>K87</f>
        <v/>
      </c>
      <c r="L124" s="101">
        <f>L87</f>
        <v/>
      </c>
    </row>
    <row r="125" ht="14.25" customHeight="1" s="1">
      <c r="A125" s="94" t="inlineStr">
        <is>
          <t>= Utilidad antes de impuestos</t>
        </is>
      </c>
      <c r="B125" s="95" t="n"/>
      <c r="C125" s="96">
        <f>C116+C117-C118-C122</f>
        <v/>
      </c>
      <c r="D125" s="96">
        <f>D116+D117-D118-D122</f>
        <v/>
      </c>
      <c r="E125" s="96">
        <f>E116+E117-E118-E122</f>
        <v/>
      </c>
      <c r="F125" s="96">
        <f>F116+F117-F118-F122</f>
        <v/>
      </c>
      <c r="G125" s="96">
        <f>G116+G117-G118-G122</f>
        <v/>
      </c>
      <c r="H125" s="96">
        <f>H116+H117-H118-H122</f>
        <v/>
      </c>
      <c r="I125" s="96">
        <f>I116+I117-I118-I122</f>
        <v/>
      </c>
      <c r="J125" s="96">
        <f>J116+J117-J118-J122</f>
        <v/>
      </c>
      <c r="K125" s="96">
        <f>K116+K117-K118-K122</f>
        <v/>
      </c>
      <c r="L125" s="96">
        <f>L116+L117-L118-L122</f>
        <v/>
      </c>
    </row>
    <row r="126" ht="14.25" customHeight="1" s="1">
      <c r="A126" s="99" t="inlineStr">
        <is>
          <t>- Impuestos (30%)</t>
        </is>
      </c>
      <c r="B126" s="100" t="n"/>
      <c r="C126" s="10">
        <f>C125*$B$26</f>
        <v/>
      </c>
      <c r="D126" s="15">
        <f>D125*$B$26</f>
        <v/>
      </c>
      <c r="E126" s="15">
        <f>E125*$B$26</f>
        <v/>
      </c>
      <c r="F126" s="15">
        <f>F125*$B$26</f>
        <v/>
      </c>
      <c r="G126" s="15">
        <f>G125*$B$26</f>
        <v/>
      </c>
      <c r="H126" s="15">
        <f>H125*$B$26</f>
        <v/>
      </c>
      <c r="I126" s="15">
        <f>I125*$B$26</f>
        <v/>
      </c>
      <c r="J126" s="15">
        <f>J125*$B$26</f>
        <v/>
      </c>
      <c r="K126" s="15">
        <f>K125*$B$26</f>
        <v/>
      </c>
      <c r="L126" s="101">
        <f>L125*$B$26</f>
        <v/>
      </c>
    </row>
    <row r="127" ht="14.25" customHeight="1" s="1">
      <c r="A127" s="94" t="inlineStr">
        <is>
          <t>= Utilidad después de impuestos</t>
        </is>
      </c>
      <c r="B127" s="95" t="n"/>
      <c r="C127" s="96">
        <f>C125-C126</f>
        <v/>
      </c>
      <c r="D127" s="96">
        <f>D125-D126</f>
        <v/>
      </c>
      <c r="E127" s="96">
        <f>E125-E126</f>
        <v/>
      </c>
      <c r="F127" s="96">
        <f>F125-F126</f>
        <v/>
      </c>
      <c r="G127" s="96">
        <f>G125-G126</f>
        <v/>
      </c>
      <c r="H127" s="96">
        <f>H125-H126</f>
        <v/>
      </c>
      <c r="I127" s="96">
        <f>I125-I126</f>
        <v/>
      </c>
      <c r="J127" s="96">
        <f>J125-J126</f>
        <v/>
      </c>
      <c r="K127" s="96">
        <f>K125-K126</f>
        <v/>
      </c>
      <c r="L127" s="97">
        <f>L125-L126</f>
        <v/>
      </c>
    </row>
    <row r="128" ht="14.25" customHeight="1" s="1">
      <c r="A128" s="98" t="inlineStr">
        <is>
          <t>+ Gastos no desembolsables</t>
        </is>
      </c>
      <c r="B128" s="95" t="n"/>
      <c r="C128" s="96">
        <f>SUM(C129:C130)</f>
        <v/>
      </c>
      <c r="D128" s="96">
        <f>SUM(D129:D130)</f>
        <v/>
      </c>
      <c r="E128" s="96">
        <f>SUM(E129:E130)</f>
        <v/>
      </c>
      <c r="F128" s="96">
        <f>SUM(F129:F130)</f>
        <v/>
      </c>
      <c r="G128" s="96">
        <f>SUM(G129:G130)</f>
        <v/>
      </c>
      <c r="H128" s="96">
        <f>SUM(H129:H130)</f>
        <v/>
      </c>
      <c r="I128" s="96">
        <f>SUM(I129:I130)</f>
        <v/>
      </c>
      <c r="J128" s="96">
        <f>SUM(J129:J130)</f>
        <v/>
      </c>
      <c r="K128" s="96">
        <f>SUM(K129:K130)</f>
        <v/>
      </c>
      <c r="L128" s="97">
        <f>SUM(L129:L130)</f>
        <v/>
      </c>
    </row>
    <row r="129" ht="14.25" customHeight="1" s="1">
      <c r="A129" s="99" t="inlineStr">
        <is>
          <t xml:space="preserve">     Depreciación de activos</t>
        </is>
      </c>
      <c r="B129" s="100" t="n"/>
      <c r="C129" s="15">
        <f>C123</f>
        <v/>
      </c>
      <c r="D129" s="15">
        <f>D123</f>
        <v/>
      </c>
      <c r="E129" s="15">
        <f>E123</f>
        <v/>
      </c>
      <c r="F129" s="15">
        <f>F123</f>
        <v/>
      </c>
      <c r="G129" s="15">
        <f>G123</f>
        <v/>
      </c>
      <c r="H129" s="15">
        <f>H123</f>
        <v/>
      </c>
      <c r="I129" s="15">
        <f>I123</f>
        <v/>
      </c>
      <c r="J129" s="15">
        <f>J123</f>
        <v/>
      </c>
      <c r="K129" s="15">
        <f>K123</f>
        <v/>
      </c>
      <c r="L129" s="101">
        <f>L123</f>
        <v/>
      </c>
    </row>
    <row r="130" ht="14.25" customHeight="1" s="1">
      <c r="A130" s="99" t="inlineStr">
        <is>
          <t xml:space="preserve">     Amortización de pre-operativos</t>
        </is>
      </c>
      <c r="B130" s="100" t="n"/>
      <c r="C130" s="15">
        <f>C124</f>
        <v/>
      </c>
      <c r="D130" s="15">
        <f>D124</f>
        <v/>
      </c>
      <c r="E130" s="15">
        <f>E124</f>
        <v/>
      </c>
      <c r="F130" s="15">
        <f>F124</f>
        <v/>
      </c>
      <c r="G130" s="15">
        <f>G124</f>
        <v/>
      </c>
      <c r="H130" s="15">
        <f>H124</f>
        <v/>
      </c>
      <c r="I130" s="15">
        <f>I124</f>
        <v/>
      </c>
      <c r="J130" s="15">
        <f>J124</f>
        <v/>
      </c>
      <c r="K130" s="15">
        <f>K124</f>
        <v/>
      </c>
      <c r="L130" s="101">
        <f>L124</f>
        <v/>
      </c>
    </row>
    <row r="131" ht="14.25" customHeight="1" s="1">
      <c r="A131" s="94" t="inlineStr">
        <is>
          <t>+ Ingresos no sujetos a impuestos</t>
        </is>
      </c>
      <c r="B131" s="96">
        <f>SUM(B132:B134)</f>
        <v/>
      </c>
      <c r="C131" s="96">
        <f>SUM(C132:C134)</f>
        <v/>
      </c>
      <c r="D131" s="96">
        <f>SUM(D132:D134)</f>
        <v/>
      </c>
      <c r="E131" s="96">
        <f>SUM(E132:E134)</f>
        <v/>
      </c>
      <c r="F131" s="96">
        <f>SUM(F132:F134)</f>
        <v/>
      </c>
      <c r="G131" s="96">
        <f>SUM(G132:G134)</f>
        <v/>
      </c>
      <c r="H131" s="96">
        <f>SUM(H132:H134)</f>
        <v/>
      </c>
      <c r="I131" s="96">
        <f>SUM(I132:I134)</f>
        <v/>
      </c>
      <c r="J131" s="96">
        <f>SUM(J132:J134)</f>
        <v/>
      </c>
      <c r="K131" s="96">
        <f>SUM(K132:K134)</f>
        <v/>
      </c>
      <c r="L131" s="97">
        <f>SUM(L132:L134)</f>
        <v/>
      </c>
    </row>
    <row r="132" ht="14.25" customHeight="1" s="1">
      <c r="A132" s="99" t="inlineStr">
        <is>
          <t xml:space="preserve">     Valor de desecho</t>
        </is>
      </c>
      <c r="B132" s="100" t="n"/>
      <c r="C132" s="100" t="n"/>
      <c r="D132" s="100" t="n"/>
      <c r="E132" s="100" t="n"/>
      <c r="F132" s="100" t="n"/>
      <c r="G132" s="100" t="n"/>
      <c r="H132" s="100" t="n"/>
      <c r="I132" s="100" t="n"/>
      <c r="J132" s="100" t="n"/>
      <c r="K132" s="100" t="n"/>
      <c r="L132" s="101">
        <f>M98</f>
        <v/>
      </c>
    </row>
    <row r="133" ht="14.25" customHeight="1" s="1">
      <c r="A133" s="99" t="inlineStr">
        <is>
          <t xml:space="preserve">     Recuperación del capital de trabajo</t>
        </is>
      </c>
      <c r="B133" s="100" t="n"/>
      <c r="C133" s="100" t="n"/>
      <c r="D133" s="100" t="n"/>
      <c r="E133" s="100" t="n"/>
      <c r="F133" s="100" t="n"/>
      <c r="G133" s="100" t="n"/>
      <c r="H133" s="100" t="n"/>
      <c r="I133" s="100" t="n"/>
      <c r="J133" s="100" t="n"/>
      <c r="K133" s="100" t="n"/>
      <c r="L133" s="101">
        <f>-L77</f>
        <v/>
      </c>
    </row>
    <row r="134" ht="14.25" customHeight="1" s="1">
      <c r="A134" s="99" t="inlineStr">
        <is>
          <t xml:space="preserve">     Préstamo bancario</t>
        </is>
      </c>
      <c r="B134" s="15">
        <f>B102</f>
        <v/>
      </c>
      <c r="C134" s="100" t="n"/>
      <c r="D134" s="100" t="n"/>
      <c r="E134" s="100" t="n"/>
      <c r="F134" s="100" t="n"/>
      <c r="G134" s="100" t="n"/>
      <c r="H134" s="100" t="n"/>
      <c r="I134" s="100" t="n"/>
      <c r="J134" s="100" t="n"/>
      <c r="K134" s="100" t="n"/>
      <c r="L134" s="102" t="n"/>
    </row>
    <row r="135" ht="14.25" customHeight="1" s="1">
      <c r="A135" s="94" t="inlineStr">
        <is>
          <t>- Egresos no deducibles de impuestos</t>
        </is>
      </c>
      <c r="B135" s="96">
        <f>SUM(B136:B139)</f>
        <v/>
      </c>
      <c r="C135" s="96">
        <f>SUM(C136:C139)</f>
        <v/>
      </c>
      <c r="D135" s="96">
        <f>SUM(D136:D139)</f>
        <v/>
      </c>
      <c r="E135" s="96">
        <f>SUM(E136:E139)</f>
        <v/>
      </c>
      <c r="F135" s="96">
        <f>SUM(F136:F139)</f>
        <v/>
      </c>
      <c r="G135" s="96">
        <f>SUM(G136:G139)</f>
        <v/>
      </c>
      <c r="H135" s="96">
        <f>SUM(H136:H139)</f>
        <v/>
      </c>
      <c r="I135" s="96">
        <f>SUM(I136:I139)</f>
        <v/>
      </c>
      <c r="J135" s="96">
        <f>SUM(J136:J139)</f>
        <v/>
      </c>
      <c r="K135" s="96">
        <f>SUM(K136:K139)</f>
        <v/>
      </c>
      <c r="L135" s="97">
        <f>SUM(L136:L139)</f>
        <v/>
      </c>
    </row>
    <row r="136" ht="14.25" customHeight="1" s="1">
      <c r="A136" s="99" t="inlineStr">
        <is>
          <t xml:space="preserve">     Activos (inv. 20 años, 10 años, 5 años, terreno)</t>
        </is>
      </c>
      <c r="B136" s="96">
        <f>SUM(B69:B72)</f>
        <v/>
      </c>
      <c r="C136" s="95" t="n"/>
      <c r="D136" s="95" t="n"/>
      <c r="E136" s="95" t="n"/>
      <c r="F136" s="95" t="n"/>
      <c r="G136" s="96">
        <f>G69</f>
        <v/>
      </c>
      <c r="H136" s="95" t="n"/>
      <c r="I136" s="95" t="n"/>
      <c r="J136" s="95" t="n"/>
      <c r="K136" s="95" t="n"/>
      <c r="L136" s="103" t="n"/>
    </row>
    <row r="137" ht="14.25" customHeight="1" s="1">
      <c r="A137" s="99" t="inlineStr">
        <is>
          <t xml:space="preserve">     Gastos de puesta en marcha (pre-operativos)</t>
        </is>
      </c>
      <c r="B137" s="15">
        <f>B74</f>
        <v/>
      </c>
      <c r="C137" s="100" t="n"/>
      <c r="D137" s="100" t="n"/>
      <c r="E137" s="100" t="n"/>
      <c r="F137" s="100" t="n"/>
      <c r="G137" s="100" t="n"/>
      <c r="H137" s="100" t="n"/>
      <c r="I137" s="100" t="n"/>
      <c r="J137" s="100" t="n"/>
      <c r="K137" s="100" t="n"/>
      <c r="L137" s="102" t="n"/>
    </row>
    <row r="138" ht="14.25" customHeight="1" s="1">
      <c r="A138" s="99" t="inlineStr">
        <is>
          <t xml:space="preserve">     Inversión en capital de trabajo</t>
        </is>
      </c>
      <c r="B138" s="15">
        <f>B76</f>
        <v/>
      </c>
      <c r="C138" s="15">
        <f>C76</f>
        <v/>
      </c>
      <c r="D138" s="15">
        <f>D76</f>
        <v/>
      </c>
      <c r="E138" s="15">
        <f>E76</f>
        <v/>
      </c>
      <c r="F138" s="15">
        <f>F76</f>
        <v/>
      </c>
      <c r="G138" s="15">
        <f>G76</f>
        <v/>
      </c>
      <c r="H138" s="15">
        <f>H76</f>
        <v/>
      </c>
      <c r="I138" s="15">
        <f>I76</f>
        <v/>
      </c>
      <c r="J138" s="15">
        <f>J76</f>
        <v/>
      </c>
      <c r="K138" s="15">
        <f>K76</f>
        <v/>
      </c>
      <c r="L138" s="100" t="n"/>
    </row>
    <row r="139" ht="14.25" customHeight="1" s="1">
      <c r="A139" s="99" t="inlineStr">
        <is>
          <t xml:space="preserve">     Pago préstamo bancario</t>
        </is>
      </c>
      <c r="B139" s="100" t="n"/>
      <c r="C139" s="15">
        <f>C111</f>
        <v/>
      </c>
      <c r="D139" s="15">
        <f>D111</f>
        <v/>
      </c>
      <c r="E139" s="15">
        <f>E111</f>
        <v/>
      </c>
      <c r="F139" s="15">
        <f>F111</f>
        <v/>
      </c>
      <c r="G139" s="15">
        <f>G111</f>
        <v/>
      </c>
      <c r="H139" s="15">
        <f>H111</f>
        <v/>
      </c>
      <c r="I139" s="15">
        <f>I111</f>
        <v/>
      </c>
      <c r="J139" s="15">
        <f>J111</f>
        <v/>
      </c>
      <c r="K139" s="15">
        <f>K111</f>
        <v/>
      </c>
      <c r="L139" s="101">
        <f>L111</f>
        <v/>
      </c>
    </row>
    <row r="140" ht="14.25" customHeight="1" s="1">
      <c r="A140" s="104" t="inlineStr">
        <is>
          <t>= Flujo de caja</t>
        </is>
      </c>
      <c r="B140" s="53">
        <f>B127+B128+B131-B135</f>
        <v/>
      </c>
      <c r="C140" s="53">
        <f>C127+C128+C131-C135</f>
        <v/>
      </c>
      <c r="D140" s="53">
        <f>D127+D128+D131-D135</f>
        <v/>
      </c>
      <c r="E140" s="53">
        <f>E127+E128+E131-E135</f>
        <v/>
      </c>
      <c r="F140" s="53">
        <f>F127+F128+F131-F135</f>
        <v/>
      </c>
      <c r="G140" s="53">
        <f>G127+G128+G131-G135</f>
        <v/>
      </c>
      <c r="H140" s="53">
        <f>H127+H128+H131-H135</f>
        <v/>
      </c>
      <c r="I140" s="53">
        <f>I127+I128+I131-I135</f>
        <v/>
      </c>
      <c r="J140" s="53">
        <f>J127+J128+J131-J135</f>
        <v/>
      </c>
      <c r="K140" s="53">
        <f>K127+K128+K131-K135</f>
        <v/>
      </c>
      <c r="L140" s="54">
        <f>L127+L128+L131+L135</f>
        <v/>
      </c>
    </row>
    <row r="141" ht="14.25" customHeight="1" s="1">
      <c r="A141" s="105" t="inlineStr">
        <is>
          <t>Flujo de caja acumulado (PRI)</t>
        </is>
      </c>
    </row>
    <row r="142" ht="14.25" customHeight="1" s="1">
      <c r="A142" s="145" t="inlineStr">
        <is>
          <t xml:space="preserve">     Flujo acumulado</t>
        </is>
      </c>
      <c r="B142" s="53">
        <f>B140</f>
        <v/>
      </c>
      <c r="C142" s="53">
        <f>B142+C140</f>
        <v/>
      </c>
      <c r="D142" s="53">
        <f>C142+D140</f>
        <v/>
      </c>
      <c r="E142" s="53">
        <f>D142+E140</f>
        <v/>
      </c>
      <c r="F142" s="53">
        <f>E142+F140</f>
        <v/>
      </c>
      <c r="G142" s="53">
        <f>F142+G140</f>
        <v/>
      </c>
      <c r="H142" s="53">
        <f>G142+H140</f>
        <v/>
      </c>
      <c r="I142" s="53">
        <f>H142+I140</f>
        <v/>
      </c>
      <c r="J142" s="53">
        <f>I142+J140</f>
        <v/>
      </c>
      <c r="K142" s="53">
        <f>J142+K140</f>
        <v/>
      </c>
      <c r="L142" s="54">
        <f>K142+L140</f>
        <v/>
      </c>
    </row>
    <row r="143" ht="14.25" customHeight="1" s="1">
      <c r="A143" s="105" t="inlineStr">
        <is>
          <t>Flujo descontado acumulado (PRID)</t>
        </is>
      </c>
    </row>
    <row r="144" ht="14.25" customHeight="1" s="1">
      <c r="A144" s="145" t="inlineStr">
        <is>
          <t xml:space="preserve">     Flujo desc. acumulado</t>
        </is>
      </c>
      <c r="B144" s="53">
        <f>B140</f>
        <v/>
      </c>
      <c r="C144" s="53">
        <f>B144+C140/(1+E150)^1</f>
        <v/>
      </c>
      <c r="D144" s="53">
        <f>C144+D140/(1+E150)^2</f>
        <v/>
      </c>
      <c r="E144" s="53">
        <f>D144+E140/(1+E150)^3</f>
        <v/>
      </c>
      <c r="F144" s="53">
        <f>E144+F140/(1+E150)^4</f>
        <v/>
      </c>
      <c r="G144" s="53">
        <f>F144+G140/(1+E150)^5</f>
        <v/>
      </c>
      <c r="H144" s="53">
        <f>G144+H140/(1+E150)^6</f>
        <v/>
      </c>
      <c r="I144" s="53">
        <f>H144+I140/(1+E150)^7</f>
        <v/>
      </c>
      <c r="J144" s="53">
        <f>I144+J140/(1+E150)^8</f>
        <v/>
      </c>
      <c r="K144" s="53">
        <f>J144+K140/(1+E150)^9</f>
        <v/>
      </c>
      <c r="L144" s="54">
        <f>K144+L140/(1+E150)^10</f>
        <v/>
      </c>
    </row>
    <row r="145" ht="14.25" customHeight="1" s="1">
      <c r="B145" s="21" t="n"/>
      <c r="F145" s="106" t="n"/>
    </row>
    <row r="146" ht="14.25" customHeight="1" s="1">
      <c r="A146" s="22" t="inlineStr">
        <is>
          <t>10. Costo del capital</t>
        </is>
      </c>
    </row>
    <row r="147" ht="14.25" customHeight="1" s="1">
      <c r="B147" s="107" t="inlineStr">
        <is>
          <t>Participación ($)</t>
        </is>
      </c>
      <c r="C147" s="107" t="inlineStr">
        <is>
          <t>Participación (%)</t>
        </is>
      </c>
      <c r="D147" s="107" t="inlineStr">
        <is>
          <t>Costo</t>
        </is>
      </c>
      <c r="E147" s="107" t="inlineStr">
        <is>
          <t>Costo promedio</t>
        </is>
      </c>
    </row>
    <row r="148" ht="14.25" customHeight="1" s="1">
      <c r="A148" s="4" t="inlineStr">
        <is>
          <t>Préstamo bancario</t>
        </is>
      </c>
      <c r="B148" s="147">
        <f>B102</f>
        <v/>
      </c>
      <c r="C148" s="149">
        <f>E102</f>
        <v/>
      </c>
      <c r="D148" s="149">
        <f>B103*(1-B26)</f>
        <v/>
      </c>
      <c r="E148" s="149">
        <f>C148*D148</f>
        <v/>
      </c>
    </row>
    <row r="149" ht="18" customHeight="1" s="1">
      <c r="A149" s="4" t="inlineStr">
        <is>
          <t>Fondos propios</t>
        </is>
      </c>
      <c r="B149" s="148">
        <f>B77-B148</f>
        <v/>
      </c>
      <c r="C149" s="150">
        <f>1-C148</f>
        <v/>
      </c>
      <c r="D149" s="149">
        <f>B25</f>
        <v/>
      </c>
      <c r="E149" s="150">
        <f>C149*D149</f>
        <v/>
      </c>
    </row>
    <row r="150" ht="14.25" customHeight="1" s="1">
      <c r="B150" s="147">
        <f>B148+B149</f>
        <v/>
      </c>
      <c r="C150" s="149">
        <f>C148+C149</f>
        <v/>
      </c>
      <c r="D150" s="108" t="n"/>
      <c r="E150" s="149">
        <f>E148+E149</f>
        <v/>
      </c>
    </row>
    <row r="152" ht="14.25" customHeight="1" s="1">
      <c r="A152" s="22" t="inlineStr">
        <is>
          <t>11. Indicadores financieros</t>
        </is>
      </c>
    </row>
    <row r="153" ht="14.25" customHeight="1" s="1">
      <c r="A153" s="109" t="inlineStr">
        <is>
          <t>VAN(WACC) =</t>
        </is>
      </c>
      <c r="B153" s="110">
        <f>NPV(E150,C140:L140)+B140</f>
        <v/>
      </c>
    </row>
    <row r="154" ht="14.25" customHeight="1" s="1">
      <c r="A154" s="109" t="inlineStr">
        <is>
          <t>TIR =</t>
        </is>
      </c>
      <c r="B154" s="151">
        <f>IRR(B140:L140)</f>
        <v/>
      </c>
    </row>
    <row r="155" ht="14.25" customHeight="1" s="1">
      <c r="A155" s="109" t="inlineStr">
        <is>
          <t>PRI =</t>
        </is>
      </c>
      <c r="B155" s="112">
        <f>IFERROR(MATCH(1,INDEX((C142:L142&gt;=0)*1,0),0),"&gt;10")</f>
        <v/>
      </c>
    </row>
    <row r="156" ht="14.25" customHeight="1" s="1">
      <c r="A156" s="109" t="inlineStr">
        <is>
          <t>PRID =</t>
        </is>
      </c>
      <c r="B156" s="112">
        <f>IFERROR(MATCH(1,INDEX((C144:L144&gt;=0)*1,0),0),"&gt;10")</f>
        <v/>
      </c>
    </row>
    <row r="157" ht="14.25" customHeight="1" s="1">
      <c r="A157" s="109" t="inlineStr">
        <is>
          <t>ID =</t>
        </is>
      </c>
      <c r="B157" s="142">
        <f>(NPV(E150,C140:L140)+B140+ABS(B140))/ABS(B140)</f>
        <v/>
      </c>
    </row>
    <row r="158" ht="14.25" customHeight="1" s="1">
      <c r="B158" s="21" t="n"/>
    </row>
    <row r="159" ht="14.25" customHeight="1" s="1">
      <c r="B159" s="21" t="n"/>
    </row>
    <row r="160" ht="14.25" customHeight="1" s="1">
      <c r="A160" s="105" t="n"/>
      <c r="B160" s="113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</row>
    <row r="161" ht="14.25" customHeight="1" s="1">
      <c r="A161" s="105" t="n"/>
      <c r="B161" s="113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</row>
    <row r="162" ht="14.25" customHeight="1" s="1">
      <c r="A162" s="105" t="n"/>
      <c r="B162" s="113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</row>
    <row r="163" ht="14.25" customHeight="1" s="1">
      <c r="A163" s="105" t="n"/>
      <c r="B163" s="113" t="n"/>
      <c r="C163" s="115" t="n"/>
      <c r="D163" s="115" t="n"/>
      <c r="E163" s="115" t="n"/>
      <c r="F163" s="115" t="n"/>
      <c r="G163" s="115" t="n"/>
      <c r="H163" s="115" t="n"/>
      <c r="I163" s="115" t="n"/>
      <c r="J163" s="115" t="n"/>
      <c r="K163" s="115" t="n"/>
      <c r="L163" s="115" t="n"/>
    </row>
    <row r="164" ht="14.25" customHeight="1" s="1">
      <c r="B164" s="21" t="n"/>
    </row>
    <row r="165" ht="14.25" customHeight="1" s="1">
      <c r="B165" s="21" t="n"/>
    </row>
    <row r="166" ht="14.25" customHeight="1" s="1">
      <c r="B166" s="21" t="n"/>
    </row>
  </sheetData>
  <mergeCells count="6">
    <mergeCell ref="A50:H50"/>
    <mergeCell ref="A55:H55"/>
    <mergeCell ref="A98:L98"/>
    <mergeCell ref="A92:A93"/>
    <mergeCell ref="C92:L92"/>
    <mergeCell ref="B105:C105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66"/>
  <sheetViews>
    <sheetView showGridLines="0" tabSelected="1" topLeftCell="A93" zoomScaleNormal="100" workbookViewId="0">
      <selection activeCell="B157" sqref="B157"/>
    </sheetView>
  </sheetViews>
  <sheetFormatPr baseColWidth="10" defaultColWidth="8.6640625" defaultRowHeight="14.4"/>
  <cols>
    <col width="42.44140625" customWidth="1" style="1" min="1" max="1"/>
    <col width="15.5546875" customWidth="1" style="1" min="2" max="2"/>
    <col width="16.109375" customWidth="1" style="1" min="3" max="3"/>
    <col width="15.44140625" customWidth="1" style="1" min="4" max="8"/>
    <col width="15.5546875" customWidth="1" style="1" min="9" max="11"/>
    <col width="15.44140625" customWidth="1" style="1" min="12" max="12"/>
    <col width="13.5546875" customWidth="1" style="1" min="13" max="13"/>
    <col width="13.33203125" customWidth="1" style="1" min="14" max="14"/>
    <col width="10.6640625" customWidth="1" style="1" min="16" max="16"/>
    <col width="25.109375" customWidth="1" style="1" min="18" max="18"/>
    <col width="11.6640625" customWidth="1" style="1" min="19" max="19"/>
    <col width="13.44140625" customWidth="1" style="1" min="20" max="20"/>
    <col width="8.44140625" customWidth="1" style="1" min="21" max="21"/>
    <col width="10.6640625" customWidth="1" style="1" min="22" max="22"/>
  </cols>
  <sheetData>
    <row r="1" ht="15" customHeight="1" s="1">
      <c r="A1" s="2" t="inlineStr">
        <is>
          <t>Camaronera Industrial</t>
        </is>
      </c>
    </row>
    <row r="3" ht="14.25" customHeight="1" s="1">
      <c r="A3" s="3" t="inlineStr">
        <is>
          <t>Variables</t>
        </is>
      </c>
    </row>
    <row r="4" ht="14.25" customHeight="1" s="1">
      <c r="A4" s="4" t="inlineStr">
        <is>
          <t>Horizonte de evaluación (años)</t>
        </is>
      </c>
      <c r="B4" s="4" t="n">
        <v>10</v>
      </c>
    </row>
    <row r="5" ht="14.25" customHeight="1" s="1">
      <c r="A5" s="4" t="inlineStr">
        <is>
          <t>Devaluación</t>
        </is>
      </c>
      <c r="B5" s="5" t="n">
        <v>0.05</v>
      </c>
    </row>
    <row r="6" ht="14.25" customHeight="1" s="1">
      <c r="A6" s="4" t="inlineStr">
        <is>
          <t>Inflación</t>
        </is>
      </c>
      <c r="B6" s="5" t="n">
        <v>0.07000000000000001</v>
      </c>
    </row>
    <row r="7" ht="14.25" customHeight="1" s="1">
      <c r="B7" s="6" t="inlineStr">
        <is>
          <t>Año 0</t>
        </is>
      </c>
      <c r="C7" s="6" t="inlineStr">
        <is>
          <t>Año 1</t>
        </is>
      </c>
      <c r="D7" s="6" t="inlineStr">
        <is>
          <t>Año 2</t>
        </is>
      </c>
      <c r="E7" s="6" t="inlineStr">
        <is>
          <t>Año 3</t>
        </is>
      </c>
      <c r="F7" s="6" t="inlineStr">
        <is>
          <t>Año 4</t>
        </is>
      </c>
      <c r="G7" s="6" t="inlineStr">
        <is>
          <t>Año 5</t>
        </is>
      </c>
      <c r="H7" s="6" t="inlineStr">
        <is>
          <t>Año 6</t>
        </is>
      </c>
      <c r="I7" s="6" t="inlineStr">
        <is>
          <t>Año 7</t>
        </is>
      </c>
      <c r="J7" s="6" t="inlineStr">
        <is>
          <t>Año 8</t>
        </is>
      </c>
      <c r="K7" s="6" t="inlineStr">
        <is>
          <t>Año 9</t>
        </is>
      </c>
      <c r="L7" s="6" t="inlineStr">
        <is>
          <t>Año 10</t>
        </is>
      </c>
    </row>
    <row r="8" ht="14.25" customHeight="1" s="1">
      <c r="A8" s="4" t="inlineStr">
        <is>
          <t>Área en producción (Ha)</t>
        </is>
      </c>
      <c r="B8" s="7" t="n"/>
      <c r="C8" s="8" t="n">
        <v>750</v>
      </c>
      <c r="D8" s="8" t="n">
        <v>900</v>
      </c>
      <c r="E8" s="8" t="n">
        <v>900</v>
      </c>
      <c r="F8" s="8" t="n">
        <v>900</v>
      </c>
      <c r="G8" s="8" t="n">
        <v>900</v>
      </c>
      <c r="H8" s="8" t="n">
        <v>900</v>
      </c>
      <c r="I8" s="8" t="n">
        <v>900</v>
      </c>
      <c r="J8" s="8" t="n">
        <v>900</v>
      </c>
      <c r="K8" s="8" t="n">
        <v>900</v>
      </c>
      <c r="L8" s="8" t="n">
        <v>900</v>
      </c>
    </row>
    <row r="9" ht="14.25" customHeight="1" s="1">
      <c r="A9" s="4" t="inlineStr">
        <is>
          <t>Producción neta (Lb/Ha/año)</t>
        </is>
      </c>
      <c r="B9" s="7" t="n"/>
      <c r="C9" s="9">
        <f>1225</f>
        <v/>
      </c>
      <c r="D9" s="9">
        <f>1470</f>
        <v/>
      </c>
      <c r="E9" s="9">
        <f>1715</f>
        <v/>
      </c>
      <c r="F9" s="9">
        <f>1960</f>
        <v/>
      </c>
      <c r="G9" s="9">
        <f>2205</f>
        <v/>
      </c>
      <c r="H9" s="9">
        <f>2205</f>
        <v/>
      </c>
      <c r="I9" s="9">
        <f>2205</f>
        <v/>
      </c>
      <c r="J9" s="9">
        <f>2205</f>
        <v/>
      </c>
      <c r="K9" s="9">
        <f>2205</f>
        <v/>
      </c>
      <c r="L9" s="9">
        <f>2205</f>
        <v/>
      </c>
    </row>
    <row r="10" ht="14.25" customHeight="1" s="1">
      <c r="A10" s="4" t="inlineStr">
        <is>
          <t>Producción neta total (Lb/año)</t>
        </is>
      </c>
      <c r="B10" s="7" t="n"/>
      <c r="C10" s="9">
        <f>C9*C8</f>
        <v/>
      </c>
      <c r="D10" s="9">
        <f>D9*D8</f>
        <v/>
      </c>
      <c r="E10" s="9">
        <f>E9*E8</f>
        <v/>
      </c>
      <c r="F10" s="9">
        <f>F9*F8</f>
        <v/>
      </c>
      <c r="G10" s="9">
        <f>G9*G8</f>
        <v/>
      </c>
      <c r="H10" s="9">
        <f>H9*H8</f>
        <v/>
      </c>
      <c r="I10" s="9">
        <f>I9*I8</f>
        <v/>
      </c>
      <c r="J10" s="9">
        <f>J9*J8</f>
        <v/>
      </c>
      <c r="K10" s="9">
        <f>K9*K8</f>
        <v/>
      </c>
      <c r="L10" s="9">
        <f>L9*L8</f>
        <v/>
      </c>
    </row>
    <row r="11" ht="14.25" customHeight="1" s="1">
      <c r="A11" s="4" t="inlineStr">
        <is>
          <t>Tasa de cambio</t>
        </is>
      </c>
      <c r="B11" s="7" t="n"/>
      <c r="C11" s="10" t="n">
        <v>1</v>
      </c>
      <c r="D11" s="10">
        <f>C11+(C11*$B$5)</f>
        <v/>
      </c>
      <c r="E11" s="10">
        <f>D11+(D11*$B$5)</f>
        <v/>
      </c>
      <c r="F11" s="10">
        <f>E11+(E11*$B$5)</f>
        <v/>
      </c>
      <c r="G11" s="10">
        <f>F11+(F11*$B$5)</f>
        <v/>
      </c>
      <c r="H11" s="10">
        <f>G11+(G11*$B$5)</f>
        <v/>
      </c>
      <c r="I11" s="10">
        <f>H11+(H11*$B$5)</f>
        <v/>
      </c>
      <c r="J11" s="10">
        <f>I11+(I11*$B$5)</f>
        <v/>
      </c>
      <c r="K11" s="10">
        <f>J11+(J11*$B$5)</f>
        <v/>
      </c>
      <c r="L11" s="10">
        <f>K11+(K11*$B$5)</f>
        <v/>
      </c>
    </row>
    <row r="12" ht="14.25" customHeight="1" s="1">
      <c r="A12" s="4" t="inlineStr">
        <is>
          <t>Precio de venta FOB ($/Lb)</t>
        </is>
      </c>
      <c r="B12" s="7" t="n"/>
      <c r="C12" s="11" t="n">
        <v>3</v>
      </c>
      <c r="D12" s="11">
        <f>C12+(C12*$B$6)</f>
        <v/>
      </c>
      <c r="E12" s="11">
        <f>D12+(D12*$B$6)</f>
        <v/>
      </c>
      <c r="F12" s="11">
        <f>E12+(E12*$B$6)</f>
        <v/>
      </c>
      <c r="G12" s="11">
        <f>F12+(F12*$B$6)</f>
        <v/>
      </c>
      <c r="H12" s="11">
        <f>G12+(G12*$B$6)</f>
        <v/>
      </c>
      <c r="I12" s="11">
        <f>H12+(H12*$B$6)</f>
        <v/>
      </c>
      <c r="J12" s="11">
        <f>I12+(I12*$B$6)</f>
        <v/>
      </c>
      <c r="K12" s="11">
        <f>J12+(J12*$B$6)</f>
        <v/>
      </c>
      <c r="L12" s="11">
        <f>K12+(K12*$B$6)</f>
        <v/>
      </c>
    </row>
    <row r="13" ht="14.25" customHeight="1" s="1">
      <c r="A13" s="4" t="inlineStr">
        <is>
          <t>Capital de trabajo</t>
        </is>
      </c>
      <c r="B13" s="12" t="n"/>
      <c r="C13" s="13" t="n">
        <v>450000</v>
      </c>
      <c r="D13" s="13" t="n">
        <v>250000</v>
      </c>
      <c r="E13" s="13" t="n">
        <v>250000</v>
      </c>
      <c r="F13" s="13" t="n">
        <v>250000</v>
      </c>
      <c r="G13" s="13" t="n">
        <v>250000</v>
      </c>
      <c r="H13" s="13" t="n">
        <v>250000</v>
      </c>
      <c r="I13" s="13" t="n">
        <v>0</v>
      </c>
      <c r="J13" s="13" t="n">
        <v>0</v>
      </c>
      <c r="K13" s="13" t="n">
        <v>0</v>
      </c>
      <c r="L13" s="13" t="n">
        <v>0</v>
      </c>
    </row>
    <row r="14" ht="14.25" customHeight="1" s="1">
      <c r="A14" s="4" t="inlineStr">
        <is>
          <t>Costos variables ($1.45 x Lb)</t>
        </is>
      </c>
      <c r="B14" s="12" t="n"/>
      <c r="C14" s="11">
        <f>1.45</f>
        <v/>
      </c>
      <c r="D14" s="11">
        <f>C14+(C14*$B$6)</f>
        <v/>
      </c>
      <c r="E14" s="11">
        <f>D14+(D14*$B$6)</f>
        <v/>
      </c>
      <c r="F14" s="11">
        <f>E14+(E14*$B$6)</f>
        <v/>
      </c>
      <c r="G14" s="11">
        <f>F14+(F14*$B$6)</f>
        <v/>
      </c>
      <c r="H14" s="11">
        <f>G14+(G14*$B$6)</f>
        <v/>
      </c>
      <c r="I14" s="11">
        <f>H14+(H14*$B$6)</f>
        <v/>
      </c>
      <c r="J14" s="11">
        <f>I14+(I14*$B$6)</f>
        <v/>
      </c>
      <c r="K14" s="11">
        <f>J14+(J14*$B$6)</f>
        <v/>
      </c>
      <c r="L14" s="11">
        <f>K14+(K14*$B$6)</f>
        <v/>
      </c>
    </row>
    <row r="15" ht="14.25" customHeight="1" s="1">
      <c r="A15" s="4" t="inlineStr">
        <is>
          <t>Costos variables anuales</t>
        </is>
      </c>
      <c r="B15" s="14" t="n"/>
      <c r="C15" s="15">
        <f>C14*C10</f>
        <v/>
      </c>
      <c r="D15" s="15">
        <f>D14*D10</f>
        <v/>
      </c>
      <c r="E15" s="15">
        <f>E14*E10</f>
        <v/>
      </c>
      <c r="F15" s="15">
        <f>F14*F10</f>
        <v/>
      </c>
      <c r="G15" s="15">
        <f>G14*G10</f>
        <v/>
      </c>
      <c r="H15" s="15">
        <f>H14*H10</f>
        <v/>
      </c>
      <c r="I15" s="15">
        <f>I14*I10</f>
        <v/>
      </c>
      <c r="J15" s="15">
        <f>J14*J10</f>
        <v/>
      </c>
      <c r="K15" s="15">
        <f>K14*K10</f>
        <v/>
      </c>
      <c r="L15" s="15">
        <f>L14*L10</f>
        <v/>
      </c>
    </row>
    <row r="16" ht="14.25" customHeight="1" s="1">
      <c r="A16" s="4" t="inlineStr">
        <is>
          <t>Costos fijos de producción</t>
        </is>
      </c>
      <c r="B16" s="14" t="n"/>
      <c r="C16" s="15" t="n">
        <v>50000</v>
      </c>
      <c r="D16" s="15">
        <f>C16+(C16*$B$6)</f>
        <v/>
      </c>
      <c r="E16" s="15">
        <f>D16+(D16*$B$6)</f>
        <v/>
      </c>
      <c r="F16" s="15">
        <f>E16+(E16*$B$6)</f>
        <v/>
      </c>
      <c r="G16" s="15">
        <f>F16+(F16*$B$6)</f>
        <v/>
      </c>
      <c r="H16" s="15">
        <f>G16+(G16*$B$6)</f>
        <v/>
      </c>
      <c r="I16" s="15">
        <f>H16+(H16*$B$6)</f>
        <v/>
      </c>
      <c r="J16" s="15">
        <f>I16+(I16*$B$6)</f>
        <v/>
      </c>
      <c r="K16" s="15">
        <f>J16+(J16*$B$6)</f>
        <v/>
      </c>
      <c r="L16" s="15">
        <f>K16+(K16*$B$6)</f>
        <v/>
      </c>
    </row>
    <row r="17" ht="14.25" customHeight="1" s="1">
      <c r="A17" s="4" t="inlineStr">
        <is>
          <t>Gastos administrativos</t>
        </is>
      </c>
      <c r="B17" s="14" t="n"/>
      <c r="C17" s="15" t="n">
        <v>200000</v>
      </c>
      <c r="D17" s="15">
        <f>C17+(C17*$B$6)</f>
        <v/>
      </c>
      <c r="E17" s="15">
        <f>D17+(D17*$B$6)</f>
        <v/>
      </c>
      <c r="F17" s="15">
        <f>E17+(E17*$B$6)</f>
        <v/>
      </c>
      <c r="G17" s="15">
        <f>F17+(F17*$B$6)</f>
        <v/>
      </c>
      <c r="H17" s="15">
        <f>G17+(G17*$B$6)</f>
        <v/>
      </c>
      <c r="I17" s="15">
        <f>H17+(H17*$B$6)</f>
        <v/>
      </c>
      <c r="J17" s="15">
        <f>I17+(I17*$B$6)</f>
        <v/>
      </c>
      <c r="K17" s="15">
        <f>J17+(J17*$B$6)</f>
        <v/>
      </c>
      <c r="L17" s="15">
        <f>K17+(K17*$B$6)</f>
        <v/>
      </c>
    </row>
    <row r="18" ht="14.25" customHeight="1" s="1">
      <c r="K18" s="16" t="n"/>
    </row>
    <row r="19" ht="14.25" customHeight="1" s="1">
      <c r="A19" s="4" t="inlineStr">
        <is>
          <t>Valor residual del terreno</t>
        </is>
      </c>
      <c r="B19" s="17" t="n">
        <v>1250000</v>
      </c>
      <c r="K19" s="16" t="n"/>
    </row>
    <row r="20" ht="14.25" customHeight="1" s="1">
      <c r="A20" s="4" t="inlineStr">
        <is>
          <t>Valor residual de estanques y canales</t>
        </is>
      </c>
      <c r="B20" s="17" t="n">
        <v>1000000</v>
      </c>
      <c r="K20" s="16" t="n"/>
    </row>
    <row r="21" ht="14.25" customHeight="1" s="1">
      <c r="A21" s="4" t="inlineStr">
        <is>
          <t>Valor residual de edificios</t>
        </is>
      </c>
      <c r="B21" s="18" t="n">
        <v>50000</v>
      </c>
      <c r="K21" s="16" t="n"/>
    </row>
    <row r="22" ht="14.25" customHeight="1" s="1">
      <c r="A22" s="4" t="inlineStr">
        <is>
          <t>Tasa de fiananciamiento bancario</t>
        </is>
      </c>
      <c r="B22" s="5" t="n">
        <v>0.1</v>
      </c>
    </row>
    <row r="23" ht="14.25" customHeight="1" s="1">
      <c r="A23" s="4" t="inlineStr">
        <is>
          <t>Plazo del financiamiento bancario (años)</t>
        </is>
      </c>
      <c r="B23" s="19" t="n">
        <v>7</v>
      </c>
    </row>
    <row r="24" ht="14.25" customHeight="1" s="1">
      <c r="A24" s="4" t="inlineStr">
        <is>
          <t>Plazo del financiamiento bancario (valor)</t>
        </is>
      </c>
      <c r="B24" s="20">
        <f>5400000*0.5</f>
        <v/>
      </c>
    </row>
    <row r="25" ht="14.25" customHeight="1" s="1">
      <c r="A25" s="4" t="inlineStr">
        <is>
          <t>Tasa de corte</t>
        </is>
      </c>
      <c r="B25" s="5" t="n">
        <v>0.19</v>
      </c>
    </row>
    <row r="26" ht="14.25" customHeight="1" s="1">
      <c r="A26" s="4" t="inlineStr">
        <is>
          <t>Tasa de ISR</t>
        </is>
      </c>
      <c r="B26" s="5" t="n">
        <v>0.3</v>
      </c>
    </row>
    <row r="27" ht="14.25" customHeight="1" s="1">
      <c r="B27" s="21" t="n"/>
    </row>
    <row r="28" ht="14.25" customHeight="1" s="1">
      <c r="A28" s="22" t="inlineStr">
        <is>
          <t>1. Ingresos del proyecto</t>
        </is>
      </c>
      <c r="B28" s="21" t="n"/>
    </row>
    <row r="29" ht="15.75" customHeight="1" s="1">
      <c r="A29" s="23" t="inlineStr">
        <is>
          <t>Calendario de ingresos (venta del producto)</t>
        </is>
      </c>
      <c r="B29" s="24" t="n"/>
    </row>
    <row r="30" ht="14.25" customHeight="1" s="1">
      <c r="A30" s="161" t="inlineStr">
        <is>
          <t>Concepto</t>
        </is>
      </c>
      <c r="B30" s="26" t="inlineStr">
        <is>
          <t>Año 0</t>
        </is>
      </c>
      <c r="C30" s="26" t="inlineStr">
        <is>
          <t>Año 1</t>
        </is>
      </c>
      <c r="D30" s="26" t="inlineStr">
        <is>
          <t>Año 2</t>
        </is>
      </c>
      <c r="E30" s="26" t="inlineStr">
        <is>
          <t>Año 3</t>
        </is>
      </c>
      <c r="F30" s="26" t="inlineStr">
        <is>
          <t>Año 4</t>
        </is>
      </c>
      <c r="G30" s="26" t="inlineStr">
        <is>
          <t>Año 5</t>
        </is>
      </c>
      <c r="H30" s="26" t="inlineStr">
        <is>
          <t>Año 6</t>
        </is>
      </c>
      <c r="I30" s="26" t="inlineStr">
        <is>
          <t>Año 7</t>
        </is>
      </c>
      <c r="J30" s="26" t="inlineStr">
        <is>
          <t>Año 8</t>
        </is>
      </c>
      <c r="K30" s="26" t="inlineStr">
        <is>
          <t>Año 9</t>
        </is>
      </c>
      <c r="L30" s="27" t="inlineStr">
        <is>
          <t>Año 10</t>
        </is>
      </c>
    </row>
    <row r="31" ht="14.25" customHeight="1" s="1">
      <c r="A31" s="28" t="inlineStr">
        <is>
          <t>Cantidad de camarón (Lb)</t>
        </is>
      </c>
      <c r="B31" s="29" t="n"/>
      <c r="C31" s="30">
        <f>C10</f>
        <v/>
      </c>
      <c r="D31" s="30">
        <f>D10</f>
        <v/>
      </c>
      <c r="E31" s="30">
        <f>E10</f>
        <v/>
      </c>
      <c r="F31" s="30">
        <f>F10</f>
        <v/>
      </c>
      <c r="G31" s="30">
        <f>G10</f>
        <v/>
      </c>
      <c r="H31" s="30">
        <f>H10</f>
        <v/>
      </c>
      <c r="I31" s="30">
        <f>I10</f>
        <v/>
      </c>
      <c r="J31" s="30">
        <f>J10</f>
        <v/>
      </c>
      <c r="K31" s="30">
        <f>K10</f>
        <v/>
      </c>
      <c r="L31" s="31">
        <f>L10</f>
        <v/>
      </c>
    </row>
    <row r="32" ht="14.25" customHeight="1" s="1">
      <c r="A32" s="28" t="inlineStr">
        <is>
          <t>Precio unitario de venta ($/Lb)</t>
        </is>
      </c>
      <c r="B32" s="29" t="n"/>
      <c r="C32" s="32">
        <f>C12</f>
        <v/>
      </c>
      <c r="D32" s="32">
        <f>D12</f>
        <v/>
      </c>
      <c r="E32" s="32">
        <f>E12</f>
        <v/>
      </c>
      <c r="F32" s="32">
        <f>F12</f>
        <v/>
      </c>
      <c r="G32" s="32">
        <f>G12</f>
        <v/>
      </c>
      <c r="H32" s="32">
        <f>H12</f>
        <v/>
      </c>
      <c r="I32" s="32">
        <f>I12</f>
        <v/>
      </c>
      <c r="J32" s="32">
        <f>J12</f>
        <v/>
      </c>
      <c r="K32" s="32">
        <f>K12</f>
        <v/>
      </c>
      <c r="L32" s="33">
        <f>L12</f>
        <v/>
      </c>
    </row>
    <row r="33" ht="15.75" customHeight="1" s="1">
      <c r="A33" s="34" t="inlineStr">
        <is>
          <t>Ingresos</t>
        </is>
      </c>
      <c r="B33" s="35" t="n"/>
      <c r="C33" s="36">
        <f>C32*C31</f>
        <v/>
      </c>
      <c r="D33" s="36">
        <f>D32*D31</f>
        <v/>
      </c>
      <c r="E33" s="36">
        <f>E32*E31</f>
        <v/>
      </c>
      <c r="F33" s="36">
        <f>F32*F31</f>
        <v/>
      </c>
      <c r="G33" s="36">
        <f>G32*G31</f>
        <v/>
      </c>
      <c r="H33" s="36">
        <f>H32*H31</f>
        <v/>
      </c>
      <c r="I33" s="36">
        <f>I32*I31</f>
        <v/>
      </c>
      <c r="J33" s="36">
        <f>J32*J31</f>
        <v/>
      </c>
      <c r="K33" s="36">
        <f>K32*K31</f>
        <v/>
      </c>
      <c r="L33" s="37">
        <f>L32*L31</f>
        <v/>
      </c>
    </row>
    <row r="34" ht="14.25" customHeight="1" s="1">
      <c r="B34" s="21" t="n"/>
    </row>
    <row r="35" ht="14.25" customHeight="1" s="1">
      <c r="A35" s="22" t="inlineStr">
        <is>
          <t>2. Costos variables</t>
        </is>
      </c>
      <c r="B35" s="24" t="n"/>
    </row>
    <row r="36" ht="15.75" customHeight="1" s="1">
      <c r="A36" s="23" t="inlineStr">
        <is>
          <t>Calendario de costos variables</t>
        </is>
      </c>
      <c r="B36" s="24" t="n"/>
    </row>
    <row r="37" ht="14.25" customHeight="1" s="1">
      <c r="A37" s="161" t="inlineStr">
        <is>
          <t>Concepto</t>
        </is>
      </c>
      <c r="B37" s="26" t="inlineStr">
        <is>
          <t>Año 0</t>
        </is>
      </c>
      <c r="C37" s="26" t="inlineStr">
        <is>
          <t>Año 1</t>
        </is>
      </c>
      <c r="D37" s="26" t="inlineStr">
        <is>
          <t>Año 2</t>
        </is>
      </c>
      <c r="E37" s="26" t="inlineStr">
        <is>
          <t>Año 3</t>
        </is>
      </c>
      <c r="F37" s="26" t="inlineStr">
        <is>
          <t>Año 4</t>
        </is>
      </c>
      <c r="G37" s="26" t="inlineStr">
        <is>
          <t>Año 5</t>
        </is>
      </c>
      <c r="H37" s="26" t="inlineStr">
        <is>
          <t>Año 6</t>
        </is>
      </c>
      <c r="I37" s="26" t="inlineStr">
        <is>
          <t>Año 7</t>
        </is>
      </c>
      <c r="J37" s="26" t="inlineStr">
        <is>
          <t>Año 8</t>
        </is>
      </c>
      <c r="K37" s="26" t="inlineStr">
        <is>
          <t>Año 9</t>
        </is>
      </c>
      <c r="L37" s="27" t="inlineStr">
        <is>
          <t>Año 10</t>
        </is>
      </c>
    </row>
    <row r="38" ht="14.25" customHeight="1" s="1">
      <c r="A38" s="28" t="inlineStr">
        <is>
          <t>Costos variables</t>
        </is>
      </c>
      <c r="B38" s="29" t="n"/>
      <c r="C38" s="38">
        <f>C15</f>
        <v/>
      </c>
      <c r="D38" s="38">
        <f>D15</f>
        <v/>
      </c>
      <c r="E38" s="38">
        <f>E15</f>
        <v/>
      </c>
      <c r="F38" s="38">
        <f>F15</f>
        <v/>
      </c>
      <c r="G38" s="38">
        <f>G15</f>
        <v/>
      </c>
      <c r="H38" s="38">
        <f>H15</f>
        <v/>
      </c>
      <c r="I38" s="38">
        <f>I15</f>
        <v/>
      </c>
      <c r="J38" s="38">
        <f>J15</f>
        <v/>
      </c>
      <c r="K38" s="38">
        <f>K15</f>
        <v/>
      </c>
      <c r="L38" s="39">
        <f>L15</f>
        <v/>
      </c>
    </row>
    <row r="39" ht="15.75" customHeight="1" s="1">
      <c r="A39" s="40" t="inlineStr">
        <is>
          <t>Total de costos variables</t>
        </is>
      </c>
      <c r="B39" s="41" t="n"/>
      <c r="C39" s="36">
        <f>C38</f>
        <v/>
      </c>
      <c r="D39" s="36">
        <f>D38</f>
        <v/>
      </c>
      <c r="E39" s="36">
        <f>E38</f>
        <v/>
      </c>
      <c r="F39" s="36">
        <f>F38</f>
        <v/>
      </c>
      <c r="G39" s="36">
        <f>G38</f>
        <v/>
      </c>
      <c r="H39" s="36">
        <f>H38</f>
        <v/>
      </c>
      <c r="I39" s="36">
        <f>I38</f>
        <v/>
      </c>
      <c r="J39" s="36">
        <f>J38</f>
        <v/>
      </c>
      <c r="K39" s="36">
        <f>K38</f>
        <v/>
      </c>
      <c r="L39" s="37">
        <f>L38</f>
        <v/>
      </c>
    </row>
    <row r="40" ht="14.25" customHeight="1" s="1">
      <c r="B40" s="21" t="n"/>
    </row>
    <row r="41" ht="14.25" customHeight="1" s="1">
      <c r="A41" s="22" t="inlineStr">
        <is>
          <t xml:space="preserve">3. Costos  fijos </t>
        </is>
      </c>
      <c r="B41" s="24" t="n"/>
    </row>
    <row r="42" ht="15.75" customHeight="1" s="1">
      <c r="A42" s="23" t="inlineStr">
        <is>
          <t>Calendario de los costos fijos</t>
        </is>
      </c>
      <c r="B42" s="24" t="n"/>
    </row>
    <row r="43" ht="14.25" customHeight="1" s="1">
      <c r="A43" s="161" t="inlineStr">
        <is>
          <t>Concepto</t>
        </is>
      </c>
      <c r="B43" s="26" t="inlineStr">
        <is>
          <t>Año 0</t>
        </is>
      </c>
      <c r="C43" s="26" t="inlineStr">
        <is>
          <t>Año 1</t>
        </is>
      </c>
      <c r="D43" s="26" t="inlineStr">
        <is>
          <t>Año 2</t>
        </is>
      </c>
      <c r="E43" s="26" t="inlineStr">
        <is>
          <t>Año 3</t>
        </is>
      </c>
      <c r="F43" s="26" t="inlineStr">
        <is>
          <t>Año 4</t>
        </is>
      </c>
      <c r="G43" s="26" t="inlineStr">
        <is>
          <t>Año 5</t>
        </is>
      </c>
      <c r="H43" s="26" t="inlineStr">
        <is>
          <t>Año 6</t>
        </is>
      </c>
      <c r="I43" s="26" t="inlineStr">
        <is>
          <t>Año 7</t>
        </is>
      </c>
      <c r="J43" s="26" t="inlineStr">
        <is>
          <t>Año 8</t>
        </is>
      </c>
      <c r="K43" s="26" t="inlineStr">
        <is>
          <t>Año 9</t>
        </is>
      </c>
      <c r="L43" s="27" t="inlineStr">
        <is>
          <t>Año 10</t>
        </is>
      </c>
    </row>
    <row r="44" ht="14.25" customHeight="1" s="1">
      <c r="A44" s="28" t="inlineStr">
        <is>
          <t>Costos fijos de producción</t>
        </is>
      </c>
      <c r="B44" s="29" t="n"/>
      <c r="C44" s="38">
        <f>C16</f>
        <v/>
      </c>
      <c r="D44" s="38">
        <f>D16</f>
        <v/>
      </c>
      <c r="E44" s="38">
        <f>E16</f>
        <v/>
      </c>
      <c r="F44" s="38">
        <f>F16</f>
        <v/>
      </c>
      <c r="G44" s="38">
        <f>G16</f>
        <v/>
      </c>
      <c r="H44" s="38">
        <f>H16</f>
        <v/>
      </c>
      <c r="I44" s="38">
        <f>I16</f>
        <v/>
      </c>
      <c r="J44" s="38">
        <f>J16</f>
        <v/>
      </c>
      <c r="K44" s="38">
        <f>K16</f>
        <v/>
      </c>
      <c r="L44" s="39">
        <f>L16</f>
        <v/>
      </c>
    </row>
    <row r="45" ht="14.25" customHeight="1" s="1">
      <c r="A45" s="28" t="inlineStr">
        <is>
          <t>Gastos administrativos</t>
        </is>
      </c>
      <c r="B45" s="29" t="n"/>
      <c r="C45" s="38">
        <f>C17</f>
        <v/>
      </c>
      <c r="D45" s="38">
        <f>D17</f>
        <v/>
      </c>
      <c r="E45" s="38">
        <f>E17</f>
        <v/>
      </c>
      <c r="F45" s="38">
        <f>F17</f>
        <v/>
      </c>
      <c r="G45" s="38">
        <f>G17</f>
        <v/>
      </c>
      <c r="H45" s="38">
        <f>H17</f>
        <v/>
      </c>
      <c r="I45" s="38">
        <f>I17</f>
        <v/>
      </c>
      <c r="J45" s="38">
        <f>J17</f>
        <v/>
      </c>
      <c r="K45" s="38">
        <f>K17</f>
        <v/>
      </c>
      <c r="L45" s="39">
        <f>L17</f>
        <v/>
      </c>
    </row>
    <row r="46" ht="15.75" customHeight="1" s="1">
      <c r="A46" s="40" t="inlineStr">
        <is>
          <t>Total de costos fijos</t>
        </is>
      </c>
      <c r="B46" s="41" t="n"/>
      <c r="C46" s="36">
        <f>SUM(C44:C45)</f>
        <v/>
      </c>
      <c r="D46" s="36">
        <f>SUM(D44:D45)</f>
        <v/>
      </c>
      <c r="E46" s="36">
        <f>SUM(E44:E45)</f>
        <v/>
      </c>
      <c r="F46" s="36">
        <f>SUM(F44:F45)</f>
        <v/>
      </c>
      <c r="G46" s="36">
        <f>SUM(G44:G45)</f>
        <v/>
      </c>
      <c r="H46" s="36">
        <f>SUM(H44:H45)</f>
        <v/>
      </c>
      <c r="I46" s="36">
        <f>SUM(I44:I45)</f>
        <v/>
      </c>
      <c r="J46" s="36">
        <f>SUM(J44:J45)</f>
        <v/>
      </c>
      <c r="K46" s="36">
        <f>SUM(K44:K45)</f>
        <v/>
      </c>
      <c r="L46" s="37">
        <f>SUM(L44:L45)</f>
        <v/>
      </c>
    </row>
    <row r="47" ht="14.25" customHeight="1" s="1">
      <c r="B47" s="21" t="n"/>
    </row>
    <row r="48" ht="14.25" customHeight="1" s="1">
      <c r="A48" s="22" t="inlineStr">
        <is>
          <t>4. Capital de trabajo</t>
        </is>
      </c>
      <c r="B48" s="42" t="n"/>
      <c r="C48" s="43" t="n"/>
      <c r="D48" s="43" t="n"/>
      <c r="E48" s="43" t="n"/>
      <c r="F48" s="43" t="n"/>
      <c r="G48" s="43" t="n"/>
      <c r="H48" s="43" t="n"/>
    </row>
    <row r="49" ht="14.25" customHeight="1" s="1">
      <c r="A49" s="44" t="inlineStr">
        <is>
          <t>Capital de trabajo</t>
        </is>
      </c>
      <c r="B49" s="42" t="n"/>
      <c r="C49" s="43" t="n"/>
      <c r="D49" s="43" t="n"/>
      <c r="E49" s="43" t="n"/>
      <c r="F49" s="43" t="n"/>
      <c r="G49" s="43" t="n"/>
      <c r="H49" s="43" t="n"/>
    </row>
    <row r="50" ht="15.75" customHeight="1" s="1">
      <c r="A50" s="160" t="inlineStr">
        <is>
          <t>Necesidad de Efectivo</t>
        </is>
      </c>
    </row>
    <row r="51" ht="14.25" customHeight="1" s="1">
      <c r="A51" s="161" t="inlineStr">
        <is>
          <t>Concepto</t>
        </is>
      </c>
      <c r="B51" s="26" t="inlineStr">
        <is>
          <t>Año 0</t>
        </is>
      </c>
      <c r="C51" s="26" t="inlineStr">
        <is>
          <t>Año 1</t>
        </is>
      </c>
      <c r="D51" s="26" t="inlineStr">
        <is>
          <t>Año 2</t>
        </is>
      </c>
      <c r="E51" s="26" t="inlineStr">
        <is>
          <t>Año 3</t>
        </is>
      </c>
      <c r="F51" s="26" t="inlineStr">
        <is>
          <t>Año 4</t>
        </is>
      </c>
      <c r="G51" s="26" t="inlineStr">
        <is>
          <t>Año 5</t>
        </is>
      </c>
      <c r="H51" s="26" t="inlineStr">
        <is>
          <t>Año 6</t>
        </is>
      </c>
      <c r="I51" s="26" t="inlineStr">
        <is>
          <t>Año 7</t>
        </is>
      </c>
      <c r="J51" s="26" t="inlineStr">
        <is>
          <t>Año 8</t>
        </is>
      </c>
      <c r="K51" s="26" t="inlineStr">
        <is>
          <t>Año 9</t>
        </is>
      </c>
      <c r="L51" s="27" t="inlineStr">
        <is>
          <t>Año 10</t>
        </is>
      </c>
    </row>
    <row r="52" ht="14.25" customHeight="1" s="1">
      <c r="A52" s="28" t="inlineStr">
        <is>
          <t>Capital de trabajo</t>
        </is>
      </c>
      <c r="B52" s="45" t="n"/>
      <c r="C52" s="38">
        <f>C13+B52</f>
        <v/>
      </c>
      <c r="D52" s="38">
        <f>D13+C52</f>
        <v/>
      </c>
      <c r="E52" s="38">
        <f>E13+D52</f>
        <v/>
      </c>
      <c r="F52" s="38">
        <f>F13+E52</f>
        <v/>
      </c>
      <c r="G52" s="38">
        <f>G13+F52</f>
        <v/>
      </c>
      <c r="H52" s="38">
        <f>H13+G52</f>
        <v/>
      </c>
      <c r="I52" s="38">
        <f>I13+H52</f>
        <v/>
      </c>
      <c r="J52" s="38">
        <f>J13+I52</f>
        <v/>
      </c>
      <c r="K52" s="38">
        <f>K13+J52</f>
        <v/>
      </c>
      <c r="L52" s="38">
        <f>L13+K52</f>
        <v/>
      </c>
    </row>
    <row r="53" ht="15.75" customHeight="1" s="1">
      <c r="A53" s="34" t="inlineStr">
        <is>
          <t>Efectivo requerido en caja</t>
        </is>
      </c>
      <c r="B53" s="46" t="n"/>
      <c r="C53" s="36">
        <f>SUM(C52:C52)</f>
        <v/>
      </c>
      <c r="D53" s="36">
        <f>SUM(D52:D52)</f>
        <v/>
      </c>
      <c r="E53" s="36">
        <f>SUM(E52:E52)</f>
        <v/>
      </c>
      <c r="F53" s="36">
        <f>SUM(F52:F52)</f>
        <v/>
      </c>
      <c r="G53" s="36">
        <f>SUM(G52:G52)</f>
        <v/>
      </c>
      <c r="H53" s="36">
        <f>SUM(H52:H52)</f>
        <v/>
      </c>
      <c r="I53" s="36">
        <f>SUM(I52:I52)</f>
        <v/>
      </c>
      <c r="J53" s="36">
        <f>SUM(J52:J52)</f>
        <v/>
      </c>
      <c r="K53" s="36">
        <f>SUM(K52:K52)</f>
        <v/>
      </c>
      <c r="L53" s="37">
        <f>SUM(L52:L52)</f>
        <v/>
      </c>
    </row>
    <row r="54" ht="14.25" customHeight="1" s="1">
      <c r="A54" s="43" t="n"/>
      <c r="B54" s="42" t="n"/>
      <c r="C54" s="43" t="n"/>
      <c r="D54" s="43" t="n"/>
      <c r="E54" s="43" t="n"/>
      <c r="F54" s="43" t="n"/>
      <c r="G54" s="43" t="n"/>
      <c r="H54" s="43" t="n"/>
    </row>
    <row r="55" ht="15.75" customHeight="1" s="1">
      <c r="A55" s="160" t="inlineStr">
        <is>
          <t>Cálculo del Capital de Trabajo</t>
        </is>
      </c>
    </row>
    <row r="56" ht="14.25" customHeight="1" s="1">
      <c r="A56" s="161" t="inlineStr">
        <is>
          <t>Concepto</t>
        </is>
      </c>
      <c r="B56" s="26" t="inlineStr">
        <is>
          <t>Cobertura</t>
        </is>
      </c>
      <c r="C56" s="26" t="inlineStr">
        <is>
          <t>Año 1</t>
        </is>
      </c>
      <c r="D56" s="26" t="inlineStr">
        <is>
          <t>Año 2</t>
        </is>
      </c>
      <c r="E56" s="26" t="inlineStr">
        <is>
          <t>Año 3</t>
        </is>
      </c>
      <c r="F56" s="26" t="inlineStr">
        <is>
          <t>Año 4</t>
        </is>
      </c>
      <c r="G56" s="26" t="inlineStr">
        <is>
          <t>Año 5</t>
        </is>
      </c>
      <c r="H56" s="26" t="inlineStr">
        <is>
          <t>Año 6</t>
        </is>
      </c>
      <c r="I56" s="26" t="inlineStr">
        <is>
          <t>Año 7</t>
        </is>
      </c>
      <c r="J56" s="26" t="inlineStr">
        <is>
          <t>Año 8</t>
        </is>
      </c>
      <c r="K56" s="26" t="inlineStr">
        <is>
          <t>Año 9</t>
        </is>
      </c>
      <c r="L56" s="27" t="inlineStr">
        <is>
          <t>Año 10</t>
        </is>
      </c>
    </row>
    <row r="57" ht="14.25" customHeight="1" s="1">
      <c r="A57" s="47" t="inlineStr">
        <is>
          <t>Activo circulante</t>
        </is>
      </c>
      <c r="B57" s="48" t="n"/>
      <c r="C57" s="49">
        <f>C58</f>
        <v/>
      </c>
      <c r="D57" s="49">
        <f>D58</f>
        <v/>
      </c>
      <c r="E57" s="49">
        <f>E58</f>
        <v/>
      </c>
      <c r="F57" s="49">
        <f>F58</f>
        <v/>
      </c>
      <c r="G57" s="49">
        <f>G58</f>
        <v/>
      </c>
      <c r="H57" s="49">
        <f>H58</f>
        <v/>
      </c>
      <c r="I57" s="49">
        <f>I58</f>
        <v/>
      </c>
      <c r="J57" s="49">
        <f>J58</f>
        <v/>
      </c>
      <c r="K57" s="49">
        <f>K58</f>
        <v/>
      </c>
      <c r="L57" s="50">
        <f>L58</f>
        <v/>
      </c>
    </row>
    <row r="58" ht="14.25" customHeight="1" s="1">
      <c r="A58" s="28" t="inlineStr">
        <is>
          <t xml:space="preserve">     Efectivo </t>
        </is>
      </c>
      <c r="B58" s="45" t="n"/>
      <c r="C58" s="38">
        <f>C53</f>
        <v/>
      </c>
      <c r="D58" s="38">
        <f>D53</f>
        <v/>
      </c>
      <c r="E58" s="38">
        <f>E53</f>
        <v/>
      </c>
      <c r="F58" s="38">
        <f>F53</f>
        <v/>
      </c>
      <c r="G58" s="38">
        <f>G53</f>
        <v/>
      </c>
      <c r="H58" s="38">
        <f>H53</f>
        <v/>
      </c>
      <c r="I58" s="38">
        <f>I53</f>
        <v/>
      </c>
      <c r="J58" s="38">
        <f>J53</f>
        <v/>
      </c>
      <c r="K58" s="38">
        <f>K53</f>
        <v/>
      </c>
      <c r="L58" s="39">
        <f>L53</f>
        <v/>
      </c>
    </row>
    <row r="59" ht="14.25" customHeight="1" s="1">
      <c r="A59" s="47" t="inlineStr">
        <is>
          <t>Pasivo circulante</t>
        </is>
      </c>
      <c r="B59" s="48" t="n"/>
      <c r="C59" s="49">
        <f>SUM(C60:C61)</f>
        <v/>
      </c>
      <c r="D59" s="49">
        <f>SUM(D60:D61)</f>
        <v/>
      </c>
      <c r="E59" s="49">
        <f>SUM(E60:E61)</f>
        <v/>
      </c>
      <c r="F59" s="49">
        <f>SUM(F60:F61)</f>
        <v/>
      </c>
      <c r="G59" s="49">
        <f>SUM(G60:G61)</f>
        <v/>
      </c>
      <c r="H59" s="49">
        <f>SUM(H60:H61)</f>
        <v/>
      </c>
      <c r="I59" s="49">
        <f>SUM(I60:I61)</f>
        <v/>
      </c>
      <c r="J59" s="49">
        <f>SUM(J60:J61)</f>
        <v/>
      </c>
      <c r="K59" s="49">
        <f>SUM(K60:K61)</f>
        <v/>
      </c>
      <c r="L59" s="50">
        <f>SUM(L60:L61)</f>
        <v/>
      </c>
    </row>
    <row r="60" ht="14.25" customHeight="1" s="1">
      <c r="A60" s="28" t="inlineStr">
        <is>
          <t xml:space="preserve">     Cuentas por pagar</t>
        </is>
      </c>
      <c r="B60" s="45" t="n"/>
      <c r="C60" s="38" t="n">
        <v>0</v>
      </c>
      <c r="D60" s="38" t="n">
        <v>0</v>
      </c>
      <c r="E60" s="38" t="n">
        <v>0</v>
      </c>
      <c r="F60" s="38" t="n">
        <v>0</v>
      </c>
      <c r="G60" s="38" t="n">
        <v>0</v>
      </c>
      <c r="H60" s="38" t="n">
        <v>0</v>
      </c>
      <c r="I60" s="38" t="n">
        <v>0</v>
      </c>
      <c r="J60" s="38" t="n">
        <v>0</v>
      </c>
      <c r="K60" s="38" t="n">
        <v>0</v>
      </c>
      <c r="L60" s="39" t="n">
        <v>0</v>
      </c>
    </row>
    <row r="61" ht="14.25" customHeight="1" s="1">
      <c r="A61" s="28" t="inlineStr">
        <is>
          <t xml:space="preserve">     Proveedores</t>
        </is>
      </c>
      <c r="B61" s="45" t="n"/>
      <c r="C61" s="38" t="n">
        <v>0</v>
      </c>
      <c r="D61" s="38" t="n">
        <v>0</v>
      </c>
      <c r="E61" s="38" t="n">
        <v>0</v>
      </c>
      <c r="F61" s="38" t="n">
        <v>0</v>
      </c>
      <c r="G61" s="38" t="n">
        <v>0</v>
      </c>
      <c r="H61" s="38" t="n">
        <v>0</v>
      </c>
      <c r="I61" s="38" t="n">
        <v>0</v>
      </c>
      <c r="J61" s="38" t="n">
        <v>0</v>
      </c>
      <c r="K61" s="38" t="n">
        <v>0</v>
      </c>
      <c r="L61" s="39" t="n">
        <v>0</v>
      </c>
    </row>
    <row r="62" ht="14.25" customHeight="1" s="1">
      <c r="A62" s="51" t="inlineStr">
        <is>
          <t>Capital de Trabajo (Ac - Pc)</t>
        </is>
      </c>
      <c r="B62" s="52" t="n"/>
      <c r="C62" s="53">
        <f>C57-C59</f>
        <v/>
      </c>
      <c r="D62" s="53">
        <f>D57-D59</f>
        <v/>
      </c>
      <c r="E62" s="53">
        <f>E57-E59</f>
        <v/>
      </c>
      <c r="F62" s="53">
        <f>F57-F59</f>
        <v/>
      </c>
      <c r="G62" s="53">
        <f>G57-G59</f>
        <v/>
      </c>
      <c r="H62" s="53">
        <f>H57-H59</f>
        <v/>
      </c>
      <c r="I62" s="53">
        <f>I57-I59</f>
        <v/>
      </c>
      <c r="J62" s="53">
        <f>J57-J59</f>
        <v/>
      </c>
      <c r="K62" s="53">
        <f>K57-K59</f>
        <v/>
      </c>
      <c r="L62" s="54">
        <f>L57-L59</f>
        <v/>
      </c>
    </row>
    <row r="63" ht="15.75" customHeight="1" s="1">
      <c r="A63" s="34" t="inlineStr">
        <is>
          <t>Incremento Capital Trabajo</t>
        </is>
      </c>
      <c r="B63" s="36">
        <f>C62-B62</f>
        <v/>
      </c>
      <c r="C63" s="36">
        <f>D62-C62</f>
        <v/>
      </c>
      <c r="D63" s="36">
        <f>E62-D62</f>
        <v/>
      </c>
      <c r="E63" s="36">
        <f>F62-E62</f>
        <v/>
      </c>
      <c r="F63" s="36">
        <f>G62-F62</f>
        <v/>
      </c>
      <c r="G63" s="36">
        <f>H62-G62</f>
        <v/>
      </c>
      <c r="H63" s="36">
        <f>I62-H62</f>
        <v/>
      </c>
      <c r="I63" s="36">
        <f>J62-I62</f>
        <v/>
      </c>
      <c r="J63" s="36">
        <f>K62-J62</f>
        <v/>
      </c>
      <c r="K63" s="36">
        <f>L62-K62</f>
        <v/>
      </c>
      <c r="L63" s="37">
        <f>M62-L62</f>
        <v/>
      </c>
    </row>
    <row r="64" ht="14.25" customHeight="1" s="1">
      <c r="B64" s="24" t="n"/>
    </row>
    <row r="65" ht="14.25" customHeight="1" s="1">
      <c r="A65" s="22" t="inlineStr">
        <is>
          <t>5. Inversiones</t>
        </is>
      </c>
      <c r="B65" s="24" t="n"/>
    </row>
    <row r="66" ht="15.75" customHeight="1" s="1">
      <c r="A66" s="23" t="inlineStr">
        <is>
          <t>Calendario de inversiones</t>
        </is>
      </c>
      <c r="B66" s="24" t="n"/>
    </row>
    <row r="67" ht="14.25" customHeight="1" s="1">
      <c r="A67" s="161" t="inlineStr">
        <is>
          <t>Concepto</t>
        </is>
      </c>
      <c r="B67" s="26" t="inlineStr">
        <is>
          <t>Año 0</t>
        </is>
      </c>
      <c r="C67" s="26" t="inlineStr">
        <is>
          <t>Año 1</t>
        </is>
      </c>
      <c r="D67" s="26" t="inlineStr">
        <is>
          <t>Año 2</t>
        </is>
      </c>
      <c r="E67" s="26" t="inlineStr">
        <is>
          <t>Año 3</t>
        </is>
      </c>
      <c r="F67" s="26" t="inlineStr">
        <is>
          <t>Año 4</t>
        </is>
      </c>
      <c r="G67" s="26" t="inlineStr">
        <is>
          <t>Año 5</t>
        </is>
      </c>
      <c r="H67" s="26" t="inlineStr">
        <is>
          <t>Año 6</t>
        </is>
      </c>
      <c r="I67" s="26" t="inlineStr">
        <is>
          <t>Año 7</t>
        </is>
      </c>
      <c r="J67" s="26" t="inlineStr">
        <is>
          <t>Año 8</t>
        </is>
      </c>
      <c r="K67" s="26" t="inlineStr">
        <is>
          <t>Año 9</t>
        </is>
      </c>
      <c r="L67" s="27" t="inlineStr">
        <is>
          <t>Año 10</t>
        </is>
      </c>
    </row>
    <row r="68" ht="14.25" customHeight="1" s="1">
      <c r="A68" s="47" t="inlineStr">
        <is>
          <t>Activos Fijos</t>
        </is>
      </c>
      <c r="B68" s="55" t="n"/>
      <c r="C68" s="55" t="n"/>
      <c r="D68" s="55" t="n"/>
      <c r="E68" s="55" t="n"/>
      <c r="F68" s="55" t="n"/>
      <c r="G68" s="55" t="n"/>
      <c r="H68" s="55" t="n"/>
      <c r="I68" s="55" t="n"/>
      <c r="J68" s="55" t="n"/>
      <c r="K68" s="55" t="n"/>
      <c r="L68" s="56" t="n"/>
    </row>
    <row r="69" ht="14.25" customHeight="1" s="1">
      <c r="A69" s="28" t="inlineStr">
        <is>
          <t xml:space="preserve">   Inversiones a 20 años</t>
        </is>
      </c>
      <c r="B69" s="57" t="n">
        <v>100000</v>
      </c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6" t="n"/>
    </row>
    <row r="70" ht="14.25" customHeight="1" s="1">
      <c r="A70" s="28" t="inlineStr">
        <is>
          <t xml:space="preserve">  Inversiones a 10 años</t>
        </is>
      </c>
      <c r="B70" s="57">
        <f>3000000+200000+450000+50000</f>
        <v/>
      </c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6" t="n"/>
    </row>
    <row r="71" ht="14.25" customHeight="1" s="1">
      <c r="A71" s="28" t="inlineStr">
        <is>
          <t xml:space="preserve">  Inversiones a 5 años</t>
        </is>
      </c>
      <c r="B71" s="57">
        <f>300000+100000</f>
        <v/>
      </c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6" t="n"/>
    </row>
    <row r="72" ht="14.25" customHeight="1" s="1">
      <c r="A72" s="28" t="inlineStr">
        <is>
          <t xml:space="preserve">  Inversion terrenos</t>
        </is>
      </c>
      <c r="B72" s="57" t="n">
        <v>750000</v>
      </c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6" t="n"/>
    </row>
    <row r="73" ht="14.25" customHeight="1" s="1">
      <c r="A73" s="47" t="inlineStr">
        <is>
          <t>Gastos Pre-operativos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6" t="n"/>
    </row>
    <row r="74" ht="14.25" customHeight="1" s="1">
      <c r="A74" s="28" t="inlineStr">
        <is>
          <t xml:space="preserve">  Gastos puesta en marcha</t>
        </is>
      </c>
      <c r="B74" s="57" t="n">
        <v>0</v>
      </c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6" t="n"/>
    </row>
    <row r="75" ht="14.25" customHeight="1" s="1">
      <c r="A75" s="47" t="inlineStr">
        <is>
          <t>Capital de trabajo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6" t="n"/>
    </row>
    <row r="76" ht="14.25" customHeight="1" s="1">
      <c r="A76" s="28" t="inlineStr">
        <is>
          <t xml:space="preserve">   Capital de trabajo</t>
        </is>
      </c>
      <c r="B76" s="57">
        <f>B63</f>
        <v/>
      </c>
      <c r="C76" s="57">
        <f>C63</f>
        <v/>
      </c>
      <c r="D76" s="57">
        <f>D63</f>
        <v/>
      </c>
      <c r="E76" s="57">
        <f>E63</f>
        <v/>
      </c>
      <c r="F76" s="57">
        <f>F63</f>
        <v/>
      </c>
      <c r="G76" s="57">
        <f>G63</f>
        <v/>
      </c>
      <c r="H76" s="57">
        <f>H63</f>
        <v/>
      </c>
      <c r="I76" s="57">
        <f>I63</f>
        <v/>
      </c>
      <c r="J76" s="57">
        <f>J63</f>
        <v/>
      </c>
      <c r="K76" s="57">
        <f>K63</f>
        <v/>
      </c>
      <c r="L76" s="58">
        <f>L63</f>
        <v/>
      </c>
    </row>
    <row r="77" ht="15.75" customHeight="1" s="1">
      <c r="A77" s="40" t="inlineStr">
        <is>
          <t>Total Inversiones</t>
        </is>
      </c>
      <c r="B77" s="59">
        <f>SUM(B68:B76)</f>
        <v/>
      </c>
      <c r="C77" s="59">
        <f>SUM(C68:C76)</f>
        <v/>
      </c>
      <c r="D77" s="59">
        <f>SUM(D68:D76)</f>
        <v/>
      </c>
      <c r="E77" s="59">
        <f>SUM(E68:E76)</f>
        <v/>
      </c>
      <c r="F77" s="59">
        <f>SUM(F68:F76)</f>
        <v/>
      </c>
      <c r="G77" s="59">
        <f>SUM(G68:G76)</f>
        <v/>
      </c>
      <c r="H77" s="59">
        <f>SUM(H68:H76)</f>
        <v/>
      </c>
      <c r="I77" s="59">
        <f>SUM(I68:I76)</f>
        <v/>
      </c>
      <c r="J77" s="59">
        <f>SUM(J68:J76)</f>
        <v/>
      </c>
      <c r="K77" s="59">
        <f>SUM(K68:K76)</f>
        <v/>
      </c>
      <c r="L77" s="60">
        <f>SUM(L68:L76)</f>
        <v/>
      </c>
    </row>
    <row r="78" ht="14.25" customHeight="1" s="1">
      <c r="B78" s="21" t="n"/>
    </row>
    <row r="79" ht="14.25" customHeight="1" s="1">
      <c r="A79" s="22" t="inlineStr">
        <is>
          <t>6.  Depreciaciones y Amortizaciones</t>
        </is>
      </c>
      <c r="B79" s="24" t="n"/>
    </row>
    <row r="80" ht="15.75" customHeight="1" s="1">
      <c r="A80" s="23" t="inlineStr">
        <is>
          <t>Calendario de Depreciaciones y Amortizaciones</t>
        </is>
      </c>
      <c r="B80" s="24" t="n"/>
    </row>
    <row r="81" ht="14.25" customHeight="1" s="1">
      <c r="A81" s="161" t="inlineStr">
        <is>
          <t>Concepto</t>
        </is>
      </c>
      <c r="B81" s="26" t="inlineStr">
        <is>
          <t>Año 0</t>
        </is>
      </c>
      <c r="C81" s="26" t="inlineStr">
        <is>
          <t>Año 1</t>
        </is>
      </c>
      <c r="D81" s="26" t="inlineStr">
        <is>
          <t>Año 2</t>
        </is>
      </c>
      <c r="E81" s="26" t="inlineStr">
        <is>
          <t>Año 3</t>
        </is>
      </c>
      <c r="F81" s="26" t="inlineStr">
        <is>
          <t>Año 4</t>
        </is>
      </c>
      <c r="G81" s="26" t="inlineStr">
        <is>
          <t>Año 5</t>
        </is>
      </c>
      <c r="H81" s="26" t="inlineStr">
        <is>
          <t>Año 6</t>
        </is>
      </c>
      <c r="I81" s="26" t="inlineStr">
        <is>
          <t>Año 7</t>
        </is>
      </c>
      <c r="J81" s="26" t="inlineStr">
        <is>
          <t>Año 8</t>
        </is>
      </c>
      <c r="K81" s="26" t="inlineStr">
        <is>
          <t>Año 9</t>
        </is>
      </c>
      <c r="L81" s="27" t="inlineStr">
        <is>
          <t>Año 10</t>
        </is>
      </c>
      <c r="R81" s="61" t="inlineStr">
        <is>
          <t>Inversión</t>
        </is>
      </c>
      <c r="S81" s="62" t="inlineStr">
        <is>
          <t>Valor Activo</t>
        </is>
      </c>
      <c r="T81" s="62" t="inlineStr">
        <is>
          <t>Valor residual</t>
        </is>
      </c>
      <c r="U81" s="62" t="inlineStr">
        <is>
          <t>Vida útil</t>
        </is>
      </c>
      <c r="V81" s="62" t="inlineStr">
        <is>
          <t>Dep. Anual</t>
        </is>
      </c>
    </row>
    <row r="82" ht="14.25" customHeight="1" s="1">
      <c r="A82" s="28" t="inlineStr">
        <is>
          <t>Inversiones a 20 años</t>
        </is>
      </c>
      <c r="B82" s="55" t="n"/>
      <c r="C82" s="57">
        <f>$V$82</f>
        <v/>
      </c>
      <c r="D82" s="57">
        <f>$V$82</f>
        <v/>
      </c>
      <c r="E82" s="57">
        <f>$V$82</f>
        <v/>
      </c>
      <c r="F82" s="57">
        <f>$V$82</f>
        <v/>
      </c>
      <c r="G82" s="57">
        <f>$V$82</f>
        <v/>
      </c>
      <c r="H82" s="57">
        <f>$V$82</f>
        <v/>
      </c>
      <c r="I82" s="57">
        <f>$V$82</f>
        <v/>
      </c>
      <c r="J82" s="57">
        <f>$V$82</f>
        <v/>
      </c>
      <c r="K82" s="57">
        <f>$V$82</f>
        <v/>
      </c>
      <c r="L82" s="57">
        <f>$V$82</f>
        <v/>
      </c>
      <c r="R82" s="63" t="inlineStr">
        <is>
          <t>Edificio</t>
        </is>
      </c>
      <c r="S82" s="15">
        <f>B69</f>
        <v/>
      </c>
      <c r="T82" s="64" t="n">
        <v>50000</v>
      </c>
      <c r="U82" s="65" t="n">
        <v>20</v>
      </c>
      <c r="V82" s="15">
        <f>(S82-T82)/U82</f>
        <v/>
      </c>
    </row>
    <row r="83" ht="14.25" customHeight="1" s="1">
      <c r="A83" s="28" t="inlineStr">
        <is>
          <t>Inversiones a 10 años</t>
        </is>
      </c>
      <c r="B83" s="55" t="n"/>
      <c r="C83" s="57">
        <f>$V$83+$V$84</f>
        <v/>
      </c>
      <c r="D83" s="57">
        <f>$V$83+$V$84</f>
        <v/>
      </c>
      <c r="E83" s="57">
        <f>$V$83+$V$84</f>
        <v/>
      </c>
      <c r="F83" s="57">
        <f>$V$83+$V$84</f>
        <v/>
      </c>
      <c r="G83" s="57">
        <f>$V$83+$V$84</f>
        <v/>
      </c>
      <c r="H83" s="57">
        <f>$V$83+$V$84</f>
        <v/>
      </c>
      <c r="I83" s="57">
        <f>$V$83+$V$84</f>
        <v/>
      </c>
      <c r="J83" s="57">
        <f>$V$83+$V$84</f>
        <v/>
      </c>
      <c r="K83" s="57">
        <f>$V$83+$V$84</f>
        <v/>
      </c>
      <c r="L83" s="57">
        <f>$V$83+$V$84</f>
        <v/>
      </c>
      <c r="R83" s="63" t="inlineStr">
        <is>
          <t>Estanque y canales</t>
        </is>
      </c>
      <c r="S83" s="15" t="n">
        <v>3000000</v>
      </c>
      <c r="T83" s="64" t="n">
        <v>1000000</v>
      </c>
      <c r="U83" s="66" t="n">
        <v>10</v>
      </c>
      <c r="V83" s="15">
        <f>(S83-T83)/U83</f>
        <v/>
      </c>
    </row>
    <row r="84" ht="14.25" customHeight="1" s="1">
      <c r="A84" s="28" t="inlineStr">
        <is>
          <t>Inversiones a 5 años</t>
        </is>
      </c>
      <c r="B84" s="55" t="n"/>
      <c r="C84" s="57">
        <f>$V$85</f>
        <v/>
      </c>
      <c r="D84" s="57">
        <f>$V$85</f>
        <v/>
      </c>
      <c r="E84" s="57">
        <f>$V$85</f>
        <v/>
      </c>
      <c r="F84" s="57">
        <f>$V$85</f>
        <v/>
      </c>
      <c r="G84" s="57">
        <f>$V$85</f>
        <v/>
      </c>
      <c r="H84" s="57" t="n">
        <v>0</v>
      </c>
      <c r="I84" s="57" t="n">
        <v>0</v>
      </c>
      <c r="J84" s="57" t="n">
        <v>0</v>
      </c>
      <c r="K84" s="57" t="n">
        <v>0</v>
      </c>
      <c r="L84" s="57" t="n">
        <v>0</v>
      </c>
      <c r="R84" s="63" t="inlineStr">
        <is>
          <t>Maq &amp; Equipo</t>
        </is>
      </c>
      <c r="S84" s="67">
        <f>B70-S83</f>
        <v/>
      </c>
      <c r="T84" s="63" t="n">
        <v>0</v>
      </c>
      <c r="U84" s="65" t="n">
        <v>10</v>
      </c>
      <c r="V84" s="15">
        <f>(S84-T84)/U84</f>
        <v/>
      </c>
    </row>
    <row r="85" ht="14.25" customHeight="1" s="1">
      <c r="A85" s="68" t="inlineStr">
        <is>
          <t>Total Depreciación</t>
        </is>
      </c>
      <c r="B85" s="69" t="n"/>
      <c r="C85" s="70">
        <f>SUM(C82:C84)</f>
        <v/>
      </c>
      <c r="D85" s="70">
        <f>SUM(D82:D84)</f>
        <v/>
      </c>
      <c r="E85" s="70">
        <f>SUM(E82:E84)</f>
        <v/>
      </c>
      <c r="F85" s="70">
        <f>SUM(F82:F84)</f>
        <v/>
      </c>
      <c r="G85" s="70">
        <f>SUM(G82:G84)</f>
        <v/>
      </c>
      <c r="H85" s="70">
        <f>SUM(H82:H84)</f>
        <v/>
      </c>
      <c r="I85" s="70">
        <f>SUM(I82:I84)</f>
        <v/>
      </c>
      <c r="J85" s="70">
        <f>SUM(J82:J84)</f>
        <v/>
      </c>
      <c r="K85" s="70">
        <f>SUM(K82:K84)</f>
        <v/>
      </c>
      <c r="L85" s="70">
        <f>SUM(L82:L84)</f>
        <v/>
      </c>
      <c r="R85" s="63" t="inlineStr">
        <is>
          <t>Vehículos y embarcaciones</t>
        </is>
      </c>
      <c r="S85" s="15">
        <f>B71</f>
        <v/>
      </c>
      <c r="T85" s="64" t="n">
        <v>0</v>
      </c>
      <c r="U85" s="66" t="n">
        <v>5</v>
      </c>
      <c r="V85" s="15">
        <f>(S85-T85)/U85</f>
        <v/>
      </c>
    </row>
    <row r="86" ht="14.25" customHeight="1" s="1">
      <c r="A86" s="71" t="n"/>
      <c r="B86" s="55" t="n"/>
      <c r="C86" s="55" t="n"/>
      <c r="D86" s="55" t="n"/>
      <c r="E86" s="55" t="n"/>
      <c r="F86" s="55" t="n"/>
      <c r="G86" s="55" t="n"/>
      <c r="H86" s="55" t="n"/>
      <c r="I86" s="55" t="n"/>
      <c r="J86" s="55" t="n"/>
      <c r="K86" s="55" t="n"/>
      <c r="L86" s="56" t="n"/>
      <c r="S86" s="72">
        <f>SUM(S82:S85)</f>
        <v/>
      </c>
    </row>
    <row r="87" ht="14.25" customHeight="1" s="1">
      <c r="A87" s="28" t="inlineStr">
        <is>
          <t>Amortización pre-operativos</t>
        </is>
      </c>
      <c r="B87" s="55" t="n"/>
      <c r="C87" s="57">
        <f>$B$74/10</f>
        <v/>
      </c>
      <c r="D87" s="57">
        <f>$B$74/10</f>
        <v/>
      </c>
      <c r="E87" s="57">
        <f>$B$74/10</f>
        <v/>
      </c>
      <c r="F87" s="57">
        <f>$B$74/10</f>
        <v/>
      </c>
      <c r="G87" s="57">
        <f>$B$74/10</f>
        <v/>
      </c>
      <c r="H87" s="57">
        <f>$B$74/10</f>
        <v/>
      </c>
      <c r="I87" s="57">
        <f>$B$74/10</f>
        <v/>
      </c>
      <c r="J87" s="57">
        <f>$B$74/10</f>
        <v/>
      </c>
      <c r="K87" s="57">
        <f>$B$74/10</f>
        <v/>
      </c>
      <c r="L87" s="73">
        <f>$B$74/10</f>
        <v/>
      </c>
      <c r="O87" s="74" t="n"/>
    </row>
    <row r="88" ht="15.75" customHeight="1" s="1">
      <c r="A88" s="40" t="inlineStr">
        <is>
          <t>Total Amortización</t>
        </is>
      </c>
      <c r="B88" s="75" t="n"/>
      <c r="C88" s="59">
        <f>SUM(C87)</f>
        <v/>
      </c>
      <c r="D88" s="59">
        <f>SUM(D87)</f>
        <v/>
      </c>
      <c r="E88" s="59">
        <f>SUM(E87)</f>
        <v/>
      </c>
      <c r="F88" s="59">
        <f>SUM(F87)</f>
        <v/>
      </c>
      <c r="G88" s="59">
        <f>SUM(G87)</f>
        <v/>
      </c>
      <c r="H88" s="59">
        <f>SUM(H87)</f>
        <v/>
      </c>
      <c r="I88" s="59">
        <f>SUM(I87)</f>
        <v/>
      </c>
      <c r="J88" s="59">
        <f>SUM(J87)</f>
        <v/>
      </c>
      <c r="K88" s="59">
        <f>SUM(K87)</f>
        <v/>
      </c>
      <c r="L88" s="60">
        <f>SUM(L87)</f>
        <v/>
      </c>
      <c r="O88" s="74" t="n"/>
    </row>
    <row r="89" ht="14.25" customHeight="1" s="1">
      <c r="B89" s="21" t="n"/>
    </row>
    <row r="90" ht="14.25" customHeight="1" s="1">
      <c r="A90" s="22" t="inlineStr">
        <is>
          <t>7. Valor de desecho del proyecto</t>
        </is>
      </c>
      <c r="B90" s="24" t="n"/>
    </row>
    <row r="91" ht="15.75" customHeight="1" s="1">
      <c r="A91" s="23" t="inlineStr">
        <is>
          <t>Clalculo del valor de desecho del proyecto (método contable)</t>
        </is>
      </c>
      <c r="B91" s="24" t="n"/>
    </row>
    <row r="92" ht="14.25" customHeight="1" s="1">
      <c r="A92" s="161" t="inlineStr">
        <is>
          <t>Concepto</t>
        </is>
      </c>
      <c r="B92" s="162" t="inlineStr">
        <is>
          <t>Valor del</t>
        </is>
      </c>
      <c r="C92" s="162" t="inlineStr">
        <is>
          <t>Depreciación por periodo</t>
        </is>
      </c>
      <c r="D92" s="170" t="n"/>
      <c r="E92" s="170" t="n"/>
      <c r="F92" s="170" t="n"/>
      <c r="G92" s="170" t="n"/>
      <c r="H92" s="170" t="n"/>
      <c r="I92" s="170" t="n"/>
      <c r="J92" s="170" t="n"/>
      <c r="K92" s="170" t="n"/>
      <c r="L92" s="171" t="n"/>
      <c r="M92" s="77" t="inlineStr">
        <is>
          <t>Valor de</t>
        </is>
      </c>
    </row>
    <row r="93" ht="14.25" customHeight="1" s="1">
      <c r="A93" s="172" t="n"/>
      <c r="B93" s="62" t="inlineStr">
        <is>
          <t>Activo</t>
        </is>
      </c>
      <c r="C93" s="78" t="inlineStr">
        <is>
          <t>Año 1</t>
        </is>
      </c>
      <c r="D93" s="78" t="inlineStr">
        <is>
          <t>Año 2</t>
        </is>
      </c>
      <c r="E93" s="78" t="inlineStr">
        <is>
          <t>Año 3</t>
        </is>
      </c>
      <c r="F93" s="78" t="inlineStr">
        <is>
          <t>Año 4</t>
        </is>
      </c>
      <c r="G93" s="78" t="inlineStr">
        <is>
          <t>Año 5</t>
        </is>
      </c>
      <c r="H93" s="78" t="inlineStr">
        <is>
          <t>Año 6</t>
        </is>
      </c>
      <c r="I93" s="78" t="inlineStr">
        <is>
          <t>Año 7</t>
        </is>
      </c>
      <c r="J93" s="78" t="inlineStr">
        <is>
          <t>Año 8</t>
        </is>
      </c>
      <c r="K93" s="78" t="inlineStr">
        <is>
          <t>Año 9</t>
        </is>
      </c>
      <c r="L93" s="78" t="inlineStr">
        <is>
          <t>Año 10</t>
        </is>
      </c>
      <c r="M93" s="79" t="inlineStr">
        <is>
          <t>Desecho</t>
        </is>
      </c>
    </row>
    <row r="94" ht="14.25" customHeight="1" s="1">
      <c r="A94" s="28" t="inlineStr">
        <is>
          <t>Inversiones a 20 años</t>
        </is>
      </c>
      <c r="B94" s="57">
        <f>B69</f>
        <v/>
      </c>
      <c r="C94" s="57">
        <f>C82</f>
        <v/>
      </c>
      <c r="D94" s="57">
        <f>D82</f>
        <v/>
      </c>
      <c r="E94" s="57">
        <f>E82</f>
        <v/>
      </c>
      <c r="F94" s="57">
        <f>F82</f>
        <v/>
      </c>
      <c r="G94" s="57">
        <f>G82</f>
        <v/>
      </c>
      <c r="H94" s="57">
        <f>H82</f>
        <v/>
      </c>
      <c r="I94" s="57">
        <f>I82</f>
        <v/>
      </c>
      <c r="J94" s="57">
        <f>J82</f>
        <v/>
      </c>
      <c r="K94" s="57">
        <f>K82</f>
        <v/>
      </c>
      <c r="L94" s="57">
        <f>L82</f>
        <v/>
      </c>
      <c r="M94" s="73">
        <f>B94-SUM(C94:L94)</f>
        <v/>
      </c>
    </row>
    <row r="95" ht="14.25" customHeight="1" s="1">
      <c r="A95" s="28" t="inlineStr">
        <is>
          <t>Inversiones a 10 años</t>
        </is>
      </c>
      <c r="B95" s="57">
        <f>B70</f>
        <v/>
      </c>
      <c r="C95" s="57">
        <f>C83</f>
        <v/>
      </c>
      <c r="D95" s="57">
        <f>D83</f>
        <v/>
      </c>
      <c r="E95" s="57">
        <f>E83</f>
        <v/>
      </c>
      <c r="F95" s="57">
        <f>F83</f>
        <v/>
      </c>
      <c r="G95" s="57">
        <f>G83</f>
        <v/>
      </c>
      <c r="H95" s="57">
        <f>H83</f>
        <v/>
      </c>
      <c r="I95" s="57">
        <f>I83</f>
        <v/>
      </c>
      <c r="J95" s="57">
        <f>J83</f>
        <v/>
      </c>
      <c r="K95" s="57">
        <f>K83</f>
        <v/>
      </c>
      <c r="L95" s="57">
        <f>L83</f>
        <v/>
      </c>
      <c r="M95" s="73">
        <f>B95-SUM(C95:L95)</f>
        <v/>
      </c>
    </row>
    <row r="96" ht="14.25" customHeight="1" s="1">
      <c r="A96" s="28" t="inlineStr">
        <is>
          <t>Inversiones a 5 años</t>
        </is>
      </c>
      <c r="B96" s="57">
        <f>B71</f>
        <v/>
      </c>
      <c r="C96" s="57">
        <f>C84</f>
        <v/>
      </c>
      <c r="D96" s="57">
        <f>D84</f>
        <v/>
      </c>
      <c r="E96" s="57">
        <f>E84</f>
        <v/>
      </c>
      <c r="F96" s="57">
        <f>F84</f>
        <v/>
      </c>
      <c r="G96" s="57">
        <f>G84</f>
        <v/>
      </c>
      <c r="H96" s="57">
        <f>H84</f>
        <v/>
      </c>
      <c r="I96" s="57">
        <f>I84</f>
        <v/>
      </c>
      <c r="J96" s="57">
        <f>J84</f>
        <v/>
      </c>
      <c r="K96" s="57">
        <f>K84</f>
        <v/>
      </c>
      <c r="L96" s="57">
        <f>L84</f>
        <v/>
      </c>
      <c r="M96" s="73">
        <f>B96-SUM(C96:L96)</f>
        <v/>
      </c>
    </row>
    <row r="97" ht="15.75" customHeight="1" s="1">
      <c r="A97" s="80" t="inlineStr">
        <is>
          <t>Amortización pre-operativos</t>
        </is>
      </c>
      <c r="B97" s="81">
        <f>B74</f>
        <v/>
      </c>
      <c r="C97" s="81">
        <f>C87</f>
        <v/>
      </c>
      <c r="D97" s="81">
        <f>D87</f>
        <v/>
      </c>
      <c r="E97" s="81">
        <f>E87</f>
        <v/>
      </c>
      <c r="F97" s="81">
        <f>F87</f>
        <v/>
      </c>
      <c r="G97" s="81">
        <f>G87</f>
        <v/>
      </c>
      <c r="H97" s="81">
        <f>H87</f>
        <v/>
      </c>
      <c r="I97" s="81">
        <f>I87</f>
        <v/>
      </c>
      <c r="J97" s="81">
        <f>J87</f>
        <v/>
      </c>
      <c r="K97" s="81">
        <f>K87</f>
        <v/>
      </c>
      <c r="L97" s="81">
        <f>L87</f>
        <v/>
      </c>
      <c r="M97" s="82">
        <f>B97-SUM(C97:L97)</f>
        <v/>
      </c>
    </row>
    <row r="98" ht="15.75" customHeight="1" s="1">
      <c r="A98" s="163" t="inlineStr">
        <is>
          <t>Valor de desecho total</t>
        </is>
      </c>
      <c r="B98" s="173" t="n"/>
      <c r="C98" s="173" t="n"/>
      <c r="D98" s="173" t="n"/>
      <c r="E98" s="173" t="n"/>
      <c r="F98" s="173" t="n"/>
      <c r="G98" s="173" t="n"/>
      <c r="H98" s="173" t="n"/>
      <c r="I98" s="173" t="n"/>
      <c r="J98" s="173" t="n"/>
      <c r="K98" s="173" t="n"/>
      <c r="L98" s="174" t="n"/>
      <c r="M98" s="83">
        <f>SUM(M94:M97)</f>
        <v/>
      </c>
    </row>
    <row r="99" ht="14.25" customHeight="1" s="1">
      <c r="B99" s="21" t="n"/>
    </row>
    <row r="100" ht="14.25" customHeight="1" s="1">
      <c r="A100" s="22" t="inlineStr">
        <is>
          <t>8. Financiamiento</t>
        </is>
      </c>
      <c r="B100" s="24" t="n"/>
    </row>
    <row r="101" ht="15.75" customHeight="1" s="1">
      <c r="A101" s="44" t="inlineStr">
        <is>
          <t>Cálculo del Financiamiento</t>
        </is>
      </c>
      <c r="B101" s="42" t="n"/>
      <c r="C101" s="43" t="n"/>
      <c r="D101" s="43" t="n"/>
      <c r="E101" s="43" t="n"/>
    </row>
    <row r="102" ht="14.25" customHeight="1" s="1">
      <c r="A102" s="84" t="inlineStr">
        <is>
          <t>Financiamiento bancario (valor)</t>
        </is>
      </c>
      <c r="B102" s="85">
        <f>B77*E102</f>
        <v/>
      </c>
      <c r="C102" s="86" t="n"/>
      <c r="D102" s="43" t="n"/>
      <c r="E102" s="87" t="n">
        <v>0.5</v>
      </c>
    </row>
    <row r="103" ht="14.25" customHeight="1" s="1">
      <c r="A103" s="28" t="inlineStr">
        <is>
          <t>Financiamiento bancario (tasa)</t>
        </is>
      </c>
      <c r="B103" s="88">
        <f>B22</f>
        <v/>
      </c>
      <c r="C103" s="89" t="n"/>
      <c r="D103" s="43" t="n"/>
      <c r="E103" s="43" t="n"/>
    </row>
    <row r="104" ht="14.25" customHeight="1" s="1">
      <c r="A104" s="28" t="inlineStr">
        <is>
          <t>Financiamiento bancario (periodos)</t>
        </is>
      </c>
      <c r="B104" s="90" t="n">
        <v>7</v>
      </c>
      <c r="C104" s="91" t="inlineStr">
        <is>
          <t>años</t>
        </is>
      </c>
      <c r="D104" s="43" t="n"/>
      <c r="E104" s="43" t="n"/>
    </row>
    <row r="105" ht="15.75" customHeight="1" s="1">
      <c r="A105" s="92" t="inlineStr">
        <is>
          <t>Modalidad</t>
        </is>
      </c>
      <c r="B105" s="159" t="inlineStr">
        <is>
          <t>Pagos exactos</t>
        </is>
      </c>
      <c r="C105" s="175" t="n"/>
      <c r="D105" s="43" t="n"/>
      <c r="E105" s="43" t="n"/>
    </row>
    <row r="106" ht="15.75" customHeight="1" s="1">
      <c r="A106" s="43" t="n"/>
      <c r="B106" s="42" t="n"/>
      <c r="C106" s="43" t="n"/>
      <c r="D106" s="43" t="n"/>
      <c r="E106" s="43" t="n"/>
    </row>
    <row r="107" ht="14.25" customHeight="1" s="1">
      <c r="A107" s="161" t="inlineStr">
        <is>
          <t>Concepto</t>
        </is>
      </c>
      <c r="B107" s="26" t="inlineStr">
        <is>
          <t>Año 0</t>
        </is>
      </c>
      <c r="C107" s="26" t="inlineStr">
        <is>
          <t>Año 1</t>
        </is>
      </c>
      <c r="D107" s="26" t="inlineStr">
        <is>
          <t>Año 2</t>
        </is>
      </c>
      <c r="E107" s="26" t="inlineStr">
        <is>
          <t>Año 3</t>
        </is>
      </c>
      <c r="F107" s="26" t="inlineStr">
        <is>
          <t>Año 4</t>
        </is>
      </c>
      <c r="G107" s="26" t="inlineStr">
        <is>
          <t>Año 5</t>
        </is>
      </c>
      <c r="H107" s="26" t="inlineStr">
        <is>
          <t>Año 6</t>
        </is>
      </c>
      <c r="I107" s="26" t="inlineStr">
        <is>
          <t>Año 7</t>
        </is>
      </c>
    </row>
    <row r="108" ht="14.25" customHeight="1" s="1">
      <c r="A108" s="28" t="inlineStr">
        <is>
          <t xml:space="preserve">Saldo crédito </t>
        </is>
      </c>
      <c r="B108" s="57">
        <f>B102</f>
        <v/>
      </c>
      <c r="C108" s="57">
        <f>B108-C111</f>
        <v/>
      </c>
      <c r="D108" s="57">
        <f>C108-D111</f>
        <v/>
      </c>
      <c r="E108" s="57">
        <f>D108-E111</f>
        <v/>
      </c>
      <c r="F108" s="57">
        <f>E108-F111</f>
        <v/>
      </c>
      <c r="G108" s="57">
        <f>F108-G111</f>
        <v/>
      </c>
      <c r="H108" s="57">
        <f>G108-H111</f>
        <v/>
      </c>
      <c r="I108" s="57">
        <f>H108-I111</f>
        <v/>
      </c>
    </row>
    <row r="109" ht="14.25" customHeight="1" s="1">
      <c r="A109" s="28" t="inlineStr">
        <is>
          <t>Cuota mensual (anualidad)</t>
        </is>
      </c>
      <c r="B109" s="55" t="n"/>
      <c r="C109" s="57">
        <f>C110+C111</f>
        <v/>
      </c>
      <c r="D109" s="57">
        <f>D110+D111</f>
        <v/>
      </c>
      <c r="E109" s="57">
        <f>E110+E111</f>
        <v/>
      </c>
      <c r="F109" s="57">
        <f>F110+F111</f>
        <v/>
      </c>
      <c r="G109" s="57">
        <f>G110+G111</f>
        <v/>
      </c>
      <c r="H109" s="57">
        <f>H110+H111</f>
        <v/>
      </c>
      <c r="I109" s="57">
        <f>I110+I111</f>
        <v/>
      </c>
    </row>
    <row r="110" ht="14.25" customHeight="1" s="1">
      <c r="A110" s="28" t="inlineStr">
        <is>
          <t>Intereses</t>
        </is>
      </c>
      <c r="B110" s="55" t="n"/>
      <c r="C110" s="57">
        <f>B108*$B$103</f>
        <v/>
      </c>
      <c r="D110" s="57">
        <f>C108*$B$103</f>
        <v/>
      </c>
      <c r="E110" s="57">
        <f>D108*$B$103</f>
        <v/>
      </c>
      <c r="F110" s="57">
        <f>E108*$B$103</f>
        <v/>
      </c>
      <c r="G110" s="57">
        <f>F108*$B$103</f>
        <v/>
      </c>
      <c r="H110" s="57">
        <f>G108*$B$103</f>
        <v/>
      </c>
      <c r="I110" s="57">
        <f>H108*$B$103</f>
        <v/>
      </c>
    </row>
    <row r="111" ht="15.75" customHeight="1" s="1">
      <c r="A111" s="92" t="inlineStr">
        <is>
          <t>Abono a capital (amortización)</t>
        </is>
      </c>
      <c r="B111" s="93" t="n"/>
      <c r="C111" s="81">
        <f>$B$102/$B$104</f>
        <v/>
      </c>
      <c r="D111" s="81">
        <f>$B$102/$B$104</f>
        <v/>
      </c>
      <c r="E111" s="81">
        <f>$B$102/$B$104</f>
        <v/>
      </c>
      <c r="F111" s="81">
        <f>$B$102/$B$104</f>
        <v/>
      </c>
      <c r="G111" s="81">
        <f>$B$102/$B$104</f>
        <v/>
      </c>
      <c r="H111" s="81">
        <f>$B$102/$B$104</f>
        <v/>
      </c>
      <c r="I111" s="81">
        <f>$B$102/$B$104</f>
        <v/>
      </c>
    </row>
    <row r="112" ht="14.25" customHeight="1" s="1">
      <c r="B112" s="21" t="n"/>
    </row>
    <row r="113" ht="14.25" customHeight="1" s="1">
      <c r="A113" s="22" t="inlineStr">
        <is>
          <t>9.Flujo de caja del proyecto</t>
        </is>
      </c>
      <c r="B113" s="24" t="n"/>
    </row>
    <row r="114" ht="15.75" customHeight="1" s="1">
      <c r="A114" s="4" t="inlineStr">
        <is>
          <t>Flujo de caja del proyecto (con) Financiamiento)</t>
        </is>
      </c>
      <c r="B114" s="24" t="n"/>
    </row>
    <row r="115" ht="14.25" customHeight="1" s="1">
      <c r="A115" s="161" t="inlineStr">
        <is>
          <t>Concepto</t>
        </is>
      </c>
      <c r="B115" s="26" t="inlineStr">
        <is>
          <t>Año 0</t>
        </is>
      </c>
      <c r="C115" s="26" t="inlineStr">
        <is>
          <t>Año 1</t>
        </is>
      </c>
      <c r="D115" s="26" t="inlineStr">
        <is>
          <t>Año 2</t>
        </is>
      </c>
      <c r="E115" s="26" t="inlineStr">
        <is>
          <t>Año 3</t>
        </is>
      </c>
      <c r="F115" s="26" t="inlineStr">
        <is>
          <t>Año 4</t>
        </is>
      </c>
      <c r="G115" s="26" t="inlineStr">
        <is>
          <t>Año 5</t>
        </is>
      </c>
      <c r="H115" s="26" t="inlineStr">
        <is>
          <t>Año 6</t>
        </is>
      </c>
      <c r="I115" s="26" t="inlineStr">
        <is>
          <t>Año 7</t>
        </is>
      </c>
      <c r="J115" s="26" t="inlineStr">
        <is>
          <t>Año 8</t>
        </is>
      </c>
      <c r="K115" s="26" t="inlineStr">
        <is>
          <t>Año 9</t>
        </is>
      </c>
      <c r="L115" s="27" t="inlineStr">
        <is>
          <t>Año 10</t>
        </is>
      </c>
    </row>
    <row r="116" ht="14.25" customHeight="1" s="1">
      <c r="A116" s="94" t="inlineStr">
        <is>
          <t>+ Ingreso por ventas</t>
        </is>
      </c>
      <c r="B116" s="95" t="n"/>
      <c r="C116" s="96">
        <f>C33</f>
        <v/>
      </c>
      <c r="D116" s="96">
        <f>D33</f>
        <v/>
      </c>
      <c r="E116" s="96">
        <f>E33</f>
        <v/>
      </c>
      <c r="F116" s="96">
        <f>F33</f>
        <v/>
      </c>
      <c r="G116" s="96">
        <f>G33</f>
        <v/>
      </c>
      <c r="H116" s="96">
        <f>H33</f>
        <v/>
      </c>
      <c r="I116" s="96">
        <f>I33</f>
        <v/>
      </c>
      <c r="J116" s="96">
        <f>J33</f>
        <v/>
      </c>
      <c r="K116" s="96">
        <f>K33</f>
        <v/>
      </c>
      <c r="L116" s="97">
        <f>L33</f>
        <v/>
      </c>
    </row>
    <row r="117" ht="14.25" customHeight="1" s="1">
      <c r="A117" s="98" t="inlineStr">
        <is>
          <t>Ingreso por venta del terreno</t>
        </is>
      </c>
      <c r="B117" s="95" t="n"/>
      <c r="C117" s="95" t="n"/>
      <c r="D117" s="95" t="n"/>
      <c r="E117" s="95" t="n"/>
      <c r="F117" s="95" t="n"/>
      <c r="G117" s="95" t="n"/>
      <c r="H117" s="95" t="n"/>
      <c r="I117" s="95" t="n"/>
      <c r="J117" s="95" t="n"/>
      <c r="K117" s="95" t="n"/>
      <c r="L117" s="97">
        <f>B19</f>
        <v/>
      </c>
    </row>
    <row r="118" ht="14.25" customHeight="1" s="1">
      <c r="A118" s="94" t="inlineStr">
        <is>
          <t>- Egresos deducibles de impuestos</t>
        </is>
      </c>
      <c r="B118" s="95" t="n"/>
      <c r="C118" s="96">
        <f>SUM(C119:C121)</f>
        <v/>
      </c>
      <c r="D118" s="96">
        <f>SUM(D119:D121)</f>
        <v/>
      </c>
      <c r="E118" s="96">
        <f>SUM(E119:E121)</f>
        <v/>
      </c>
      <c r="F118" s="96">
        <f>SUM(F119:F121)</f>
        <v/>
      </c>
      <c r="G118" s="96">
        <f>SUM(G119:G121)</f>
        <v/>
      </c>
      <c r="H118" s="96">
        <f>SUM(H119:H121)</f>
        <v/>
      </c>
      <c r="I118" s="96">
        <f>SUM(I119:I121)</f>
        <v/>
      </c>
      <c r="J118" s="96">
        <f>SUM(J119:J121)</f>
        <v/>
      </c>
      <c r="K118" s="96">
        <f>SUM(K119:K121)</f>
        <v/>
      </c>
      <c r="L118" s="97">
        <f>SUM(L119:L121)</f>
        <v/>
      </c>
    </row>
    <row r="119" ht="14.25" customHeight="1" s="1">
      <c r="A119" s="99" t="inlineStr">
        <is>
          <t xml:space="preserve">     Costos variables</t>
        </is>
      </c>
      <c r="B119" s="100" t="n"/>
      <c r="C119" s="15">
        <f>C39</f>
        <v/>
      </c>
      <c r="D119" s="15">
        <f>D39</f>
        <v/>
      </c>
      <c r="E119" s="15">
        <f>E39</f>
        <v/>
      </c>
      <c r="F119" s="15">
        <f>F39</f>
        <v/>
      </c>
      <c r="G119" s="15">
        <f>G39</f>
        <v/>
      </c>
      <c r="H119" s="15">
        <f>H39</f>
        <v/>
      </c>
      <c r="I119" s="15">
        <f>I39</f>
        <v/>
      </c>
      <c r="J119" s="15">
        <f>J39</f>
        <v/>
      </c>
      <c r="K119" s="15">
        <f>K39</f>
        <v/>
      </c>
      <c r="L119" s="101">
        <f>L39</f>
        <v/>
      </c>
    </row>
    <row r="120" ht="14.25" customHeight="1" s="1">
      <c r="A120" s="99" t="inlineStr">
        <is>
          <t xml:space="preserve">     Costos Fijos</t>
        </is>
      </c>
      <c r="B120" s="100" t="n"/>
      <c r="C120" s="15">
        <f>C46</f>
        <v/>
      </c>
      <c r="D120" s="15">
        <f>D46</f>
        <v/>
      </c>
      <c r="E120" s="15">
        <f>E46</f>
        <v/>
      </c>
      <c r="F120" s="15">
        <f>F46</f>
        <v/>
      </c>
      <c r="G120" s="15">
        <f>G46</f>
        <v/>
      </c>
      <c r="H120" s="15">
        <f>H46</f>
        <v/>
      </c>
      <c r="I120" s="15">
        <f>I46</f>
        <v/>
      </c>
      <c r="J120" s="15">
        <f>J46</f>
        <v/>
      </c>
      <c r="K120" s="15">
        <f>K46</f>
        <v/>
      </c>
      <c r="L120" s="101">
        <f>L46</f>
        <v/>
      </c>
    </row>
    <row r="121" ht="14.25" customHeight="1" s="1">
      <c r="A121" s="99" t="inlineStr">
        <is>
          <t xml:space="preserve">     Gastos financieros</t>
        </is>
      </c>
      <c r="B121" s="100" t="n"/>
      <c r="C121" s="15">
        <f>C110</f>
        <v/>
      </c>
      <c r="D121" s="15">
        <f>D110</f>
        <v/>
      </c>
      <c r="E121" s="15">
        <f>E110</f>
        <v/>
      </c>
      <c r="F121" s="15">
        <f>F110</f>
        <v/>
      </c>
      <c r="G121" s="15">
        <f>G110</f>
        <v/>
      </c>
      <c r="H121" s="15">
        <f>H110</f>
        <v/>
      </c>
      <c r="I121" s="15">
        <f>I110</f>
        <v/>
      </c>
      <c r="J121" s="15">
        <f>J110</f>
        <v/>
      </c>
      <c r="K121" s="15">
        <f>K110</f>
        <v/>
      </c>
      <c r="L121" s="101">
        <f>L110</f>
        <v/>
      </c>
    </row>
    <row r="122" ht="14.25" customHeight="1" s="1">
      <c r="A122" s="94" t="inlineStr">
        <is>
          <t>- Gastos no desembolsables</t>
        </is>
      </c>
      <c r="B122" s="95" t="n"/>
      <c r="C122" s="96">
        <f>SUM(C123:C124)</f>
        <v/>
      </c>
      <c r="D122" s="96">
        <f>SUM(D123:D124)</f>
        <v/>
      </c>
      <c r="E122" s="96">
        <f>SUM(E123:E124)</f>
        <v/>
      </c>
      <c r="F122" s="96">
        <f>SUM(F123:F124)</f>
        <v/>
      </c>
      <c r="G122" s="96">
        <f>SUM(G123:G124)</f>
        <v/>
      </c>
      <c r="H122" s="96">
        <f>SUM(H123:H124)</f>
        <v/>
      </c>
      <c r="I122" s="96">
        <f>SUM(I123:I124)</f>
        <v/>
      </c>
      <c r="J122" s="96">
        <f>SUM(J123:J124)</f>
        <v/>
      </c>
      <c r="K122" s="96">
        <f>SUM(K123:K124)</f>
        <v/>
      </c>
      <c r="L122" s="97">
        <f>SUM(L123:L124)</f>
        <v/>
      </c>
    </row>
    <row r="123" ht="14.25" customHeight="1" s="1">
      <c r="A123" s="99" t="inlineStr">
        <is>
          <t xml:space="preserve">     Depreciación de activos</t>
        </is>
      </c>
      <c r="B123" s="100" t="n"/>
      <c r="C123" s="15">
        <f>C85</f>
        <v/>
      </c>
      <c r="D123" s="15">
        <f>D85</f>
        <v/>
      </c>
      <c r="E123" s="15">
        <f>E85</f>
        <v/>
      </c>
      <c r="F123" s="15">
        <f>F85</f>
        <v/>
      </c>
      <c r="G123" s="15">
        <f>G85</f>
        <v/>
      </c>
      <c r="H123" s="15">
        <f>H85</f>
        <v/>
      </c>
      <c r="I123" s="15">
        <f>I85</f>
        <v/>
      </c>
      <c r="J123" s="15">
        <f>J85</f>
        <v/>
      </c>
      <c r="K123" s="15">
        <f>K85</f>
        <v/>
      </c>
      <c r="L123" s="101">
        <f>L85</f>
        <v/>
      </c>
    </row>
    <row r="124" ht="14.25" customHeight="1" s="1">
      <c r="A124" s="99" t="inlineStr">
        <is>
          <t xml:space="preserve">     Amortización de pre-operativos</t>
        </is>
      </c>
      <c r="B124" s="100" t="n"/>
      <c r="C124" s="15">
        <f>C87</f>
        <v/>
      </c>
      <c r="D124" s="15">
        <f>D87</f>
        <v/>
      </c>
      <c r="E124" s="15">
        <f>E87</f>
        <v/>
      </c>
      <c r="F124" s="15">
        <f>F87</f>
        <v/>
      </c>
      <c r="G124" s="15">
        <f>G87</f>
        <v/>
      </c>
      <c r="H124" s="15">
        <f>H87</f>
        <v/>
      </c>
      <c r="I124" s="15">
        <f>I87</f>
        <v/>
      </c>
      <c r="J124" s="15">
        <f>J87</f>
        <v/>
      </c>
      <c r="K124" s="15">
        <f>K87</f>
        <v/>
      </c>
      <c r="L124" s="101">
        <f>L87</f>
        <v/>
      </c>
    </row>
    <row r="125" ht="14.25" customHeight="1" s="1">
      <c r="A125" s="94" t="inlineStr">
        <is>
          <t>= Utilidad antes de impuestos</t>
        </is>
      </c>
      <c r="B125" s="95" t="n"/>
      <c r="C125" s="96">
        <f>C116+C117-C118-C122</f>
        <v/>
      </c>
      <c r="D125" s="96">
        <f>D116+D117-D118-D122</f>
        <v/>
      </c>
      <c r="E125" s="96">
        <f>E116+E117-E118-E122</f>
        <v/>
      </c>
      <c r="F125" s="96">
        <f>F116+F117-F118-F122</f>
        <v/>
      </c>
      <c r="G125" s="96">
        <f>G116+G117-G118-G122</f>
        <v/>
      </c>
      <c r="H125" s="96">
        <f>H116+H117-H118-H122</f>
        <v/>
      </c>
      <c r="I125" s="96">
        <f>I116+I117-I118-I122</f>
        <v/>
      </c>
      <c r="J125" s="96">
        <f>J116+J117-J118-J122</f>
        <v/>
      </c>
      <c r="K125" s="96">
        <f>K116+K117-K118-K122</f>
        <v/>
      </c>
      <c r="L125" s="96">
        <f>L116+L117-L118-L122</f>
        <v/>
      </c>
    </row>
    <row r="126" ht="14.25" customHeight="1" s="1">
      <c r="A126" s="99" t="inlineStr">
        <is>
          <t>- Impuestos (30%)</t>
        </is>
      </c>
      <c r="B126" s="100" t="n"/>
      <c r="C126" s="10">
        <f>C125*$B$26</f>
        <v/>
      </c>
      <c r="D126" s="15">
        <f>D125*$B$26</f>
        <v/>
      </c>
      <c r="E126" s="15">
        <f>E125*$B$26</f>
        <v/>
      </c>
      <c r="F126" s="15">
        <f>F125*$B$26</f>
        <v/>
      </c>
      <c r="G126" s="15">
        <f>G125*$B$26</f>
        <v/>
      </c>
      <c r="H126" s="15">
        <f>H125*$B$26</f>
        <v/>
      </c>
      <c r="I126" s="15">
        <f>I125*$B$26</f>
        <v/>
      </c>
      <c r="J126" s="15">
        <f>J125*$B$26</f>
        <v/>
      </c>
      <c r="K126" s="15">
        <f>K125*$B$26</f>
        <v/>
      </c>
      <c r="L126" s="101">
        <f>L125*$B$26</f>
        <v/>
      </c>
    </row>
    <row r="127" ht="14.25" customHeight="1" s="1">
      <c r="A127" s="94" t="inlineStr">
        <is>
          <t>= Utilidad después de impuestos</t>
        </is>
      </c>
      <c r="B127" s="95" t="n"/>
      <c r="C127" s="96">
        <f>C125-C126</f>
        <v/>
      </c>
      <c r="D127" s="96">
        <f>D125-D126</f>
        <v/>
      </c>
      <c r="E127" s="96">
        <f>E125-E126</f>
        <v/>
      </c>
      <c r="F127" s="96">
        <f>F125-F126</f>
        <v/>
      </c>
      <c r="G127" s="96">
        <f>G125-G126</f>
        <v/>
      </c>
      <c r="H127" s="96">
        <f>H125-H126</f>
        <v/>
      </c>
      <c r="I127" s="96">
        <f>I125-I126</f>
        <v/>
      </c>
      <c r="J127" s="96">
        <f>J125-J126</f>
        <v/>
      </c>
      <c r="K127" s="96">
        <f>K125-K126</f>
        <v/>
      </c>
      <c r="L127" s="97">
        <f>L125-L126</f>
        <v/>
      </c>
    </row>
    <row r="128" ht="14.25" customHeight="1" s="1">
      <c r="A128" s="98" t="inlineStr">
        <is>
          <t>+ Gastos no desembolsables</t>
        </is>
      </c>
      <c r="B128" s="95" t="n"/>
      <c r="C128" s="96">
        <f>SUM(C129:C130)</f>
        <v/>
      </c>
      <c r="D128" s="96">
        <f>SUM(D129:D130)</f>
        <v/>
      </c>
      <c r="E128" s="96">
        <f>SUM(E129:E130)</f>
        <v/>
      </c>
      <c r="F128" s="96">
        <f>SUM(F129:F130)</f>
        <v/>
      </c>
      <c r="G128" s="96">
        <f>SUM(G129:G130)</f>
        <v/>
      </c>
      <c r="H128" s="96">
        <f>SUM(H129:H130)</f>
        <v/>
      </c>
      <c r="I128" s="96">
        <f>SUM(I129:I130)</f>
        <v/>
      </c>
      <c r="J128" s="96">
        <f>SUM(J129:J130)</f>
        <v/>
      </c>
      <c r="K128" s="96">
        <f>SUM(K129:K130)</f>
        <v/>
      </c>
      <c r="L128" s="97">
        <f>SUM(L129:L130)</f>
        <v/>
      </c>
    </row>
    <row r="129" ht="14.25" customHeight="1" s="1">
      <c r="A129" s="99" t="inlineStr">
        <is>
          <t xml:space="preserve">     Depreciación de activos</t>
        </is>
      </c>
      <c r="B129" s="100" t="n"/>
      <c r="C129" s="15">
        <f>C123</f>
        <v/>
      </c>
      <c r="D129" s="15">
        <f>D123</f>
        <v/>
      </c>
      <c r="E129" s="15">
        <f>E123</f>
        <v/>
      </c>
      <c r="F129" s="15">
        <f>F123</f>
        <v/>
      </c>
      <c r="G129" s="15">
        <f>G123</f>
        <v/>
      </c>
      <c r="H129" s="15">
        <f>H123</f>
        <v/>
      </c>
      <c r="I129" s="15">
        <f>I123</f>
        <v/>
      </c>
      <c r="J129" s="15">
        <f>J123</f>
        <v/>
      </c>
      <c r="K129" s="15">
        <f>K123</f>
        <v/>
      </c>
      <c r="L129" s="101">
        <f>L123</f>
        <v/>
      </c>
    </row>
    <row r="130" ht="14.25" customHeight="1" s="1">
      <c r="A130" s="99" t="inlineStr">
        <is>
          <t xml:space="preserve">     Amortización de pre-operativos</t>
        </is>
      </c>
      <c r="B130" s="100" t="n"/>
      <c r="C130" s="15">
        <f>C124</f>
        <v/>
      </c>
      <c r="D130" s="15">
        <f>D124</f>
        <v/>
      </c>
      <c r="E130" s="15">
        <f>E124</f>
        <v/>
      </c>
      <c r="F130" s="15">
        <f>F124</f>
        <v/>
      </c>
      <c r="G130" s="15">
        <f>G124</f>
        <v/>
      </c>
      <c r="H130" s="15">
        <f>H124</f>
        <v/>
      </c>
      <c r="I130" s="15">
        <f>I124</f>
        <v/>
      </c>
      <c r="J130" s="15">
        <f>J124</f>
        <v/>
      </c>
      <c r="K130" s="15">
        <f>K124</f>
        <v/>
      </c>
      <c r="L130" s="101">
        <f>L124</f>
        <v/>
      </c>
    </row>
    <row r="131" ht="14.25" customHeight="1" s="1">
      <c r="A131" s="94" t="inlineStr">
        <is>
          <t>+ Ingresos no sujetos a impuestos</t>
        </is>
      </c>
      <c r="B131" s="96">
        <f>SUM(B132:B134)</f>
        <v/>
      </c>
      <c r="C131" s="96">
        <f>SUM(C132:C134)</f>
        <v/>
      </c>
      <c r="D131" s="96">
        <f>SUM(D132:D134)</f>
        <v/>
      </c>
      <c r="E131" s="96">
        <f>SUM(E132:E134)</f>
        <v/>
      </c>
      <c r="F131" s="96">
        <f>SUM(F132:F134)</f>
        <v/>
      </c>
      <c r="G131" s="96">
        <f>SUM(G132:G134)</f>
        <v/>
      </c>
      <c r="H131" s="96">
        <f>SUM(H132:H134)</f>
        <v/>
      </c>
      <c r="I131" s="96">
        <f>SUM(I132:I134)</f>
        <v/>
      </c>
      <c r="J131" s="96">
        <f>SUM(J132:J134)</f>
        <v/>
      </c>
      <c r="K131" s="96">
        <f>SUM(K132:K134)</f>
        <v/>
      </c>
      <c r="L131" s="97">
        <f>SUM(L132:L134)</f>
        <v/>
      </c>
    </row>
    <row r="132" ht="14.25" customHeight="1" s="1">
      <c r="A132" s="99" t="inlineStr">
        <is>
          <t xml:space="preserve">     Valor de desecho</t>
        </is>
      </c>
      <c r="B132" s="100" t="n"/>
      <c r="C132" s="100" t="n"/>
      <c r="D132" s="100" t="n"/>
      <c r="E132" s="100" t="n"/>
      <c r="F132" s="100" t="n"/>
      <c r="G132" s="100" t="n"/>
      <c r="H132" s="100" t="n"/>
      <c r="I132" s="100" t="n"/>
      <c r="J132" s="100" t="n"/>
      <c r="K132" s="100" t="n"/>
      <c r="L132" s="101">
        <f>M98</f>
        <v/>
      </c>
    </row>
    <row r="133" ht="14.25" customHeight="1" s="1">
      <c r="A133" s="99" t="inlineStr">
        <is>
          <t xml:space="preserve">     Recuperación del capital de trabajo</t>
        </is>
      </c>
      <c r="B133" s="100" t="n"/>
      <c r="C133" s="100" t="n"/>
      <c r="D133" s="100" t="n"/>
      <c r="E133" s="100" t="n"/>
      <c r="F133" s="100" t="n"/>
      <c r="G133" s="100" t="n"/>
      <c r="H133" s="100" t="n"/>
      <c r="I133" s="100" t="n"/>
      <c r="J133" s="100" t="n"/>
      <c r="K133" s="100" t="n"/>
      <c r="L133" s="101">
        <f>-L77</f>
        <v/>
      </c>
    </row>
    <row r="134" ht="14.25" customHeight="1" s="1">
      <c r="A134" s="99" t="inlineStr">
        <is>
          <t xml:space="preserve">     Préstamo bancario</t>
        </is>
      </c>
      <c r="B134" s="15">
        <f>B102</f>
        <v/>
      </c>
      <c r="C134" s="100" t="n"/>
      <c r="D134" s="100" t="n"/>
      <c r="E134" s="100" t="n"/>
      <c r="F134" s="100" t="n"/>
      <c r="G134" s="100" t="n"/>
      <c r="H134" s="100" t="n"/>
      <c r="I134" s="100" t="n"/>
      <c r="J134" s="100" t="n"/>
      <c r="K134" s="100" t="n"/>
      <c r="L134" s="102" t="n"/>
    </row>
    <row r="135" ht="14.25" customHeight="1" s="1">
      <c r="A135" s="94" t="inlineStr">
        <is>
          <t>- Egresos no deducibles de impuestos</t>
        </is>
      </c>
      <c r="B135" s="96">
        <f>SUM(B136:B139)</f>
        <v/>
      </c>
      <c r="C135" s="96">
        <f>SUM(C136:C139)</f>
        <v/>
      </c>
      <c r="D135" s="96">
        <f>SUM(D136:D139)</f>
        <v/>
      </c>
      <c r="E135" s="96">
        <f>SUM(E136:E139)</f>
        <v/>
      </c>
      <c r="F135" s="96">
        <f>SUM(F136:F139)</f>
        <v/>
      </c>
      <c r="G135" s="96">
        <f>SUM(G136:G139)</f>
        <v/>
      </c>
      <c r="H135" s="96">
        <f>SUM(H136:H139)</f>
        <v/>
      </c>
      <c r="I135" s="96">
        <f>SUM(I136:I139)</f>
        <v/>
      </c>
      <c r="J135" s="96">
        <f>SUM(J136:J139)</f>
        <v/>
      </c>
      <c r="K135" s="96">
        <f>SUM(K136:K139)</f>
        <v/>
      </c>
      <c r="L135" s="97">
        <f>SUM(L136:L139)</f>
        <v/>
      </c>
    </row>
    <row r="136" ht="14.25" customHeight="1" s="1">
      <c r="A136" s="99" t="inlineStr">
        <is>
          <t xml:space="preserve">     Activos (inv. 20 años, 10 años, 5 años, terreno)</t>
        </is>
      </c>
      <c r="B136" s="96">
        <f>SUM(B69:B72)</f>
        <v/>
      </c>
      <c r="C136" s="95" t="n"/>
      <c r="D136" s="95" t="n"/>
      <c r="E136" s="95" t="n"/>
      <c r="F136" s="95" t="n"/>
      <c r="G136" s="96">
        <f>G69</f>
        <v/>
      </c>
      <c r="H136" s="95" t="n"/>
      <c r="I136" s="95" t="n"/>
      <c r="J136" s="95" t="n"/>
      <c r="K136" s="95" t="n"/>
      <c r="L136" s="103" t="n"/>
    </row>
    <row r="137" ht="14.25" customHeight="1" s="1">
      <c r="A137" s="99" t="inlineStr">
        <is>
          <t xml:space="preserve">     Gastos de puesta en marcha (pre-operativos)</t>
        </is>
      </c>
      <c r="B137" s="15">
        <f>B74</f>
        <v/>
      </c>
      <c r="C137" s="100" t="n"/>
      <c r="D137" s="100" t="n"/>
      <c r="E137" s="100" t="n"/>
      <c r="F137" s="100" t="n"/>
      <c r="G137" s="100" t="n"/>
      <c r="H137" s="100" t="n"/>
      <c r="I137" s="100" t="n"/>
      <c r="J137" s="100" t="n"/>
      <c r="K137" s="100" t="n"/>
      <c r="L137" s="102" t="n"/>
    </row>
    <row r="138" ht="14.25" customHeight="1" s="1">
      <c r="A138" s="99" t="inlineStr">
        <is>
          <t xml:space="preserve">     Inversión en capital de trabajo</t>
        </is>
      </c>
      <c r="B138" s="15">
        <f>B76</f>
        <v/>
      </c>
      <c r="C138" s="15">
        <f>C76</f>
        <v/>
      </c>
      <c r="D138" s="15">
        <f>D76</f>
        <v/>
      </c>
      <c r="E138" s="15">
        <f>E76</f>
        <v/>
      </c>
      <c r="F138" s="15">
        <f>F76</f>
        <v/>
      </c>
      <c r="G138" s="15">
        <f>G76</f>
        <v/>
      </c>
      <c r="H138" s="15">
        <f>H76</f>
        <v/>
      </c>
      <c r="I138" s="15">
        <f>I76</f>
        <v/>
      </c>
      <c r="J138" s="15">
        <f>J76</f>
        <v/>
      </c>
      <c r="K138" s="15">
        <f>K76</f>
        <v/>
      </c>
      <c r="L138" s="102" t="n"/>
    </row>
    <row r="139" ht="14.25" customHeight="1" s="1">
      <c r="A139" s="99" t="inlineStr">
        <is>
          <t xml:space="preserve">     Pago préstamo bancario</t>
        </is>
      </c>
      <c r="B139" s="100" t="n"/>
      <c r="C139" s="15">
        <f>C111</f>
        <v/>
      </c>
      <c r="D139" s="15">
        <f>D111</f>
        <v/>
      </c>
      <c r="E139" s="15">
        <f>E111</f>
        <v/>
      </c>
      <c r="F139" s="15">
        <f>F111</f>
        <v/>
      </c>
      <c r="G139" s="15">
        <f>G111</f>
        <v/>
      </c>
      <c r="H139" s="15">
        <f>H111</f>
        <v/>
      </c>
      <c r="I139" s="15">
        <f>I111</f>
        <v/>
      </c>
      <c r="J139" s="15">
        <f>J111</f>
        <v/>
      </c>
      <c r="K139" s="15">
        <f>K111</f>
        <v/>
      </c>
      <c r="L139" s="101">
        <f>L111</f>
        <v/>
      </c>
    </row>
    <row r="140" ht="14.25" customHeight="1" s="1">
      <c r="A140" s="104" t="inlineStr">
        <is>
          <t>= Flujo de caja</t>
        </is>
      </c>
      <c r="B140" s="53">
        <f>B127+B128+B131-B135</f>
        <v/>
      </c>
      <c r="C140" s="53">
        <f>C127+C128+C131-C135</f>
        <v/>
      </c>
      <c r="D140" s="53">
        <f>D127+D128+D131-D135</f>
        <v/>
      </c>
      <c r="E140" s="53">
        <f>E127+E128+E131-E135</f>
        <v/>
      </c>
      <c r="F140" s="53">
        <f>F127+F128+F131-F135</f>
        <v/>
      </c>
      <c r="G140" s="53">
        <f>G127+G128+G131-G135</f>
        <v/>
      </c>
      <c r="H140" s="53">
        <f>H127+H128+H131-H135</f>
        <v/>
      </c>
      <c r="I140" s="53">
        <f>I127+I128+I131-I135</f>
        <v/>
      </c>
      <c r="J140" s="53">
        <f>J127+J128+J131-J135</f>
        <v/>
      </c>
      <c r="K140" s="53">
        <f>K127+K128+K131-K135</f>
        <v/>
      </c>
      <c r="L140" s="53">
        <f>L127+L128+L131-L135</f>
        <v/>
      </c>
    </row>
    <row r="141" ht="14.25" customHeight="1" s="1">
      <c r="A141" s="105" t="inlineStr">
        <is>
          <t>Flujo de caja acumulado (PRI)</t>
        </is>
      </c>
    </row>
    <row r="142" ht="14.25" customHeight="1" s="1">
      <c r="A142" s="145" t="inlineStr">
        <is>
          <t xml:space="preserve">     Flujo acumulado</t>
        </is>
      </c>
      <c r="B142" s="53">
        <f>B140</f>
        <v/>
      </c>
      <c r="C142" s="53">
        <f>B142+C140</f>
        <v/>
      </c>
      <c r="D142" s="53">
        <f>C142+D140</f>
        <v/>
      </c>
      <c r="E142" s="53">
        <f>D142+E140</f>
        <v/>
      </c>
      <c r="F142" s="53">
        <f>E142+F140</f>
        <v/>
      </c>
      <c r="G142" s="53">
        <f>F142+G140</f>
        <v/>
      </c>
      <c r="H142" s="53">
        <f>G142+H140</f>
        <v/>
      </c>
      <c r="I142" s="53">
        <f>H142+I140</f>
        <v/>
      </c>
      <c r="J142" s="53">
        <f>I142+J140</f>
        <v/>
      </c>
      <c r="K142" s="53">
        <f>J142+K140</f>
        <v/>
      </c>
      <c r="L142" s="53">
        <f>K142+L140</f>
        <v/>
      </c>
    </row>
    <row r="143" ht="14.25" customHeight="1" s="1">
      <c r="A143" s="105" t="inlineStr">
        <is>
          <t>Flujo descontado acumulado (PRID)</t>
        </is>
      </c>
    </row>
    <row r="144" ht="14.25" customHeight="1" s="1">
      <c r="A144" s="145" t="inlineStr">
        <is>
          <t xml:space="preserve">     Flujo desc. acumulado</t>
        </is>
      </c>
      <c r="B144" s="53">
        <f>B140</f>
        <v/>
      </c>
      <c r="C144" s="53">
        <f>B144+C140/(1+E150)^1</f>
        <v/>
      </c>
      <c r="D144" s="53">
        <f>C144+D140/(1+E150)^2</f>
        <v/>
      </c>
      <c r="E144" s="53">
        <f>D144+E140/(1+E150)^3</f>
        <v/>
      </c>
      <c r="F144" s="53">
        <f>E144+F140/(1+E150)^4</f>
        <v/>
      </c>
      <c r="G144" s="53">
        <f>F144+G140/(1+E150)^5</f>
        <v/>
      </c>
      <c r="H144" s="53">
        <f>G144+H140/(1+E150)^6</f>
        <v/>
      </c>
      <c r="I144" s="53">
        <f>H144+I140/(1+E150)^7</f>
        <v/>
      </c>
      <c r="J144" s="53">
        <f>I144+J140/(1+E150)^8</f>
        <v/>
      </c>
      <c r="K144" s="53">
        <f>J144+K140/(1+E150)^9</f>
        <v/>
      </c>
      <c r="L144" s="53">
        <f>K144+L140/(1+E150)^10</f>
        <v/>
      </c>
    </row>
    <row r="145" ht="14.25" customHeight="1" s="1">
      <c r="B145" s="21" t="n"/>
      <c r="F145" s="106" t="n"/>
    </row>
    <row r="146" ht="14.25" customHeight="1" s="1">
      <c r="A146" s="22" t="inlineStr">
        <is>
          <t>10. Costo del capital</t>
        </is>
      </c>
    </row>
    <row r="147" ht="14.25" customHeight="1" s="1">
      <c r="B147" s="107" t="inlineStr">
        <is>
          <t>Participación ($)</t>
        </is>
      </c>
      <c r="C147" s="107" t="inlineStr">
        <is>
          <t>Participación (%)</t>
        </is>
      </c>
      <c r="D147" s="107" t="inlineStr">
        <is>
          <t>Costo</t>
        </is>
      </c>
      <c r="E147" s="107" t="inlineStr">
        <is>
          <t>Costo promedio</t>
        </is>
      </c>
    </row>
    <row r="148" ht="14.25" customHeight="1" s="1">
      <c r="A148" s="4" t="inlineStr">
        <is>
          <t>Préstamo bancario</t>
        </is>
      </c>
      <c r="B148" s="147">
        <f>B102</f>
        <v/>
      </c>
      <c r="C148" s="149">
        <f>E102</f>
        <v/>
      </c>
      <c r="D148" s="149">
        <f>B103*(1-B26)</f>
        <v/>
      </c>
      <c r="E148" s="149">
        <f>C148*D148</f>
        <v/>
      </c>
    </row>
    <row r="149" ht="18" customHeight="1" s="1">
      <c r="A149" s="4" t="inlineStr">
        <is>
          <t>Fondos propios</t>
        </is>
      </c>
      <c r="B149" s="148">
        <f>B77-B148</f>
        <v/>
      </c>
      <c r="C149" s="150">
        <f>1-C148</f>
        <v/>
      </c>
      <c r="D149" s="149">
        <f>B25</f>
        <v/>
      </c>
      <c r="E149" s="150">
        <f>C149*D149</f>
        <v/>
      </c>
    </row>
    <row r="150" ht="14.25" customHeight="1" s="1">
      <c r="B150" s="147">
        <f>B148+B149</f>
        <v/>
      </c>
      <c r="C150" s="149">
        <f>C148+C149</f>
        <v/>
      </c>
      <c r="D150" s="108" t="n"/>
      <c r="E150" s="149">
        <f>E148+E149</f>
        <v/>
      </c>
    </row>
    <row r="152" ht="14.25" customHeight="1" s="1">
      <c r="A152" s="22" t="inlineStr">
        <is>
          <t>11. Indicadores financieros</t>
        </is>
      </c>
    </row>
    <row r="153" ht="14.25" customHeight="1" s="1">
      <c r="A153" s="109" t="inlineStr">
        <is>
          <t>VAN(WACC) =</t>
        </is>
      </c>
      <c r="B153" s="110">
        <f>NPV(E150,C140:L140)+B140</f>
        <v/>
      </c>
    </row>
    <row r="154" ht="14.25" customHeight="1" s="1">
      <c r="A154" s="109" t="inlineStr">
        <is>
          <t>TIR =</t>
        </is>
      </c>
      <c r="B154" s="151">
        <f>IRR(B140:L140)</f>
        <v/>
      </c>
    </row>
    <row r="155" ht="14.25" customHeight="1" s="1">
      <c r="A155" s="109" t="inlineStr">
        <is>
          <t>PRI =</t>
        </is>
      </c>
      <c r="B155" s="112">
        <f>IFERROR(MATCH(1,INDEX((C142:L142&gt;=0)*1,0),0),"&gt;10")</f>
        <v/>
      </c>
    </row>
    <row r="156" ht="14.25" customHeight="1" s="1">
      <c r="A156" s="109" t="inlineStr">
        <is>
          <t>PRID =</t>
        </is>
      </c>
      <c r="B156" s="112">
        <f>IFERROR(MATCH(1,INDEX((C144:L144&gt;=0)*1,0),0),"&gt;10")</f>
        <v/>
      </c>
    </row>
    <row r="157" ht="14.25" customHeight="1" s="1">
      <c r="A157" s="109" t="inlineStr">
        <is>
          <t>ID =</t>
        </is>
      </c>
      <c r="B157" s="142">
        <f>(NPV(E150,C140:L140)+B140+ABS(B140))/ABS(B140)</f>
        <v/>
      </c>
    </row>
    <row r="158" ht="14.25" customHeight="1" s="1">
      <c r="B158" s="21" t="n"/>
    </row>
    <row r="159" ht="14.25" customHeight="1" s="1">
      <c r="B159" s="21" t="n"/>
    </row>
    <row r="160" ht="14.25" customHeight="1" s="1">
      <c r="A160" s="105" t="n"/>
      <c r="B160" s="113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</row>
    <row r="161" ht="14.25" customHeight="1" s="1">
      <c r="A161" s="105" t="n"/>
      <c r="B161" s="113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</row>
    <row r="162" ht="14.25" customHeight="1" s="1">
      <c r="A162" s="105" t="n"/>
      <c r="B162" s="113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</row>
    <row r="163" ht="14.25" customHeight="1" s="1">
      <c r="A163" s="105" t="n"/>
      <c r="B163" s="113" t="n"/>
      <c r="C163" s="115" t="n"/>
      <c r="D163" s="115" t="n"/>
      <c r="E163" s="115" t="n"/>
      <c r="F163" s="115" t="n"/>
      <c r="G163" s="115" t="n"/>
      <c r="H163" s="115" t="n"/>
      <c r="I163" s="115" t="n"/>
      <c r="J163" s="115" t="n"/>
      <c r="K163" s="115" t="n"/>
      <c r="L163" s="115" t="n"/>
    </row>
    <row r="164" ht="14.25" customHeight="1" s="1">
      <c r="B164" s="21" t="n"/>
    </row>
    <row r="165" ht="14.25" customHeight="1" s="1">
      <c r="B165" s="21" t="n"/>
    </row>
    <row r="166" ht="14.25" customHeight="1" s="1">
      <c r="B166" s="21" t="n"/>
    </row>
  </sheetData>
  <mergeCells count="6">
    <mergeCell ref="A50:H50"/>
    <mergeCell ref="A55:H55"/>
    <mergeCell ref="A98:L98"/>
    <mergeCell ref="A92:A93"/>
    <mergeCell ref="C92:L92"/>
    <mergeCell ref="B105:C105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66"/>
  <sheetViews>
    <sheetView showGridLines="0" topLeftCell="A130" zoomScaleNormal="100" workbookViewId="0">
      <selection activeCell="C160" sqref="C160"/>
    </sheetView>
  </sheetViews>
  <sheetFormatPr baseColWidth="10" defaultColWidth="8.6640625" defaultRowHeight="14.4"/>
  <cols>
    <col width="42.44140625" customWidth="1" style="1" min="1" max="1"/>
    <col width="15.5546875" customWidth="1" style="1" min="2" max="2"/>
    <col width="16.109375" customWidth="1" style="1" min="3" max="3"/>
    <col width="15.44140625" customWidth="1" style="1" min="4" max="8"/>
    <col width="15.5546875" customWidth="1" style="1" min="9" max="11"/>
    <col width="15.44140625" customWidth="1" style="1" min="12" max="12"/>
    <col width="13.5546875" customWidth="1" style="1" min="13" max="13"/>
    <col width="13.33203125" customWidth="1" style="1" min="14" max="14"/>
    <col width="10.6640625" customWidth="1" style="1" min="16" max="16"/>
    <col width="25.109375" customWidth="1" style="1" min="18" max="18"/>
    <col width="11.6640625" customWidth="1" style="1" min="19" max="19"/>
    <col width="13.44140625" customWidth="1" style="1" min="20" max="20"/>
    <col width="8.44140625" customWidth="1" style="1" min="21" max="21"/>
    <col width="10.6640625" customWidth="1" style="1" min="22" max="22"/>
  </cols>
  <sheetData>
    <row r="1" ht="15" customHeight="1" s="1">
      <c r="A1" s="2" t="inlineStr">
        <is>
          <t>Camaronera Industrial</t>
        </is>
      </c>
    </row>
    <row r="3" ht="14.25" customHeight="1" s="1">
      <c r="A3" s="3" t="inlineStr">
        <is>
          <t>Variables</t>
        </is>
      </c>
    </row>
    <row r="4" ht="14.25" customHeight="1" s="1">
      <c r="A4" s="4" t="inlineStr">
        <is>
          <t>Horizonte de evaluación (años)</t>
        </is>
      </c>
      <c r="B4" s="4" t="n">
        <v>10</v>
      </c>
    </row>
    <row r="5" ht="14.25" customHeight="1" s="1">
      <c r="A5" s="4" t="inlineStr">
        <is>
          <t>Devaluación</t>
        </is>
      </c>
      <c r="B5" s="5" t="n">
        <v>0.05</v>
      </c>
    </row>
    <row r="6" ht="14.25" customHeight="1" s="1">
      <c r="A6" s="4" t="inlineStr">
        <is>
          <t>Inflación</t>
        </is>
      </c>
      <c r="B6" s="5" t="n">
        <v>0.07000000000000001</v>
      </c>
    </row>
    <row r="7" ht="14.25" customHeight="1" s="1">
      <c r="B7" s="6" t="inlineStr">
        <is>
          <t>Año 0</t>
        </is>
      </c>
      <c r="C7" s="6" t="inlineStr">
        <is>
          <t>Año 1</t>
        </is>
      </c>
      <c r="D7" s="6" t="inlineStr">
        <is>
          <t>Año 2</t>
        </is>
      </c>
      <c r="E7" s="6" t="inlineStr">
        <is>
          <t>Año 3</t>
        </is>
      </c>
      <c r="F7" s="6" t="inlineStr">
        <is>
          <t>Año 4</t>
        </is>
      </c>
      <c r="G7" s="6" t="inlineStr">
        <is>
          <t>Año 5</t>
        </is>
      </c>
      <c r="H7" s="6" t="inlineStr">
        <is>
          <t>Año 6</t>
        </is>
      </c>
      <c r="I7" s="6" t="inlineStr">
        <is>
          <t>Año 7</t>
        </is>
      </c>
      <c r="J7" s="6" t="inlineStr">
        <is>
          <t>Año 8</t>
        </is>
      </c>
      <c r="K7" s="6" t="inlineStr">
        <is>
          <t>Año 9</t>
        </is>
      </c>
      <c r="L7" s="6" t="inlineStr">
        <is>
          <t>Año 10</t>
        </is>
      </c>
    </row>
    <row r="8" ht="14.25" customHeight="1" s="1">
      <c r="A8" s="4" t="inlineStr">
        <is>
          <t>Área en producción (Ha)</t>
        </is>
      </c>
      <c r="B8" s="7" t="n"/>
      <c r="C8" s="8" t="n">
        <v>750</v>
      </c>
      <c r="D8" s="8" t="n">
        <v>900</v>
      </c>
      <c r="E8" s="8" t="n">
        <v>900</v>
      </c>
      <c r="F8" s="8" t="n">
        <v>900</v>
      </c>
      <c r="G8" s="8" t="n">
        <v>900</v>
      </c>
      <c r="H8" s="8" t="n">
        <v>900</v>
      </c>
      <c r="I8" s="8" t="n">
        <v>900</v>
      </c>
      <c r="J8" s="8" t="n">
        <v>900</v>
      </c>
      <c r="K8" s="8" t="n">
        <v>900</v>
      </c>
      <c r="L8" s="8" t="n">
        <v>900</v>
      </c>
    </row>
    <row r="9" ht="14.25" customHeight="1" s="1">
      <c r="A9" s="4" t="inlineStr">
        <is>
          <t>Producción neta (Lb/Ha/año)</t>
        </is>
      </c>
      <c r="B9" s="7" t="n"/>
      <c r="C9" s="9">
        <f>1225</f>
        <v/>
      </c>
      <c r="D9" s="9">
        <f>1470</f>
        <v/>
      </c>
      <c r="E9" s="9">
        <f>1715</f>
        <v/>
      </c>
      <c r="F9" s="9">
        <f>1960</f>
        <v/>
      </c>
      <c r="G9" s="9">
        <f>2205</f>
        <v/>
      </c>
      <c r="H9" s="9">
        <f>2205</f>
        <v/>
      </c>
      <c r="I9" s="9">
        <f>2205</f>
        <v/>
      </c>
      <c r="J9" s="9">
        <f>2205</f>
        <v/>
      </c>
      <c r="K9" s="9">
        <f>2205</f>
        <v/>
      </c>
      <c r="L9" s="9">
        <f>2205</f>
        <v/>
      </c>
    </row>
    <row r="10" ht="14.25" customHeight="1" s="1">
      <c r="A10" s="4" t="inlineStr">
        <is>
          <t>Producción neta total (Lb/año)</t>
        </is>
      </c>
      <c r="B10" s="7" t="n"/>
      <c r="C10" s="9">
        <f>C9*C8</f>
        <v/>
      </c>
      <c r="D10" s="9">
        <f>D9*D8</f>
        <v/>
      </c>
      <c r="E10" s="9">
        <f>E9*E8</f>
        <v/>
      </c>
      <c r="F10" s="9">
        <f>F9*F8</f>
        <v/>
      </c>
      <c r="G10" s="9">
        <f>G9*G8</f>
        <v/>
      </c>
      <c r="H10" s="9">
        <f>H9*H8</f>
        <v/>
      </c>
      <c r="I10" s="9">
        <f>I9*I8</f>
        <v/>
      </c>
      <c r="J10" s="9">
        <f>J9*J8</f>
        <v/>
      </c>
      <c r="K10" s="9">
        <f>K9*K8</f>
        <v/>
      </c>
      <c r="L10" s="9">
        <f>L9*L8</f>
        <v/>
      </c>
    </row>
    <row r="11" ht="14.25" customHeight="1" s="1">
      <c r="A11" s="4" t="inlineStr">
        <is>
          <t>Tasa de cambio</t>
        </is>
      </c>
      <c r="B11" s="7" t="n"/>
      <c r="C11" s="10" t="n">
        <v>1</v>
      </c>
      <c r="D11" s="10">
        <f>C11+(C11*$B$5)</f>
        <v/>
      </c>
      <c r="E11" s="10">
        <f>D11+(D11*$B$5)</f>
        <v/>
      </c>
      <c r="F11" s="10">
        <f>E11+(E11*$B$5)</f>
        <v/>
      </c>
      <c r="G11" s="10">
        <f>F11+(F11*$B$5)</f>
        <v/>
      </c>
      <c r="H11" s="10">
        <f>G11+(G11*$B$5)</f>
        <v/>
      </c>
      <c r="I11" s="10">
        <f>H11+(H11*$B$5)</f>
        <v/>
      </c>
      <c r="J11" s="10">
        <f>I11+(I11*$B$5)</f>
        <v/>
      </c>
      <c r="K11" s="10">
        <f>J11+(J11*$B$5)</f>
        <v/>
      </c>
      <c r="L11" s="10">
        <f>K11+(K11*$B$5)</f>
        <v/>
      </c>
    </row>
    <row r="12" ht="14.25" customHeight="1" s="1">
      <c r="A12" s="4" t="inlineStr">
        <is>
          <t>Precio de venta FOB ($/Lb)</t>
        </is>
      </c>
      <c r="B12" s="7" t="n"/>
      <c r="C12" s="11" t="n">
        <v>3</v>
      </c>
      <c r="D12" s="11">
        <f>C12+(C12*$B$6)</f>
        <v/>
      </c>
      <c r="E12" s="11">
        <f>D12+(D12*$B$6)</f>
        <v/>
      </c>
      <c r="F12" s="11">
        <f>E12+(E12*$B$6)</f>
        <v/>
      </c>
      <c r="G12" s="11">
        <f>F12+(F12*$B$6)</f>
        <v/>
      </c>
      <c r="H12" s="11">
        <f>G12+(G12*$B$6)</f>
        <v/>
      </c>
      <c r="I12" s="11">
        <f>H12+(H12*$B$6)</f>
        <v/>
      </c>
      <c r="J12" s="11">
        <f>I12+(I12*$B$6)</f>
        <v/>
      </c>
      <c r="K12" s="11">
        <f>J12+(J12*$B$6)</f>
        <v/>
      </c>
      <c r="L12" s="11">
        <f>K12+(K12*$B$6)</f>
        <v/>
      </c>
    </row>
    <row r="13" ht="14.25" customHeight="1" s="1">
      <c r="A13" s="4" t="inlineStr">
        <is>
          <t>Capital de trabajo</t>
        </is>
      </c>
      <c r="B13" s="12" t="n"/>
      <c r="C13" s="13" t="n">
        <v>450000</v>
      </c>
      <c r="D13" s="13" t="n">
        <v>250000</v>
      </c>
      <c r="E13" s="13" t="n">
        <v>250000</v>
      </c>
      <c r="F13" s="13" t="n">
        <v>250000</v>
      </c>
      <c r="G13" s="13" t="n">
        <v>250000</v>
      </c>
      <c r="H13" s="13" t="n">
        <v>250000</v>
      </c>
      <c r="I13" s="13" t="n">
        <v>0</v>
      </c>
      <c r="J13" s="13" t="n">
        <v>0</v>
      </c>
      <c r="K13" s="13" t="n">
        <v>0</v>
      </c>
      <c r="L13" s="13" t="n">
        <v>0</v>
      </c>
    </row>
    <row r="14" ht="14.25" customHeight="1" s="1">
      <c r="A14" s="4" t="inlineStr">
        <is>
          <t>Costos variables ($1.45 x Lb)</t>
        </is>
      </c>
      <c r="B14" s="12" t="n"/>
      <c r="C14" s="11">
        <f>1.45</f>
        <v/>
      </c>
      <c r="D14" s="11">
        <f>C14+(C14*$B$6)</f>
        <v/>
      </c>
      <c r="E14" s="11">
        <f>D14+(D14*$B$6)</f>
        <v/>
      </c>
      <c r="F14" s="11">
        <f>E14+(E14*$B$6)</f>
        <v/>
      </c>
      <c r="G14" s="11">
        <f>F14+(F14*$B$6)</f>
        <v/>
      </c>
      <c r="H14" s="11">
        <f>G14+(G14*$B$6)</f>
        <v/>
      </c>
      <c r="I14" s="11">
        <f>H14+(H14*$B$6)</f>
        <v/>
      </c>
      <c r="J14" s="11">
        <f>I14+(I14*$B$6)</f>
        <v/>
      </c>
      <c r="K14" s="11">
        <f>J14+(J14*$B$6)</f>
        <v/>
      </c>
      <c r="L14" s="11">
        <f>K14+(K14*$B$6)</f>
        <v/>
      </c>
    </row>
    <row r="15" ht="14.25" customHeight="1" s="1">
      <c r="A15" s="4" t="inlineStr">
        <is>
          <t>Costos variables anuales</t>
        </is>
      </c>
      <c r="B15" s="14" t="n"/>
      <c r="C15" s="15">
        <f>C14*C10</f>
        <v/>
      </c>
      <c r="D15" s="15">
        <f>D14*D10</f>
        <v/>
      </c>
      <c r="E15" s="15">
        <f>E14*E10</f>
        <v/>
      </c>
      <c r="F15" s="15">
        <f>F14*F10</f>
        <v/>
      </c>
      <c r="G15" s="15">
        <f>G14*G10</f>
        <v/>
      </c>
      <c r="H15" s="15">
        <f>H14*H10</f>
        <v/>
      </c>
      <c r="I15" s="15">
        <f>I14*I10</f>
        <v/>
      </c>
      <c r="J15" s="15">
        <f>J14*J10</f>
        <v/>
      </c>
      <c r="K15" s="15">
        <f>K14*K10</f>
        <v/>
      </c>
      <c r="L15" s="15">
        <f>L14*L10</f>
        <v/>
      </c>
    </row>
    <row r="16" ht="14.25" customHeight="1" s="1">
      <c r="A16" s="4" t="inlineStr">
        <is>
          <t>Costos fijos de producción</t>
        </is>
      </c>
      <c r="B16" s="14" t="n"/>
      <c r="C16" s="15" t="n">
        <v>50000</v>
      </c>
      <c r="D16" s="15">
        <f>C16+(C16*$B$6)</f>
        <v/>
      </c>
      <c r="E16" s="15">
        <f>D16+(D16*$B$6)</f>
        <v/>
      </c>
      <c r="F16" s="15">
        <f>E16+(E16*$B$6)</f>
        <v/>
      </c>
      <c r="G16" s="15">
        <f>F16+(F16*$B$6)</f>
        <v/>
      </c>
      <c r="H16" s="15">
        <f>G16+(G16*$B$6)</f>
        <v/>
      </c>
      <c r="I16" s="15">
        <f>H16+(H16*$B$6)</f>
        <v/>
      </c>
      <c r="J16" s="15">
        <f>I16+(I16*$B$6)</f>
        <v/>
      </c>
      <c r="K16" s="15">
        <f>J16+(J16*$B$6)</f>
        <v/>
      </c>
      <c r="L16" s="15">
        <f>K16+(K16*$B$6)</f>
        <v/>
      </c>
    </row>
    <row r="17" ht="14.25" customHeight="1" s="1">
      <c r="A17" s="4" t="inlineStr">
        <is>
          <t>Gastos administrativos</t>
        </is>
      </c>
      <c r="B17" s="14" t="n"/>
      <c r="C17" s="15" t="n">
        <v>200000</v>
      </c>
      <c r="D17" s="15">
        <f>C17+(C17*$B$6)</f>
        <v/>
      </c>
      <c r="E17" s="15">
        <f>D17+(D17*$B$6)</f>
        <v/>
      </c>
      <c r="F17" s="15">
        <f>E17+(E17*$B$6)</f>
        <v/>
      </c>
      <c r="G17" s="15">
        <f>F17+(F17*$B$6)</f>
        <v/>
      </c>
      <c r="H17" s="15">
        <f>G17+(G17*$B$6)</f>
        <v/>
      </c>
      <c r="I17" s="15">
        <f>H17+(H17*$B$6)</f>
        <v/>
      </c>
      <c r="J17" s="15">
        <f>I17+(I17*$B$6)</f>
        <v/>
      </c>
      <c r="K17" s="15">
        <f>J17+(J17*$B$6)</f>
        <v/>
      </c>
      <c r="L17" s="15">
        <f>K17+(K17*$B$6)</f>
        <v/>
      </c>
    </row>
    <row r="18" ht="14.25" customHeight="1" s="1">
      <c r="K18" s="16" t="n"/>
    </row>
    <row r="19" ht="14.25" customHeight="1" s="1">
      <c r="A19" s="4" t="inlineStr">
        <is>
          <t>Valor residual del terreno</t>
        </is>
      </c>
      <c r="B19" s="17" t="n">
        <v>1250000</v>
      </c>
      <c r="K19" s="16" t="n"/>
    </row>
    <row r="20" ht="14.25" customHeight="1" s="1">
      <c r="A20" s="4" t="inlineStr">
        <is>
          <t>Valor residual de estanques y canales</t>
        </is>
      </c>
      <c r="B20" s="17" t="n">
        <v>1000000</v>
      </c>
      <c r="K20" s="16" t="n"/>
    </row>
    <row r="21" ht="14.25" customHeight="1" s="1">
      <c r="A21" s="4" t="inlineStr">
        <is>
          <t>Valor residual de edificios</t>
        </is>
      </c>
      <c r="B21" s="18" t="n">
        <v>50000</v>
      </c>
      <c r="K21" s="16" t="n"/>
    </row>
    <row r="22" ht="14.25" customHeight="1" s="1">
      <c r="A22" s="4" t="inlineStr">
        <is>
          <t>Tasa de fiananciamiento bancario</t>
        </is>
      </c>
      <c r="B22" s="5" t="n">
        <v>0.1</v>
      </c>
    </row>
    <row r="23" ht="14.25" customHeight="1" s="1">
      <c r="A23" s="4" t="inlineStr">
        <is>
          <t>Plazo del financiamiento bancario (años)</t>
        </is>
      </c>
      <c r="B23" s="19" t="n">
        <v>7</v>
      </c>
    </row>
    <row r="24" ht="14.25" customHeight="1" s="1">
      <c r="A24" s="4" t="inlineStr">
        <is>
          <t>Plazo del financiamiento bancario (valor)</t>
        </is>
      </c>
      <c r="B24" s="20">
        <f>5400000*0.5</f>
        <v/>
      </c>
    </row>
    <row r="25" ht="14.25" customHeight="1" s="1">
      <c r="A25" s="4" t="inlineStr">
        <is>
          <t>Tasa de corte</t>
        </is>
      </c>
      <c r="B25" s="5" t="n">
        <v>0.19</v>
      </c>
    </row>
    <row r="26" ht="14.25" customHeight="1" s="1">
      <c r="A26" s="4" t="inlineStr">
        <is>
          <t>Tasa de ISR</t>
        </is>
      </c>
      <c r="B26" s="5" t="n">
        <v>0.3</v>
      </c>
    </row>
    <row r="27" ht="14.25" customHeight="1" s="1">
      <c r="B27" s="21" t="n"/>
    </row>
    <row r="28" ht="14.25" customHeight="1" s="1">
      <c r="A28" s="22" t="inlineStr">
        <is>
          <t>1. Ingresos del proyecto</t>
        </is>
      </c>
      <c r="B28" s="21" t="n"/>
    </row>
    <row r="29" ht="15.75" customHeight="1" s="1">
      <c r="A29" s="23" t="inlineStr">
        <is>
          <t>Calendario de ingresos (venta del producto)</t>
        </is>
      </c>
      <c r="B29" s="24" t="n"/>
    </row>
    <row r="30" ht="14.25" customHeight="1" s="1">
      <c r="A30" s="161" t="inlineStr">
        <is>
          <t>Concepto</t>
        </is>
      </c>
      <c r="B30" s="26" t="inlineStr">
        <is>
          <t>Año 0</t>
        </is>
      </c>
      <c r="C30" s="26" t="inlineStr">
        <is>
          <t>Año 1</t>
        </is>
      </c>
      <c r="D30" s="26" t="inlineStr">
        <is>
          <t>Año 2</t>
        </is>
      </c>
      <c r="E30" s="26" t="inlineStr">
        <is>
          <t>Año 3</t>
        </is>
      </c>
      <c r="F30" s="26" t="inlineStr">
        <is>
          <t>Año 4</t>
        </is>
      </c>
      <c r="G30" s="26" t="inlineStr">
        <is>
          <t>Año 5</t>
        </is>
      </c>
      <c r="H30" s="26" t="inlineStr">
        <is>
          <t>Año 6</t>
        </is>
      </c>
      <c r="I30" s="26" t="inlineStr">
        <is>
          <t>Año 7</t>
        </is>
      </c>
      <c r="J30" s="26" t="inlineStr">
        <is>
          <t>Año 8</t>
        </is>
      </c>
      <c r="K30" s="26" t="inlineStr">
        <is>
          <t>Año 9</t>
        </is>
      </c>
      <c r="L30" s="27" t="inlineStr">
        <is>
          <t>Año 10</t>
        </is>
      </c>
    </row>
    <row r="31" ht="14.25" customHeight="1" s="1">
      <c r="A31" s="28" t="inlineStr">
        <is>
          <t>Cantidad de camarón (Lb)</t>
        </is>
      </c>
      <c r="B31" s="29" t="n"/>
      <c r="C31" s="30">
        <f>C10</f>
        <v/>
      </c>
      <c r="D31" s="30">
        <f>D10</f>
        <v/>
      </c>
      <c r="E31" s="30">
        <f>E10</f>
        <v/>
      </c>
      <c r="F31" s="30">
        <f>F10</f>
        <v/>
      </c>
      <c r="G31" s="30">
        <f>G10</f>
        <v/>
      </c>
      <c r="H31" s="30">
        <f>H10</f>
        <v/>
      </c>
      <c r="I31" s="30">
        <f>I10</f>
        <v/>
      </c>
      <c r="J31" s="30">
        <f>J10</f>
        <v/>
      </c>
      <c r="K31" s="30">
        <f>K10</f>
        <v/>
      </c>
      <c r="L31" s="31">
        <f>L10</f>
        <v/>
      </c>
    </row>
    <row r="32" ht="14.25" customHeight="1" s="1">
      <c r="A32" s="28" t="inlineStr">
        <is>
          <t>Precio unitario de venta ($/Lb)</t>
        </is>
      </c>
      <c r="B32" s="29" t="n"/>
      <c r="C32" s="32">
        <f>C12</f>
        <v/>
      </c>
      <c r="D32" s="32">
        <f>D12</f>
        <v/>
      </c>
      <c r="E32" s="32">
        <f>E12</f>
        <v/>
      </c>
      <c r="F32" s="32">
        <f>F12</f>
        <v/>
      </c>
      <c r="G32" s="32">
        <f>G12</f>
        <v/>
      </c>
      <c r="H32" s="32">
        <f>H12</f>
        <v/>
      </c>
      <c r="I32" s="32">
        <f>I12</f>
        <v/>
      </c>
      <c r="J32" s="32">
        <f>J12</f>
        <v/>
      </c>
      <c r="K32" s="32">
        <f>K12</f>
        <v/>
      </c>
      <c r="L32" s="33">
        <f>L12</f>
        <v/>
      </c>
    </row>
    <row r="33" ht="15.75" customHeight="1" s="1">
      <c r="A33" s="34" t="inlineStr">
        <is>
          <t>Ingresos</t>
        </is>
      </c>
      <c r="B33" s="35" t="n"/>
      <c r="C33" s="36">
        <f>C32*C31</f>
        <v/>
      </c>
      <c r="D33" s="36">
        <f>D32*D31</f>
        <v/>
      </c>
      <c r="E33" s="36">
        <f>E32*E31</f>
        <v/>
      </c>
      <c r="F33" s="36">
        <f>F32*F31</f>
        <v/>
      </c>
      <c r="G33" s="36">
        <f>G32*G31</f>
        <v/>
      </c>
      <c r="H33" s="36">
        <f>H32*H31</f>
        <v/>
      </c>
      <c r="I33" s="36">
        <f>I32*I31</f>
        <v/>
      </c>
      <c r="J33" s="36">
        <f>J32*J31</f>
        <v/>
      </c>
      <c r="K33" s="36">
        <f>K32*K31</f>
        <v/>
      </c>
      <c r="L33" s="37">
        <f>L32*L31</f>
        <v/>
      </c>
    </row>
    <row r="34" ht="14.25" customHeight="1" s="1">
      <c r="B34" s="21" t="n"/>
    </row>
    <row r="35" ht="14.25" customHeight="1" s="1">
      <c r="A35" s="22" t="inlineStr">
        <is>
          <t>2. Costos variables</t>
        </is>
      </c>
      <c r="B35" s="24" t="n"/>
    </row>
    <row r="36" ht="15.75" customHeight="1" s="1">
      <c r="A36" s="23" t="inlineStr">
        <is>
          <t>Calendario de costos variables</t>
        </is>
      </c>
      <c r="B36" s="24" t="n"/>
    </row>
    <row r="37" ht="14.25" customHeight="1" s="1">
      <c r="A37" s="161" t="inlineStr">
        <is>
          <t>Concepto</t>
        </is>
      </c>
      <c r="B37" s="26" t="inlineStr">
        <is>
          <t>Año 0</t>
        </is>
      </c>
      <c r="C37" s="26" t="inlineStr">
        <is>
          <t>Año 1</t>
        </is>
      </c>
      <c r="D37" s="26" t="inlineStr">
        <is>
          <t>Año 2</t>
        </is>
      </c>
      <c r="E37" s="26" t="inlineStr">
        <is>
          <t>Año 3</t>
        </is>
      </c>
      <c r="F37" s="26" t="inlineStr">
        <is>
          <t>Año 4</t>
        </is>
      </c>
      <c r="G37" s="26" t="inlineStr">
        <is>
          <t>Año 5</t>
        </is>
      </c>
      <c r="H37" s="26" t="inlineStr">
        <is>
          <t>Año 6</t>
        </is>
      </c>
      <c r="I37" s="26" t="inlineStr">
        <is>
          <t>Año 7</t>
        </is>
      </c>
      <c r="J37" s="26" t="inlineStr">
        <is>
          <t>Año 8</t>
        </is>
      </c>
      <c r="K37" s="26" t="inlineStr">
        <is>
          <t>Año 9</t>
        </is>
      </c>
      <c r="L37" s="27" t="inlineStr">
        <is>
          <t>Año 10</t>
        </is>
      </c>
    </row>
    <row r="38" ht="14.25" customHeight="1" s="1">
      <c r="A38" s="28" t="inlineStr">
        <is>
          <t>Costos variables</t>
        </is>
      </c>
      <c r="B38" s="29" t="n"/>
      <c r="C38" s="38">
        <f>C15</f>
        <v/>
      </c>
      <c r="D38" s="38">
        <f>D15</f>
        <v/>
      </c>
      <c r="E38" s="38">
        <f>E15</f>
        <v/>
      </c>
      <c r="F38" s="38">
        <f>F15</f>
        <v/>
      </c>
      <c r="G38" s="38">
        <f>G15</f>
        <v/>
      </c>
      <c r="H38" s="38">
        <f>H15</f>
        <v/>
      </c>
      <c r="I38" s="38">
        <f>I15</f>
        <v/>
      </c>
      <c r="J38" s="38">
        <f>J15</f>
        <v/>
      </c>
      <c r="K38" s="38">
        <f>K15</f>
        <v/>
      </c>
      <c r="L38" s="39">
        <f>L15</f>
        <v/>
      </c>
    </row>
    <row r="39" ht="15.75" customHeight="1" s="1">
      <c r="A39" s="40" t="inlineStr">
        <is>
          <t>Total de costos variables</t>
        </is>
      </c>
      <c r="B39" s="41" t="n"/>
      <c r="C39" s="36">
        <f>C38</f>
        <v/>
      </c>
      <c r="D39" s="36">
        <f>D38</f>
        <v/>
      </c>
      <c r="E39" s="36">
        <f>E38</f>
        <v/>
      </c>
      <c r="F39" s="36">
        <f>F38</f>
        <v/>
      </c>
      <c r="G39" s="36">
        <f>G38</f>
        <v/>
      </c>
      <c r="H39" s="36">
        <f>H38</f>
        <v/>
      </c>
      <c r="I39" s="36">
        <f>I38</f>
        <v/>
      </c>
      <c r="J39" s="36">
        <f>J38</f>
        <v/>
      </c>
      <c r="K39" s="36">
        <f>K38</f>
        <v/>
      </c>
      <c r="L39" s="37">
        <f>L38</f>
        <v/>
      </c>
    </row>
    <row r="40" ht="14.25" customHeight="1" s="1">
      <c r="B40" s="21" t="n"/>
    </row>
    <row r="41" ht="14.25" customHeight="1" s="1">
      <c r="A41" s="22" t="inlineStr">
        <is>
          <t xml:space="preserve">3. Costos  fijos </t>
        </is>
      </c>
      <c r="B41" s="24" t="n"/>
    </row>
    <row r="42" ht="15.75" customHeight="1" s="1">
      <c r="A42" s="23" t="inlineStr">
        <is>
          <t>Calendario de los costos fijos</t>
        </is>
      </c>
      <c r="B42" s="24" t="n"/>
    </row>
    <row r="43" ht="14.25" customHeight="1" s="1">
      <c r="A43" s="161" t="inlineStr">
        <is>
          <t>Concepto</t>
        </is>
      </c>
      <c r="B43" s="26" t="inlineStr">
        <is>
          <t>Año 0</t>
        </is>
      </c>
      <c r="C43" s="26" t="inlineStr">
        <is>
          <t>Año 1</t>
        </is>
      </c>
      <c r="D43" s="26" t="inlineStr">
        <is>
          <t>Año 2</t>
        </is>
      </c>
      <c r="E43" s="26" t="inlineStr">
        <is>
          <t>Año 3</t>
        </is>
      </c>
      <c r="F43" s="26" t="inlineStr">
        <is>
          <t>Año 4</t>
        </is>
      </c>
      <c r="G43" s="26" t="inlineStr">
        <is>
          <t>Año 5</t>
        </is>
      </c>
      <c r="H43" s="26" t="inlineStr">
        <is>
          <t>Año 6</t>
        </is>
      </c>
      <c r="I43" s="26" t="inlineStr">
        <is>
          <t>Año 7</t>
        </is>
      </c>
      <c r="J43" s="26" t="inlineStr">
        <is>
          <t>Año 8</t>
        </is>
      </c>
      <c r="K43" s="26" t="inlineStr">
        <is>
          <t>Año 9</t>
        </is>
      </c>
      <c r="L43" s="27" t="inlineStr">
        <is>
          <t>Año 10</t>
        </is>
      </c>
    </row>
    <row r="44" ht="14.25" customHeight="1" s="1">
      <c r="A44" s="28" t="inlineStr">
        <is>
          <t>Costos fijos de producción</t>
        </is>
      </c>
      <c r="B44" s="29" t="n"/>
      <c r="C44" s="38">
        <f>C16</f>
        <v/>
      </c>
      <c r="D44" s="38">
        <f>D16</f>
        <v/>
      </c>
      <c r="E44" s="38">
        <f>E16</f>
        <v/>
      </c>
      <c r="F44" s="38">
        <f>F16</f>
        <v/>
      </c>
      <c r="G44" s="38">
        <f>G16</f>
        <v/>
      </c>
      <c r="H44" s="38">
        <f>H16</f>
        <v/>
      </c>
      <c r="I44" s="38">
        <f>I16</f>
        <v/>
      </c>
      <c r="J44" s="38">
        <f>J16</f>
        <v/>
      </c>
      <c r="K44" s="38">
        <f>K16</f>
        <v/>
      </c>
      <c r="L44" s="39">
        <f>L16</f>
        <v/>
      </c>
    </row>
    <row r="45" ht="14.25" customHeight="1" s="1">
      <c r="A45" s="28" t="inlineStr">
        <is>
          <t>Gastos administrativos</t>
        </is>
      </c>
      <c r="B45" s="29" t="n"/>
      <c r="C45" s="38">
        <f>C17</f>
        <v/>
      </c>
      <c r="D45" s="38">
        <f>D17</f>
        <v/>
      </c>
      <c r="E45" s="38">
        <f>E17</f>
        <v/>
      </c>
      <c r="F45" s="38">
        <f>F17</f>
        <v/>
      </c>
      <c r="G45" s="38">
        <f>G17</f>
        <v/>
      </c>
      <c r="H45" s="38">
        <f>H17</f>
        <v/>
      </c>
      <c r="I45" s="38">
        <f>I17</f>
        <v/>
      </c>
      <c r="J45" s="38">
        <f>J17</f>
        <v/>
      </c>
      <c r="K45" s="38">
        <f>K17</f>
        <v/>
      </c>
      <c r="L45" s="39">
        <f>L17</f>
        <v/>
      </c>
    </row>
    <row r="46" ht="15.75" customHeight="1" s="1">
      <c r="A46" s="40" t="inlineStr">
        <is>
          <t>Total de costos fijos</t>
        </is>
      </c>
      <c r="B46" s="41" t="n"/>
      <c r="C46" s="36">
        <f>SUM(C44:C45)</f>
        <v/>
      </c>
      <c r="D46" s="36">
        <f>SUM(D44:D45)</f>
        <v/>
      </c>
      <c r="E46" s="36">
        <f>SUM(E44:E45)</f>
        <v/>
      </c>
      <c r="F46" s="36">
        <f>SUM(F44:F45)</f>
        <v/>
      </c>
      <c r="G46" s="36">
        <f>SUM(G44:G45)</f>
        <v/>
      </c>
      <c r="H46" s="36">
        <f>SUM(H44:H45)</f>
        <v/>
      </c>
      <c r="I46" s="36">
        <f>SUM(I44:I45)</f>
        <v/>
      </c>
      <c r="J46" s="36">
        <f>SUM(J44:J45)</f>
        <v/>
      </c>
      <c r="K46" s="36">
        <f>SUM(K44:K45)</f>
        <v/>
      </c>
      <c r="L46" s="37">
        <f>SUM(L44:L45)</f>
        <v/>
      </c>
    </row>
    <row r="47" ht="14.25" customHeight="1" s="1">
      <c r="B47" s="21" t="n"/>
    </row>
    <row r="48" ht="14.25" customHeight="1" s="1">
      <c r="A48" s="22" t="inlineStr">
        <is>
          <t>4. Capital de trabajo</t>
        </is>
      </c>
      <c r="B48" s="42" t="n"/>
      <c r="C48" s="43" t="n"/>
      <c r="D48" s="43" t="n"/>
      <c r="E48" s="43" t="n"/>
      <c r="F48" s="43" t="n"/>
      <c r="G48" s="43" t="n"/>
      <c r="H48" s="43" t="n"/>
    </row>
    <row r="49" ht="14.25" customHeight="1" s="1">
      <c r="A49" s="44" t="inlineStr">
        <is>
          <t>Capital de trabajo</t>
        </is>
      </c>
      <c r="B49" s="42" t="n"/>
      <c r="C49" s="43" t="n"/>
      <c r="D49" s="43" t="n"/>
      <c r="E49" s="43" t="n"/>
      <c r="F49" s="43" t="n"/>
      <c r="G49" s="43" t="n"/>
      <c r="H49" s="43" t="n"/>
    </row>
    <row r="50" ht="15.75" customHeight="1" s="1">
      <c r="A50" s="160" t="inlineStr">
        <is>
          <t>Necesidad de Efectivo</t>
        </is>
      </c>
    </row>
    <row r="51" ht="14.25" customHeight="1" s="1">
      <c r="A51" s="161" t="inlineStr">
        <is>
          <t>Concepto</t>
        </is>
      </c>
      <c r="B51" s="26" t="inlineStr">
        <is>
          <t>Año 0</t>
        </is>
      </c>
      <c r="C51" s="26" t="inlineStr">
        <is>
          <t>Año 1</t>
        </is>
      </c>
      <c r="D51" s="26" t="inlineStr">
        <is>
          <t>Año 2</t>
        </is>
      </c>
      <c r="E51" s="26" t="inlineStr">
        <is>
          <t>Año 3</t>
        </is>
      </c>
      <c r="F51" s="26" t="inlineStr">
        <is>
          <t>Año 4</t>
        </is>
      </c>
      <c r="G51" s="26" t="inlineStr">
        <is>
          <t>Año 5</t>
        </is>
      </c>
      <c r="H51" s="26" t="inlineStr">
        <is>
          <t>Año 6</t>
        </is>
      </c>
      <c r="I51" s="26" t="inlineStr">
        <is>
          <t>Año 7</t>
        </is>
      </c>
      <c r="J51" s="26" t="inlineStr">
        <is>
          <t>Año 8</t>
        </is>
      </c>
      <c r="K51" s="26" t="inlineStr">
        <is>
          <t>Año 9</t>
        </is>
      </c>
      <c r="L51" s="27" t="inlineStr">
        <is>
          <t>Año 10</t>
        </is>
      </c>
    </row>
    <row r="52" ht="14.25" customHeight="1" s="1">
      <c r="A52" s="28" t="inlineStr">
        <is>
          <t>Capital de trabajo</t>
        </is>
      </c>
      <c r="B52" s="45" t="n"/>
      <c r="C52" s="38">
        <f>C13+B52</f>
        <v/>
      </c>
      <c r="D52" s="38">
        <f>D13+C52</f>
        <v/>
      </c>
      <c r="E52" s="38">
        <f>E13+D52</f>
        <v/>
      </c>
      <c r="F52" s="38">
        <f>F13+E52</f>
        <v/>
      </c>
      <c r="G52" s="38">
        <f>G13+F52</f>
        <v/>
      </c>
      <c r="H52" s="38">
        <f>H13+G52</f>
        <v/>
      </c>
      <c r="I52" s="38">
        <f>I13+H52</f>
        <v/>
      </c>
      <c r="J52" s="38">
        <f>J13+I52</f>
        <v/>
      </c>
      <c r="K52" s="38">
        <f>K13+J52</f>
        <v/>
      </c>
      <c r="L52" s="38">
        <f>L13+K52</f>
        <v/>
      </c>
    </row>
    <row r="53" ht="15.75" customHeight="1" s="1">
      <c r="A53" s="34" t="inlineStr">
        <is>
          <t>Efectivo requerido en caja</t>
        </is>
      </c>
      <c r="B53" s="46" t="n"/>
      <c r="C53" s="36">
        <f>SUM(C52:C52)</f>
        <v/>
      </c>
      <c r="D53" s="36">
        <f>SUM(D52:D52)</f>
        <v/>
      </c>
      <c r="E53" s="36">
        <f>SUM(E52:E52)</f>
        <v/>
      </c>
      <c r="F53" s="36">
        <f>SUM(F52:F52)</f>
        <v/>
      </c>
      <c r="G53" s="36">
        <f>SUM(G52:G52)</f>
        <v/>
      </c>
      <c r="H53" s="36">
        <f>SUM(H52:H52)</f>
        <v/>
      </c>
      <c r="I53" s="36">
        <f>SUM(I52:I52)</f>
        <v/>
      </c>
      <c r="J53" s="36">
        <f>SUM(J52:J52)</f>
        <v/>
      </c>
      <c r="K53" s="36">
        <f>SUM(K52:K52)</f>
        <v/>
      </c>
      <c r="L53" s="37">
        <f>SUM(L52:L52)</f>
        <v/>
      </c>
    </row>
    <row r="54" ht="14.25" customHeight="1" s="1">
      <c r="A54" s="43" t="n"/>
      <c r="B54" s="42" t="n"/>
      <c r="C54" s="43" t="n"/>
      <c r="D54" s="43" t="n"/>
      <c r="E54" s="43" t="n"/>
      <c r="F54" s="43" t="n"/>
      <c r="G54" s="43" t="n"/>
      <c r="H54" s="43" t="n"/>
    </row>
    <row r="55" ht="15.75" customHeight="1" s="1">
      <c r="A55" s="160" t="inlineStr">
        <is>
          <t>Cálculo del Capital de Trabajo</t>
        </is>
      </c>
    </row>
    <row r="56" ht="14.25" customHeight="1" s="1">
      <c r="A56" s="161" t="inlineStr">
        <is>
          <t>Concepto</t>
        </is>
      </c>
      <c r="B56" s="26" t="inlineStr">
        <is>
          <t>Cobertura</t>
        </is>
      </c>
      <c r="C56" s="26" t="inlineStr">
        <is>
          <t>Año 1</t>
        </is>
      </c>
      <c r="D56" s="26" t="inlineStr">
        <is>
          <t>Año 2</t>
        </is>
      </c>
      <c r="E56" s="26" t="inlineStr">
        <is>
          <t>Año 3</t>
        </is>
      </c>
      <c r="F56" s="26" t="inlineStr">
        <is>
          <t>Año 4</t>
        </is>
      </c>
      <c r="G56" s="26" t="inlineStr">
        <is>
          <t>Año 5</t>
        </is>
      </c>
      <c r="H56" s="26" t="inlineStr">
        <is>
          <t>Año 6</t>
        </is>
      </c>
      <c r="I56" s="26" t="inlineStr">
        <is>
          <t>Año 7</t>
        </is>
      </c>
      <c r="J56" s="26" t="inlineStr">
        <is>
          <t>Año 8</t>
        </is>
      </c>
      <c r="K56" s="26" t="inlineStr">
        <is>
          <t>Año 9</t>
        </is>
      </c>
      <c r="L56" s="27" t="inlineStr">
        <is>
          <t>Año 10</t>
        </is>
      </c>
    </row>
    <row r="57" ht="14.25" customHeight="1" s="1">
      <c r="A57" s="47" t="inlineStr">
        <is>
          <t>Activo circulante</t>
        </is>
      </c>
      <c r="B57" s="48" t="n"/>
      <c r="C57" s="49">
        <f>C58</f>
        <v/>
      </c>
      <c r="D57" s="49">
        <f>D58</f>
        <v/>
      </c>
      <c r="E57" s="49">
        <f>E58</f>
        <v/>
      </c>
      <c r="F57" s="49">
        <f>F58</f>
        <v/>
      </c>
      <c r="G57" s="49">
        <f>G58</f>
        <v/>
      </c>
      <c r="H57" s="49">
        <f>H58</f>
        <v/>
      </c>
      <c r="I57" s="49">
        <f>I58</f>
        <v/>
      </c>
      <c r="J57" s="49">
        <f>J58</f>
        <v/>
      </c>
      <c r="K57" s="49">
        <f>K58</f>
        <v/>
      </c>
      <c r="L57" s="50">
        <f>L58</f>
        <v/>
      </c>
    </row>
    <row r="58" ht="14.25" customHeight="1" s="1">
      <c r="A58" s="28" t="inlineStr">
        <is>
          <t xml:space="preserve">     Efectivo </t>
        </is>
      </c>
      <c r="B58" s="45" t="n"/>
      <c r="C58" s="38">
        <f>C53</f>
        <v/>
      </c>
      <c r="D58" s="38">
        <f>D53</f>
        <v/>
      </c>
      <c r="E58" s="38">
        <f>E53</f>
        <v/>
      </c>
      <c r="F58" s="38">
        <f>F53</f>
        <v/>
      </c>
      <c r="G58" s="38">
        <f>G53</f>
        <v/>
      </c>
      <c r="H58" s="38">
        <f>H53</f>
        <v/>
      </c>
      <c r="I58" s="38">
        <f>I53</f>
        <v/>
      </c>
      <c r="J58" s="38">
        <f>J53</f>
        <v/>
      </c>
      <c r="K58" s="38">
        <f>K53</f>
        <v/>
      </c>
      <c r="L58" s="39">
        <f>L53</f>
        <v/>
      </c>
    </row>
    <row r="59" ht="14.25" customHeight="1" s="1">
      <c r="A59" s="47" t="inlineStr">
        <is>
          <t>Pasivo circulante</t>
        </is>
      </c>
      <c r="B59" s="48" t="n"/>
      <c r="C59" s="49">
        <f>SUM(C60:C61)</f>
        <v/>
      </c>
      <c r="D59" s="49">
        <f>SUM(D60:D61)</f>
        <v/>
      </c>
      <c r="E59" s="49">
        <f>SUM(E60:E61)</f>
        <v/>
      </c>
      <c r="F59" s="49">
        <f>SUM(F60:F61)</f>
        <v/>
      </c>
      <c r="G59" s="49">
        <f>SUM(G60:G61)</f>
        <v/>
      </c>
      <c r="H59" s="49">
        <f>SUM(H60:H61)</f>
        <v/>
      </c>
      <c r="I59" s="49">
        <f>SUM(I60:I61)</f>
        <v/>
      </c>
      <c r="J59" s="49">
        <f>SUM(J60:J61)</f>
        <v/>
      </c>
      <c r="K59" s="49">
        <f>SUM(K60:K61)</f>
        <v/>
      </c>
      <c r="L59" s="50">
        <f>SUM(L60:L61)</f>
        <v/>
      </c>
    </row>
    <row r="60" ht="14.25" customHeight="1" s="1">
      <c r="A60" s="28" t="inlineStr">
        <is>
          <t xml:space="preserve">     Cuentas por pagar</t>
        </is>
      </c>
      <c r="B60" s="45" t="n"/>
      <c r="C60" s="38" t="n">
        <v>0</v>
      </c>
      <c r="D60" s="38" t="n">
        <v>0</v>
      </c>
      <c r="E60" s="38" t="n">
        <v>0</v>
      </c>
      <c r="F60" s="38" t="n">
        <v>0</v>
      </c>
      <c r="G60" s="38" t="n">
        <v>0</v>
      </c>
      <c r="H60" s="38" t="n">
        <v>0</v>
      </c>
      <c r="I60" s="38" t="n">
        <v>0</v>
      </c>
      <c r="J60" s="38" t="n">
        <v>0</v>
      </c>
      <c r="K60" s="38" t="n">
        <v>0</v>
      </c>
      <c r="L60" s="39" t="n">
        <v>0</v>
      </c>
    </row>
    <row r="61" ht="14.25" customHeight="1" s="1">
      <c r="A61" s="28" t="inlineStr">
        <is>
          <t xml:space="preserve">     Proveedores</t>
        </is>
      </c>
      <c r="B61" s="45" t="n"/>
      <c r="C61" s="38" t="n">
        <v>0</v>
      </c>
      <c r="D61" s="38" t="n">
        <v>0</v>
      </c>
      <c r="E61" s="38" t="n">
        <v>0</v>
      </c>
      <c r="F61" s="38" t="n">
        <v>0</v>
      </c>
      <c r="G61" s="38" t="n">
        <v>0</v>
      </c>
      <c r="H61" s="38" t="n">
        <v>0</v>
      </c>
      <c r="I61" s="38" t="n">
        <v>0</v>
      </c>
      <c r="J61" s="38" t="n">
        <v>0</v>
      </c>
      <c r="K61" s="38" t="n">
        <v>0</v>
      </c>
      <c r="L61" s="39" t="n">
        <v>0</v>
      </c>
    </row>
    <row r="62" ht="14.25" customHeight="1" s="1">
      <c r="A62" s="51" t="inlineStr">
        <is>
          <t>Capital de Trabajo (Ac - Pc)</t>
        </is>
      </c>
      <c r="B62" s="52" t="n"/>
      <c r="C62" s="53">
        <f>C57-C59</f>
        <v/>
      </c>
      <c r="D62" s="53">
        <f>D57-D59</f>
        <v/>
      </c>
      <c r="E62" s="53">
        <f>E57-E59</f>
        <v/>
      </c>
      <c r="F62" s="53">
        <f>F57-F59</f>
        <v/>
      </c>
      <c r="G62" s="53">
        <f>G57-G59</f>
        <v/>
      </c>
      <c r="H62" s="53">
        <f>H57-H59</f>
        <v/>
      </c>
      <c r="I62" s="53">
        <f>I57-I59</f>
        <v/>
      </c>
      <c r="J62" s="53">
        <f>J57-J59</f>
        <v/>
      </c>
      <c r="K62" s="53">
        <f>K57-K59</f>
        <v/>
      </c>
      <c r="L62" s="54">
        <f>L57-L59</f>
        <v/>
      </c>
    </row>
    <row r="63" ht="15.75" customHeight="1" s="1">
      <c r="A63" s="34" t="inlineStr">
        <is>
          <t>Incremento Capital Trabajo</t>
        </is>
      </c>
      <c r="B63" s="36">
        <f>C62-B62</f>
        <v/>
      </c>
      <c r="C63" s="36">
        <f>D62-C62</f>
        <v/>
      </c>
      <c r="D63" s="36">
        <f>E62-D62</f>
        <v/>
      </c>
      <c r="E63" s="36">
        <f>F62-E62</f>
        <v/>
      </c>
      <c r="F63" s="36">
        <f>G62-F62</f>
        <v/>
      </c>
      <c r="G63" s="36">
        <f>H62-G62</f>
        <v/>
      </c>
      <c r="H63" s="36">
        <f>I62-H62</f>
        <v/>
      </c>
      <c r="I63" s="36">
        <f>J62-I62</f>
        <v/>
      </c>
      <c r="J63" s="36">
        <f>K62-J62</f>
        <v/>
      </c>
      <c r="K63" s="36">
        <f>L62-K62</f>
        <v/>
      </c>
      <c r="L63" s="37">
        <f>M62-L62</f>
        <v/>
      </c>
    </row>
    <row r="64" ht="14.25" customHeight="1" s="1">
      <c r="B64" s="24" t="n"/>
    </row>
    <row r="65" ht="14.25" customHeight="1" s="1">
      <c r="A65" s="22" t="inlineStr">
        <is>
          <t>5. Inversiones</t>
        </is>
      </c>
      <c r="B65" s="24" t="n"/>
    </row>
    <row r="66" ht="15.75" customHeight="1" s="1">
      <c r="A66" s="23" t="inlineStr">
        <is>
          <t>Calendario de inversiones</t>
        </is>
      </c>
      <c r="B66" s="24" t="n"/>
    </row>
    <row r="67" ht="14.25" customHeight="1" s="1">
      <c r="A67" s="161" t="inlineStr">
        <is>
          <t>Concepto</t>
        </is>
      </c>
      <c r="B67" s="26" t="inlineStr">
        <is>
          <t>Año 0</t>
        </is>
      </c>
      <c r="C67" s="26" t="inlineStr">
        <is>
          <t>Año 1</t>
        </is>
      </c>
      <c r="D67" s="26" t="inlineStr">
        <is>
          <t>Año 2</t>
        </is>
      </c>
      <c r="E67" s="26" t="inlineStr">
        <is>
          <t>Año 3</t>
        </is>
      </c>
      <c r="F67" s="26" t="inlineStr">
        <is>
          <t>Año 4</t>
        </is>
      </c>
      <c r="G67" s="26" t="inlineStr">
        <is>
          <t>Año 5</t>
        </is>
      </c>
      <c r="H67" s="26" t="inlineStr">
        <is>
          <t>Año 6</t>
        </is>
      </c>
      <c r="I67" s="26" t="inlineStr">
        <is>
          <t>Año 7</t>
        </is>
      </c>
      <c r="J67" s="26" t="inlineStr">
        <is>
          <t>Año 8</t>
        </is>
      </c>
      <c r="K67" s="26" t="inlineStr">
        <is>
          <t>Año 9</t>
        </is>
      </c>
      <c r="L67" s="27" t="inlineStr">
        <is>
          <t>Año 10</t>
        </is>
      </c>
    </row>
    <row r="68" ht="14.25" customHeight="1" s="1">
      <c r="A68" s="47" t="inlineStr">
        <is>
          <t>Activos Fijos</t>
        </is>
      </c>
      <c r="B68" s="55" t="n"/>
      <c r="C68" s="55" t="n"/>
      <c r="D68" s="55" t="n"/>
      <c r="E68" s="55" t="n"/>
      <c r="F68" s="55" t="n"/>
      <c r="G68" s="55" t="n"/>
      <c r="H68" s="55" t="n"/>
      <c r="I68" s="55" t="n"/>
      <c r="J68" s="55" t="n"/>
      <c r="K68" s="55" t="n"/>
      <c r="L68" s="56" t="n"/>
    </row>
    <row r="69" ht="14.25" customHeight="1" s="1">
      <c r="A69" s="28" t="inlineStr">
        <is>
          <t xml:space="preserve">   Inversiones a 20 años</t>
        </is>
      </c>
      <c r="B69" s="57" t="n">
        <v>100000</v>
      </c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6" t="n"/>
    </row>
    <row r="70" ht="14.25" customHeight="1" s="1">
      <c r="A70" s="28" t="inlineStr">
        <is>
          <t xml:space="preserve">  Inversiones a 10 años</t>
        </is>
      </c>
      <c r="B70" s="57">
        <f>3000000+200000+450000+50000</f>
        <v/>
      </c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6" t="n"/>
    </row>
    <row r="71" ht="14.25" customHeight="1" s="1">
      <c r="A71" s="28" t="inlineStr">
        <is>
          <t xml:space="preserve">  Inversiones a 5 años</t>
        </is>
      </c>
      <c r="B71" s="57">
        <f>300000+100000</f>
        <v/>
      </c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6" t="n"/>
    </row>
    <row r="72" ht="14.25" customHeight="1" s="1">
      <c r="A72" s="28" t="inlineStr">
        <is>
          <t xml:space="preserve">  Inversion terrenos</t>
        </is>
      </c>
      <c r="B72" s="57" t="n">
        <v>750000</v>
      </c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6" t="n"/>
    </row>
    <row r="73" ht="14.25" customHeight="1" s="1">
      <c r="A73" s="47" t="inlineStr">
        <is>
          <t>Gastos Pre-operativos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6" t="n"/>
    </row>
    <row r="74" ht="14.25" customHeight="1" s="1">
      <c r="A74" s="28" t="inlineStr">
        <is>
          <t xml:space="preserve">  Gastos puesta en marcha</t>
        </is>
      </c>
      <c r="B74" s="57" t="n">
        <v>0</v>
      </c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6" t="n"/>
    </row>
    <row r="75" ht="14.25" customHeight="1" s="1">
      <c r="A75" s="47" t="inlineStr">
        <is>
          <t>Capital de trabajo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6" t="n"/>
    </row>
    <row r="76" ht="14.25" customHeight="1" s="1">
      <c r="A76" s="28" t="inlineStr">
        <is>
          <t xml:space="preserve">   Capital de trabajo</t>
        </is>
      </c>
      <c r="B76" s="57">
        <f>B63</f>
        <v/>
      </c>
      <c r="C76" s="57">
        <f>C63</f>
        <v/>
      </c>
      <c r="D76" s="57">
        <f>D63</f>
        <v/>
      </c>
      <c r="E76" s="57">
        <f>E63</f>
        <v/>
      </c>
      <c r="F76" s="57">
        <f>F63</f>
        <v/>
      </c>
      <c r="G76" s="57">
        <f>G63</f>
        <v/>
      </c>
      <c r="H76" s="57">
        <f>H63</f>
        <v/>
      </c>
      <c r="I76" s="57">
        <f>I63</f>
        <v/>
      </c>
      <c r="J76" s="57">
        <f>J63</f>
        <v/>
      </c>
      <c r="K76" s="57">
        <f>K63</f>
        <v/>
      </c>
      <c r="L76" s="58">
        <f>L63</f>
        <v/>
      </c>
    </row>
    <row r="77" ht="15.75" customHeight="1" s="1">
      <c r="A77" s="40" t="inlineStr">
        <is>
          <t>Total Inversiones</t>
        </is>
      </c>
      <c r="B77" s="59">
        <f>SUM(B68:B76)</f>
        <v/>
      </c>
      <c r="C77" s="59">
        <f>SUM(C68:C76)</f>
        <v/>
      </c>
      <c r="D77" s="59">
        <f>SUM(D68:D76)</f>
        <v/>
      </c>
      <c r="E77" s="59">
        <f>SUM(E68:E76)</f>
        <v/>
      </c>
      <c r="F77" s="59">
        <f>SUM(F68:F76)</f>
        <v/>
      </c>
      <c r="G77" s="59">
        <f>SUM(G68:G76)</f>
        <v/>
      </c>
      <c r="H77" s="59">
        <f>SUM(H68:H76)</f>
        <v/>
      </c>
      <c r="I77" s="59">
        <f>SUM(I68:I76)</f>
        <v/>
      </c>
      <c r="J77" s="59">
        <f>SUM(J68:J76)</f>
        <v/>
      </c>
      <c r="K77" s="59">
        <f>SUM(K68:K76)</f>
        <v/>
      </c>
      <c r="L77" s="60">
        <f>SUM(L68:L76)</f>
        <v/>
      </c>
    </row>
    <row r="78" ht="14.25" customHeight="1" s="1">
      <c r="B78" s="21" t="n"/>
    </row>
    <row r="79" ht="14.25" customHeight="1" s="1">
      <c r="A79" s="22" t="inlineStr">
        <is>
          <t>6.  Depreciaciones y Amortizaciones</t>
        </is>
      </c>
      <c r="B79" s="24" t="n"/>
    </row>
    <row r="80" ht="15.75" customHeight="1" s="1">
      <c r="A80" s="23" t="inlineStr">
        <is>
          <t>Calendario de Depreciaciones y Amortizaciones</t>
        </is>
      </c>
      <c r="B80" s="24" t="n"/>
    </row>
    <row r="81" ht="14.25" customHeight="1" s="1">
      <c r="A81" s="161" t="inlineStr">
        <is>
          <t>Concepto</t>
        </is>
      </c>
      <c r="B81" s="26" t="inlineStr">
        <is>
          <t>Año 0</t>
        </is>
      </c>
      <c r="C81" s="26" t="inlineStr">
        <is>
          <t>Año 1</t>
        </is>
      </c>
      <c r="D81" s="26" t="inlineStr">
        <is>
          <t>Año 2</t>
        </is>
      </c>
      <c r="E81" s="26" t="inlineStr">
        <is>
          <t>Año 3</t>
        </is>
      </c>
      <c r="F81" s="26" t="inlineStr">
        <is>
          <t>Año 4</t>
        </is>
      </c>
      <c r="G81" s="26" t="inlineStr">
        <is>
          <t>Año 5</t>
        </is>
      </c>
      <c r="H81" s="26" t="inlineStr">
        <is>
          <t>Año 6</t>
        </is>
      </c>
      <c r="I81" s="26" t="inlineStr">
        <is>
          <t>Año 7</t>
        </is>
      </c>
      <c r="J81" s="26" t="inlineStr">
        <is>
          <t>Año 8</t>
        </is>
      </c>
      <c r="K81" s="26" t="inlineStr">
        <is>
          <t>Año 9</t>
        </is>
      </c>
      <c r="L81" s="27" t="inlineStr">
        <is>
          <t>Año 10</t>
        </is>
      </c>
      <c r="R81" s="61" t="inlineStr">
        <is>
          <t>Inversión</t>
        </is>
      </c>
      <c r="S81" s="62" t="inlineStr">
        <is>
          <t>Valor Activo</t>
        </is>
      </c>
      <c r="T81" s="62" t="inlineStr">
        <is>
          <t>Valor residual</t>
        </is>
      </c>
      <c r="U81" s="62" t="inlineStr">
        <is>
          <t>Vida útil</t>
        </is>
      </c>
      <c r="V81" s="62" t="inlineStr">
        <is>
          <t>Dep. Anual</t>
        </is>
      </c>
    </row>
    <row r="82" ht="14.25" customHeight="1" s="1">
      <c r="A82" s="28" t="inlineStr">
        <is>
          <t>Inversiones a 20 años</t>
        </is>
      </c>
      <c r="B82" s="55" t="n"/>
      <c r="C82" s="57">
        <f>$V$82</f>
        <v/>
      </c>
      <c r="D82" s="57">
        <f>$V$82</f>
        <v/>
      </c>
      <c r="E82" s="57">
        <f>$V$82</f>
        <v/>
      </c>
      <c r="F82" s="57">
        <f>$V$82</f>
        <v/>
      </c>
      <c r="G82" s="57">
        <f>$V$82</f>
        <v/>
      </c>
      <c r="H82" s="57">
        <f>$V$82</f>
        <v/>
      </c>
      <c r="I82" s="57">
        <f>$V$82</f>
        <v/>
      </c>
      <c r="J82" s="57">
        <f>$V$82</f>
        <v/>
      </c>
      <c r="K82" s="57">
        <f>$V$82</f>
        <v/>
      </c>
      <c r="L82" s="57">
        <f>$V$82</f>
        <v/>
      </c>
      <c r="R82" s="63" t="inlineStr">
        <is>
          <t>Edificio</t>
        </is>
      </c>
      <c r="S82" s="15">
        <f>B69</f>
        <v/>
      </c>
      <c r="T82" s="64" t="n">
        <v>50000</v>
      </c>
      <c r="U82" s="65" t="n">
        <v>20</v>
      </c>
      <c r="V82" s="15">
        <f>(S82-T82)/U82</f>
        <v/>
      </c>
    </row>
    <row r="83" ht="14.25" customHeight="1" s="1">
      <c r="A83" s="28" t="inlineStr">
        <is>
          <t>Inversiones a 10 años</t>
        </is>
      </c>
      <c r="B83" s="55" t="n"/>
      <c r="C83" s="57">
        <f>$V$83+$V$84</f>
        <v/>
      </c>
      <c r="D83" s="57">
        <f>$V$83+$V$84</f>
        <v/>
      </c>
      <c r="E83" s="57">
        <f>$V$83+$V$84</f>
        <v/>
      </c>
      <c r="F83" s="57">
        <f>$V$83+$V$84</f>
        <v/>
      </c>
      <c r="G83" s="57">
        <f>$V$83+$V$84</f>
        <v/>
      </c>
      <c r="H83" s="57">
        <f>$V$83+$V$84</f>
        <v/>
      </c>
      <c r="I83" s="57">
        <f>$V$83+$V$84</f>
        <v/>
      </c>
      <c r="J83" s="57">
        <f>$V$83+$V$84</f>
        <v/>
      </c>
      <c r="K83" s="57">
        <f>$V$83+$V$84</f>
        <v/>
      </c>
      <c r="L83" s="57">
        <f>$V$83+$V$84</f>
        <v/>
      </c>
      <c r="R83" s="63" t="inlineStr">
        <is>
          <t>Estanque y canales</t>
        </is>
      </c>
      <c r="S83" s="15" t="n">
        <v>3000000</v>
      </c>
      <c r="T83" s="64" t="n">
        <v>1000000</v>
      </c>
      <c r="U83" s="66" t="n">
        <v>10</v>
      </c>
      <c r="V83" s="15">
        <f>(S83-T83)/U83</f>
        <v/>
      </c>
    </row>
    <row r="84" ht="14.25" customHeight="1" s="1">
      <c r="A84" s="28" t="inlineStr">
        <is>
          <t>Inversiones a 5 años</t>
        </is>
      </c>
      <c r="B84" s="55" t="n"/>
      <c r="C84" s="57">
        <f>$V$85</f>
        <v/>
      </c>
      <c r="D84" s="57">
        <f>$V$85</f>
        <v/>
      </c>
      <c r="E84" s="57">
        <f>$V$85</f>
        <v/>
      </c>
      <c r="F84" s="57">
        <f>$V$85</f>
        <v/>
      </c>
      <c r="G84" s="57">
        <f>$V$85</f>
        <v/>
      </c>
      <c r="H84" s="57" t="n">
        <v>0</v>
      </c>
      <c r="I84" s="57" t="n">
        <v>0</v>
      </c>
      <c r="J84" s="57" t="n">
        <v>0</v>
      </c>
      <c r="K84" s="57" t="n">
        <v>0</v>
      </c>
      <c r="L84" s="57" t="n">
        <v>0</v>
      </c>
      <c r="R84" s="63" t="inlineStr">
        <is>
          <t>Maq &amp; Equipo</t>
        </is>
      </c>
      <c r="S84" s="67">
        <f>B70-S83</f>
        <v/>
      </c>
      <c r="T84" s="63" t="n">
        <v>0</v>
      </c>
      <c r="U84" s="65" t="n">
        <v>10</v>
      </c>
      <c r="V84" s="15">
        <f>(S84-T84)/U84</f>
        <v/>
      </c>
    </row>
    <row r="85" ht="14.25" customHeight="1" s="1">
      <c r="A85" s="68" t="inlineStr">
        <is>
          <t>Total Depreciación</t>
        </is>
      </c>
      <c r="B85" s="69" t="n"/>
      <c r="C85" s="70">
        <f>SUM(C82:C84)</f>
        <v/>
      </c>
      <c r="D85" s="70">
        <f>SUM(D82:D84)</f>
        <v/>
      </c>
      <c r="E85" s="70">
        <f>SUM(E82:E84)</f>
        <v/>
      </c>
      <c r="F85" s="70">
        <f>SUM(F82:F84)</f>
        <v/>
      </c>
      <c r="G85" s="70">
        <f>SUM(G82:G84)</f>
        <v/>
      </c>
      <c r="H85" s="70">
        <f>SUM(H82:H84)</f>
        <v/>
      </c>
      <c r="I85" s="70">
        <f>SUM(I82:I84)</f>
        <v/>
      </c>
      <c r="J85" s="70">
        <f>SUM(J82:J84)</f>
        <v/>
      </c>
      <c r="K85" s="70">
        <f>SUM(K82:K84)</f>
        <v/>
      </c>
      <c r="L85" s="70">
        <f>SUM(L82:L84)</f>
        <v/>
      </c>
      <c r="R85" s="63" t="inlineStr">
        <is>
          <t>Vehículos y embarcaciones</t>
        </is>
      </c>
      <c r="S85" s="15">
        <f>B71</f>
        <v/>
      </c>
      <c r="T85" s="64" t="n">
        <v>0</v>
      </c>
      <c r="U85" s="66" t="n">
        <v>5</v>
      </c>
      <c r="V85" s="15">
        <f>(S85-T85)/U85</f>
        <v/>
      </c>
    </row>
    <row r="86" ht="14.25" customHeight="1" s="1">
      <c r="A86" s="71" t="n"/>
      <c r="B86" s="55" t="n"/>
      <c r="C86" s="55" t="n"/>
      <c r="D86" s="55" t="n"/>
      <c r="E86" s="55" t="n"/>
      <c r="F86" s="55" t="n"/>
      <c r="G86" s="55" t="n"/>
      <c r="H86" s="55" t="n"/>
      <c r="I86" s="55" t="n"/>
      <c r="J86" s="55" t="n"/>
      <c r="K86" s="55" t="n"/>
      <c r="L86" s="56" t="n"/>
      <c r="S86" s="72">
        <f>SUM(S82:S85)</f>
        <v/>
      </c>
    </row>
    <row r="87" ht="14.25" customHeight="1" s="1">
      <c r="A87" s="28" t="inlineStr">
        <is>
          <t>Amortización pre-operativos</t>
        </is>
      </c>
      <c r="B87" s="55" t="n"/>
      <c r="C87" s="57">
        <f>$B$74/10</f>
        <v/>
      </c>
      <c r="D87" s="57">
        <f>$B$74/10</f>
        <v/>
      </c>
      <c r="E87" s="57">
        <f>$B$74/10</f>
        <v/>
      </c>
      <c r="F87" s="57">
        <f>$B$74/10</f>
        <v/>
      </c>
      <c r="G87" s="57">
        <f>$B$74/10</f>
        <v/>
      </c>
      <c r="H87" s="57">
        <f>$B$74/10</f>
        <v/>
      </c>
      <c r="I87" s="57">
        <f>$B$74/10</f>
        <v/>
      </c>
      <c r="J87" s="57">
        <f>$B$74/10</f>
        <v/>
      </c>
      <c r="K87" s="57">
        <f>$B$74/10</f>
        <v/>
      </c>
      <c r="L87" s="73">
        <f>$B$74/10</f>
        <v/>
      </c>
      <c r="O87" s="74" t="n"/>
    </row>
    <row r="88" ht="15.75" customHeight="1" s="1">
      <c r="A88" s="40" t="inlineStr">
        <is>
          <t>Total Amortización</t>
        </is>
      </c>
      <c r="B88" s="75" t="n"/>
      <c r="C88" s="59">
        <f>SUM(C87)</f>
        <v/>
      </c>
      <c r="D88" s="59">
        <f>SUM(D87)</f>
        <v/>
      </c>
      <c r="E88" s="59">
        <f>SUM(E87)</f>
        <v/>
      </c>
      <c r="F88" s="59">
        <f>SUM(F87)</f>
        <v/>
      </c>
      <c r="G88" s="59">
        <f>SUM(G87)</f>
        <v/>
      </c>
      <c r="H88" s="59">
        <f>SUM(H87)</f>
        <v/>
      </c>
      <c r="I88" s="59">
        <f>SUM(I87)</f>
        <v/>
      </c>
      <c r="J88" s="59">
        <f>SUM(J87)</f>
        <v/>
      </c>
      <c r="K88" s="59">
        <f>SUM(K87)</f>
        <v/>
      </c>
      <c r="L88" s="60">
        <f>SUM(L87)</f>
        <v/>
      </c>
      <c r="O88" s="74" t="n"/>
    </row>
    <row r="89" ht="14.25" customHeight="1" s="1">
      <c r="B89" s="21" t="n"/>
    </row>
    <row r="90" ht="14.25" customHeight="1" s="1">
      <c r="A90" s="22" t="inlineStr">
        <is>
          <t>7. Valor de desecho del proyecto</t>
        </is>
      </c>
      <c r="B90" s="24" t="n"/>
    </row>
    <row r="91" ht="15.75" customHeight="1" s="1">
      <c r="A91" s="23" t="inlineStr">
        <is>
          <t>Clalculo del valor de desecho del proyecto (método contable)</t>
        </is>
      </c>
      <c r="B91" s="24" t="n"/>
    </row>
    <row r="92" ht="14.25" customHeight="1" s="1">
      <c r="A92" s="161" t="inlineStr">
        <is>
          <t>Concepto</t>
        </is>
      </c>
      <c r="B92" s="162" t="inlineStr">
        <is>
          <t>Valor del</t>
        </is>
      </c>
      <c r="C92" s="162" t="inlineStr">
        <is>
          <t>Depreciación por periodo</t>
        </is>
      </c>
      <c r="D92" s="170" t="n"/>
      <c r="E92" s="170" t="n"/>
      <c r="F92" s="170" t="n"/>
      <c r="G92" s="170" t="n"/>
      <c r="H92" s="170" t="n"/>
      <c r="I92" s="170" t="n"/>
      <c r="J92" s="170" t="n"/>
      <c r="K92" s="170" t="n"/>
      <c r="L92" s="171" t="n"/>
      <c r="M92" s="77" t="inlineStr">
        <is>
          <t>Valor de</t>
        </is>
      </c>
    </row>
    <row r="93" ht="14.25" customHeight="1" s="1">
      <c r="A93" s="172" t="n"/>
      <c r="B93" s="62" t="inlineStr">
        <is>
          <t>Activo</t>
        </is>
      </c>
      <c r="C93" s="78" t="inlineStr">
        <is>
          <t>Año 1</t>
        </is>
      </c>
      <c r="D93" s="78" t="inlineStr">
        <is>
          <t>Año 2</t>
        </is>
      </c>
      <c r="E93" s="78" t="inlineStr">
        <is>
          <t>Año 3</t>
        </is>
      </c>
      <c r="F93" s="78" t="inlineStr">
        <is>
          <t>Año 4</t>
        </is>
      </c>
      <c r="G93" s="78" t="inlineStr">
        <is>
          <t>Año 5</t>
        </is>
      </c>
      <c r="H93" s="78" t="inlineStr">
        <is>
          <t>Año 6</t>
        </is>
      </c>
      <c r="I93" s="78" t="inlineStr">
        <is>
          <t>Año 7</t>
        </is>
      </c>
      <c r="J93" s="78" t="inlineStr">
        <is>
          <t>Año 8</t>
        </is>
      </c>
      <c r="K93" s="78" t="inlineStr">
        <is>
          <t>Año 9</t>
        </is>
      </c>
      <c r="L93" s="78" t="inlineStr">
        <is>
          <t>Año 10</t>
        </is>
      </c>
      <c r="M93" s="79" t="inlineStr">
        <is>
          <t>Desecho</t>
        </is>
      </c>
    </row>
    <row r="94" ht="14.25" customHeight="1" s="1">
      <c r="A94" s="28" t="inlineStr">
        <is>
          <t>Inversiones a 20 años</t>
        </is>
      </c>
      <c r="B94" s="57">
        <f>B69</f>
        <v/>
      </c>
      <c r="C94" s="57">
        <f>C82</f>
        <v/>
      </c>
      <c r="D94" s="57">
        <f>D82</f>
        <v/>
      </c>
      <c r="E94" s="57">
        <f>E82</f>
        <v/>
      </c>
      <c r="F94" s="57">
        <f>F82</f>
        <v/>
      </c>
      <c r="G94" s="57">
        <f>G82</f>
        <v/>
      </c>
      <c r="H94" s="57">
        <f>H82</f>
        <v/>
      </c>
      <c r="I94" s="57">
        <f>I82</f>
        <v/>
      </c>
      <c r="J94" s="57">
        <f>J82</f>
        <v/>
      </c>
      <c r="K94" s="57">
        <f>K82</f>
        <v/>
      </c>
      <c r="L94" s="57">
        <f>L82</f>
        <v/>
      </c>
      <c r="M94" s="73">
        <f>B94-SUM(C94:L94)</f>
        <v/>
      </c>
    </row>
    <row r="95" ht="14.25" customHeight="1" s="1">
      <c r="A95" s="28" t="inlineStr">
        <is>
          <t>Inversiones a 10 años</t>
        </is>
      </c>
      <c r="B95" s="57">
        <f>B70</f>
        <v/>
      </c>
      <c r="C95" s="57">
        <f>C83</f>
        <v/>
      </c>
      <c r="D95" s="57">
        <f>D83</f>
        <v/>
      </c>
      <c r="E95" s="57">
        <f>E83</f>
        <v/>
      </c>
      <c r="F95" s="57">
        <f>F83</f>
        <v/>
      </c>
      <c r="G95" s="57">
        <f>G83</f>
        <v/>
      </c>
      <c r="H95" s="57">
        <f>H83</f>
        <v/>
      </c>
      <c r="I95" s="57">
        <f>I83</f>
        <v/>
      </c>
      <c r="J95" s="57">
        <f>J83</f>
        <v/>
      </c>
      <c r="K95" s="57">
        <f>K83</f>
        <v/>
      </c>
      <c r="L95" s="57">
        <f>L83</f>
        <v/>
      </c>
      <c r="M95" s="73">
        <f>B95-SUM(C95:L95)</f>
        <v/>
      </c>
    </row>
    <row r="96" ht="14.25" customHeight="1" s="1">
      <c r="A96" s="28" t="inlineStr">
        <is>
          <t>Inversiones a 5 años</t>
        </is>
      </c>
      <c r="B96" s="57">
        <f>B71</f>
        <v/>
      </c>
      <c r="C96" s="57">
        <f>C84</f>
        <v/>
      </c>
      <c r="D96" s="57">
        <f>D84</f>
        <v/>
      </c>
      <c r="E96" s="57">
        <f>E84</f>
        <v/>
      </c>
      <c r="F96" s="57">
        <f>F84</f>
        <v/>
      </c>
      <c r="G96" s="57">
        <f>G84</f>
        <v/>
      </c>
      <c r="H96" s="57">
        <f>H84</f>
        <v/>
      </c>
      <c r="I96" s="57">
        <f>I84</f>
        <v/>
      </c>
      <c r="J96" s="57">
        <f>J84</f>
        <v/>
      </c>
      <c r="K96" s="57">
        <f>K84</f>
        <v/>
      </c>
      <c r="L96" s="57">
        <f>L84</f>
        <v/>
      </c>
      <c r="M96" s="73">
        <f>B96-SUM(C96:L96)</f>
        <v/>
      </c>
    </row>
    <row r="97" ht="15.75" customHeight="1" s="1">
      <c r="A97" s="80" t="inlineStr">
        <is>
          <t>Amortización pre-operativos</t>
        </is>
      </c>
      <c r="B97" s="81">
        <f>B74</f>
        <v/>
      </c>
      <c r="C97" s="81">
        <f>C87</f>
        <v/>
      </c>
      <c r="D97" s="81">
        <f>D87</f>
        <v/>
      </c>
      <c r="E97" s="81">
        <f>E87</f>
        <v/>
      </c>
      <c r="F97" s="81">
        <f>F87</f>
        <v/>
      </c>
      <c r="G97" s="81">
        <f>G87</f>
        <v/>
      </c>
      <c r="H97" s="81">
        <f>H87</f>
        <v/>
      </c>
      <c r="I97" s="81">
        <f>I87</f>
        <v/>
      </c>
      <c r="J97" s="81">
        <f>J87</f>
        <v/>
      </c>
      <c r="K97" s="81">
        <f>K87</f>
        <v/>
      </c>
      <c r="L97" s="81">
        <f>L87</f>
        <v/>
      </c>
      <c r="M97" s="82">
        <f>B97-SUM(C97:L97)</f>
        <v/>
      </c>
    </row>
    <row r="98" ht="15.75" customHeight="1" s="1">
      <c r="A98" s="163" t="inlineStr">
        <is>
          <t>Valor de desecho total</t>
        </is>
      </c>
      <c r="B98" s="173" t="n"/>
      <c r="C98" s="173" t="n"/>
      <c r="D98" s="173" t="n"/>
      <c r="E98" s="173" t="n"/>
      <c r="F98" s="173" t="n"/>
      <c r="G98" s="173" t="n"/>
      <c r="H98" s="173" t="n"/>
      <c r="I98" s="173" t="n"/>
      <c r="J98" s="173" t="n"/>
      <c r="K98" s="173" t="n"/>
      <c r="L98" s="174" t="n"/>
      <c r="M98" s="83">
        <f>SUM(M94:M97)</f>
        <v/>
      </c>
    </row>
    <row r="99" ht="14.25" customHeight="1" s="1">
      <c r="B99" s="21" t="n"/>
    </row>
    <row r="100" ht="14.25" customHeight="1" s="1">
      <c r="A100" s="22" t="inlineStr">
        <is>
          <t>8. Financiamiento</t>
        </is>
      </c>
      <c r="B100" s="24" t="n"/>
      <c r="J100" s="122" t="inlineStr">
        <is>
          <t>C =</t>
        </is>
      </c>
      <c r="K100" s="20">
        <f>B102</f>
        <v/>
      </c>
      <c r="L100" s="24" t="n"/>
    </row>
    <row r="101" ht="15.75" customHeight="1" s="1">
      <c r="A101" s="44" t="inlineStr">
        <is>
          <t>Cálculo del Financiamiento</t>
        </is>
      </c>
      <c r="B101" s="42" t="n"/>
      <c r="C101" s="43" t="n"/>
      <c r="D101" s="43" t="n"/>
      <c r="E101" s="43" t="n"/>
      <c r="J101" s="122" t="inlineStr">
        <is>
          <t xml:space="preserve">i* = </t>
        </is>
      </c>
      <c r="K101" s="123">
        <f>B103</f>
        <v/>
      </c>
      <c r="L101" s="24" t="n"/>
    </row>
    <row r="102" ht="14.25" customHeight="1" s="1">
      <c r="A102" s="84" t="inlineStr">
        <is>
          <t>Financiamiento bancario (valor)</t>
        </is>
      </c>
      <c r="B102" s="85">
        <f>B77*E102</f>
        <v/>
      </c>
      <c r="C102" s="86" t="n"/>
      <c r="D102" s="43" t="n"/>
      <c r="E102" s="87" t="n">
        <v>0.5</v>
      </c>
      <c r="J102" s="122" t="inlineStr">
        <is>
          <t>n =</t>
        </is>
      </c>
      <c r="K102" s="20" t="n">
        <v>5</v>
      </c>
      <c r="L102" s="20" t="inlineStr">
        <is>
          <t>Años</t>
        </is>
      </c>
    </row>
    <row r="103" ht="14.25" customHeight="1" s="1">
      <c r="A103" s="28" t="inlineStr">
        <is>
          <t>Financiamiento bancario (tasa)</t>
        </is>
      </c>
      <c r="B103" s="88">
        <f>B22</f>
        <v/>
      </c>
      <c r="C103" s="89" t="n"/>
      <c r="D103" s="43" t="n"/>
      <c r="E103" s="43" t="n"/>
      <c r="J103" s="122" t="inlineStr">
        <is>
          <t>i =</t>
        </is>
      </c>
      <c r="K103" s="124">
        <f>K101/(1-K101)</f>
        <v/>
      </c>
      <c r="L103" s="24" t="n"/>
    </row>
    <row r="104" ht="14.25" customHeight="1" s="1">
      <c r="A104" s="28" t="inlineStr">
        <is>
          <t>Financiamiento bancario (periodos)</t>
        </is>
      </c>
      <c r="B104" s="90" t="n">
        <v>7</v>
      </c>
      <c r="C104" s="91" t="inlineStr">
        <is>
          <t>años</t>
        </is>
      </c>
      <c r="D104" s="43" t="n"/>
      <c r="E104" s="43" t="n"/>
      <c r="J104" s="122" t="inlineStr">
        <is>
          <t>C* =</t>
        </is>
      </c>
      <c r="K104" s="20">
        <f>K100*(1-K101)</f>
        <v/>
      </c>
      <c r="L104" s="24" t="n"/>
    </row>
    <row r="105" ht="15.75" customHeight="1" s="1">
      <c r="A105" s="92" t="inlineStr">
        <is>
          <t>Modalidad</t>
        </is>
      </c>
      <c r="B105" s="159" t="inlineStr">
        <is>
          <t>Pagos exactos</t>
        </is>
      </c>
      <c r="C105" s="175" t="n"/>
      <c r="D105" s="43" t="n"/>
      <c r="E105" s="43" t="n"/>
      <c r="J105" s="122" t="inlineStr">
        <is>
          <t>A =</t>
        </is>
      </c>
      <c r="K105" s="20">
        <f>PMT(K103,K102,-K104)</f>
        <v/>
      </c>
      <c r="L105" s="24" t="n"/>
    </row>
    <row r="106" ht="15.75" customHeight="1" s="1">
      <c r="A106" s="43" t="n"/>
      <c r="B106" s="42" t="n"/>
      <c r="C106" s="43" t="n"/>
      <c r="D106" s="43" t="n"/>
      <c r="E106" s="125" t="n">
        <v>1</v>
      </c>
      <c r="F106" s="4" t="n">
        <v>2</v>
      </c>
      <c r="G106" s="4" t="n">
        <v>3</v>
      </c>
      <c r="H106" s="4" t="n">
        <v>4</v>
      </c>
      <c r="I106" s="4" t="n">
        <v>5</v>
      </c>
      <c r="L106" s="24" t="n"/>
    </row>
    <row r="107" ht="14.25" customHeight="1" s="1">
      <c r="A107" s="161" t="inlineStr">
        <is>
          <t>Concepto</t>
        </is>
      </c>
      <c r="B107" s="26" t="inlineStr">
        <is>
          <t>Año 0</t>
        </is>
      </c>
      <c r="C107" s="26" t="inlineStr">
        <is>
          <t>Año 1</t>
        </is>
      </c>
      <c r="D107" s="26" t="inlineStr">
        <is>
          <t>Año 2</t>
        </is>
      </c>
      <c r="E107" s="26" t="inlineStr">
        <is>
          <t>Año 3</t>
        </is>
      </c>
      <c r="F107" s="26" t="inlineStr">
        <is>
          <t>Año 4</t>
        </is>
      </c>
      <c r="G107" s="26" t="inlineStr">
        <is>
          <t>Año 5</t>
        </is>
      </c>
      <c r="H107" s="26" t="inlineStr">
        <is>
          <t>Año 6</t>
        </is>
      </c>
      <c r="I107" s="26" t="inlineStr">
        <is>
          <t>Año 7</t>
        </is>
      </c>
      <c r="L107" s="24" t="n"/>
    </row>
    <row r="108" ht="14.25" customHeight="1" s="1">
      <c r="A108" s="28" t="inlineStr">
        <is>
          <t xml:space="preserve">Saldo crédito </t>
        </is>
      </c>
      <c r="B108" s="57">
        <f>B102</f>
        <v/>
      </c>
      <c r="C108" s="57">
        <f>B108-C111</f>
        <v/>
      </c>
      <c r="D108" s="57">
        <f>C108-D111</f>
        <v/>
      </c>
      <c r="E108" s="57">
        <f>D108-E111</f>
        <v/>
      </c>
      <c r="F108" s="57">
        <f>E108-F111</f>
        <v/>
      </c>
      <c r="G108" s="57">
        <f>F108-G111</f>
        <v/>
      </c>
      <c r="H108" s="57">
        <f>G108-H111</f>
        <v/>
      </c>
      <c r="I108" s="57">
        <f>H108-I111</f>
        <v/>
      </c>
    </row>
    <row r="109" ht="14.25" customHeight="1" s="1">
      <c r="A109" s="28" t="inlineStr">
        <is>
          <t>Cuota mensual (anualidad)</t>
        </is>
      </c>
      <c r="B109" s="57">
        <f>B110</f>
        <v/>
      </c>
      <c r="C109" s="57">
        <f>C110</f>
        <v/>
      </c>
      <c r="D109" s="57">
        <f>D110</f>
        <v/>
      </c>
      <c r="E109" s="57">
        <f>$K$105</f>
        <v/>
      </c>
      <c r="F109" s="57">
        <f>$K$105</f>
        <v/>
      </c>
      <c r="G109" s="57">
        <f>$K$105</f>
        <v/>
      </c>
      <c r="H109" s="57">
        <f>$K$105</f>
        <v/>
      </c>
      <c r="I109" s="57">
        <f>$K$105</f>
        <v/>
      </c>
    </row>
    <row r="110" ht="14.25" customHeight="1" s="1">
      <c r="A110" s="28" t="inlineStr">
        <is>
          <t>Intereses</t>
        </is>
      </c>
      <c r="B110" s="57">
        <f>B108*$B$103</f>
        <v/>
      </c>
      <c r="C110" s="57">
        <f>B108*$B$103</f>
        <v/>
      </c>
      <c r="D110" s="57">
        <f>C108*$B$103</f>
        <v/>
      </c>
      <c r="E110" s="57">
        <f>E108*$B$103</f>
        <v/>
      </c>
      <c r="F110" s="57">
        <f>F108*$B$103</f>
        <v/>
      </c>
      <c r="G110" s="57">
        <f>G108*$B$103</f>
        <v/>
      </c>
      <c r="H110" s="57">
        <f>H108*$B$103</f>
        <v/>
      </c>
      <c r="I110" s="57">
        <f>I108*$B$103</f>
        <v/>
      </c>
    </row>
    <row r="111" ht="15.75" customHeight="1" s="1">
      <c r="A111" s="92" t="inlineStr">
        <is>
          <t>Abono a capital (amortización)</t>
        </is>
      </c>
      <c r="B111" s="93" t="n"/>
      <c r="C111" s="81">
        <f>C109-C110</f>
        <v/>
      </c>
      <c r="D111" s="81">
        <f>D109-D110</f>
        <v/>
      </c>
      <c r="E111" s="81">
        <f>((E109*(1-$K$101)^($K$102-E106)))</f>
        <v/>
      </c>
      <c r="F111" s="81">
        <f>((F109*(1-$K$101)^($K$102-F106)))</f>
        <v/>
      </c>
      <c r="G111" s="81">
        <f>((G109*(1-$K$101)^($K$102-G106)))</f>
        <v/>
      </c>
      <c r="H111" s="81">
        <f>((H109*(1-$K$101)^($K$102-H106)))</f>
        <v/>
      </c>
      <c r="I111" s="81">
        <f>((I109*(1-$K$101)^($K$102-I106)))</f>
        <v/>
      </c>
    </row>
    <row r="112" ht="14.25" customHeight="1" s="1">
      <c r="B112" s="21" t="n"/>
    </row>
    <row r="113" ht="14.25" customHeight="1" s="1">
      <c r="A113" s="22" t="inlineStr">
        <is>
          <t>9.Flujo de caja del proyecto</t>
        </is>
      </c>
      <c r="B113" s="24" t="n"/>
    </row>
    <row r="114" ht="15.75" customHeight="1" s="1">
      <c r="A114" s="4" t="inlineStr">
        <is>
          <t>Flujo de caja del proyecto (con) Financiamiento)</t>
        </is>
      </c>
      <c r="B114" s="24" t="n"/>
    </row>
    <row r="115" ht="14.25" customHeight="1" s="1">
      <c r="A115" s="161" t="inlineStr">
        <is>
          <t>Concepto</t>
        </is>
      </c>
      <c r="B115" s="26" t="inlineStr">
        <is>
          <t>Año 0</t>
        </is>
      </c>
      <c r="C115" s="26" t="inlineStr">
        <is>
          <t>Año 1</t>
        </is>
      </c>
      <c r="D115" s="26" t="inlineStr">
        <is>
          <t>Año 2</t>
        </is>
      </c>
      <c r="E115" s="26" t="inlineStr">
        <is>
          <t>Año 3</t>
        </is>
      </c>
      <c r="F115" s="26" t="inlineStr">
        <is>
          <t>Año 4</t>
        </is>
      </c>
      <c r="G115" s="26" t="inlineStr">
        <is>
          <t>Año 5</t>
        </is>
      </c>
      <c r="H115" s="26" t="inlineStr">
        <is>
          <t>Año 6</t>
        </is>
      </c>
      <c r="I115" s="26" t="inlineStr">
        <is>
          <t>Año 7</t>
        </is>
      </c>
      <c r="J115" s="26" t="inlineStr">
        <is>
          <t>Año 8</t>
        </is>
      </c>
      <c r="K115" s="26" t="inlineStr">
        <is>
          <t>Año 9</t>
        </is>
      </c>
      <c r="L115" s="27" t="inlineStr">
        <is>
          <t>Año 10</t>
        </is>
      </c>
    </row>
    <row r="116" ht="14.25" customHeight="1" s="1">
      <c r="A116" s="94" t="inlineStr">
        <is>
          <t>+ Ingreso por ventas</t>
        </is>
      </c>
      <c r="B116" s="95" t="n"/>
      <c r="C116" s="96">
        <f>C33</f>
        <v/>
      </c>
      <c r="D116" s="96">
        <f>D33</f>
        <v/>
      </c>
      <c r="E116" s="96">
        <f>E33</f>
        <v/>
      </c>
      <c r="F116" s="96">
        <f>F33</f>
        <v/>
      </c>
      <c r="G116" s="96">
        <f>G33</f>
        <v/>
      </c>
      <c r="H116" s="96">
        <f>H33</f>
        <v/>
      </c>
      <c r="I116" s="96">
        <f>I33</f>
        <v/>
      </c>
      <c r="J116" s="96">
        <f>J33</f>
        <v/>
      </c>
      <c r="K116" s="96">
        <f>K33</f>
        <v/>
      </c>
      <c r="L116" s="97">
        <f>L33</f>
        <v/>
      </c>
    </row>
    <row r="117" ht="14.25" customHeight="1" s="1">
      <c r="A117" s="98" t="inlineStr">
        <is>
          <t>Ingreso por venta del terreno</t>
        </is>
      </c>
      <c r="B117" s="95" t="n"/>
      <c r="C117" s="95" t="n"/>
      <c r="D117" s="95" t="n"/>
      <c r="E117" s="95" t="n"/>
      <c r="F117" s="95" t="n"/>
      <c r="G117" s="95" t="n"/>
      <c r="H117" s="95" t="n"/>
      <c r="I117" s="95" t="n"/>
      <c r="J117" s="95" t="n"/>
      <c r="K117" s="95" t="n"/>
      <c r="L117" s="97">
        <f>B19</f>
        <v/>
      </c>
    </row>
    <row r="118" ht="14.25" customHeight="1" s="1">
      <c r="A118" s="94" t="inlineStr">
        <is>
          <t>- Egresos deducibles de impuestos</t>
        </is>
      </c>
      <c r="B118" s="96">
        <f>SUM(B119:B121)</f>
        <v/>
      </c>
      <c r="C118" s="96">
        <f>SUM(C119:C121)</f>
        <v/>
      </c>
      <c r="D118" s="96">
        <f>SUM(D119:D121)</f>
        <v/>
      </c>
      <c r="E118" s="96">
        <f>SUM(E119:E121)</f>
        <v/>
      </c>
      <c r="F118" s="96">
        <f>SUM(F119:F121)</f>
        <v/>
      </c>
      <c r="G118" s="96">
        <f>SUM(G119:G121)</f>
        <v/>
      </c>
      <c r="H118" s="96">
        <f>SUM(H119:H121)</f>
        <v/>
      </c>
      <c r="I118" s="96">
        <f>SUM(I119:I121)</f>
        <v/>
      </c>
      <c r="J118" s="96">
        <f>SUM(J119:J121)</f>
        <v/>
      </c>
      <c r="K118" s="96">
        <f>SUM(K119:K121)</f>
        <v/>
      </c>
      <c r="L118" s="97">
        <f>SUM(L119:L121)</f>
        <v/>
      </c>
    </row>
    <row r="119" ht="14.25" customHeight="1" s="1">
      <c r="A119" s="99" t="inlineStr">
        <is>
          <t xml:space="preserve">     Costos variables</t>
        </is>
      </c>
      <c r="B119" s="100" t="n"/>
      <c r="C119" s="15">
        <f>C39</f>
        <v/>
      </c>
      <c r="D119" s="15">
        <f>D39</f>
        <v/>
      </c>
      <c r="E119" s="15">
        <f>E39</f>
        <v/>
      </c>
      <c r="F119" s="15">
        <f>F39</f>
        <v/>
      </c>
      <c r="G119" s="15">
        <f>G39</f>
        <v/>
      </c>
      <c r="H119" s="15">
        <f>H39</f>
        <v/>
      </c>
      <c r="I119" s="15">
        <f>I39</f>
        <v/>
      </c>
      <c r="J119" s="15">
        <f>J39</f>
        <v/>
      </c>
      <c r="K119" s="15">
        <f>K39</f>
        <v/>
      </c>
      <c r="L119" s="101">
        <f>L39</f>
        <v/>
      </c>
    </row>
    <row r="120" ht="14.25" customHeight="1" s="1">
      <c r="A120" s="99" t="inlineStr">
        <is>
          <t xml:space="preserve">     Costos Fijos</t>
        </is>
      </c>
      <c r="B120" s="100" t="n"/>
      <c r="C120" s="15">
        <f>C46</f>
        <v/>
      </c>
      <c r="D120" s="15">
        <f>D46</f>
        <v/>
      </c>
      <c r="E120" s="15">
        <f>E46</f>
        <v/>
      </c>
      <c r="F120" s="15">
        <f>F46</f>
        <v/>
      </c>
      <c r="G120" s="15">
        <f>G46</f>
        <v/>
      </c>
      <c r="H120" s="15">
        <f>H46</f>
        <v/>
      </c>
      <c r="I120" s="15">
        <f>I46</f>
        <v/>
      </c>
      <c r="J120" s="15">
        <f>J46</f>
        <v/>
      </c>
      <c r="K120" s="15">
        <f>K46</f>
        <v/>
      </c>
      <c r="L120" s="101">
        <f>L46</f>
        <v/>
      </c>
    </row>
    <row r="121" ht="14.25" customHeight="1" s="1">
      <c r="A121" s="99" t="inlineStr">
        <is>
          <t xml:space="preserve">     Gastos financieros</t>
        </is>
      </c>
      <c r="B121" s="15">
        <f>B110</f>
        <v/>
      </c>
      <c r="C121" s="15">
        <f>C110</f>
        <v/>
      </c>
      <c r="D121" s="15">
        <f>D110</f>
        <v/>
      </c>
      <c r="E121" s="15">
        <f>E110</f>
        <v/>
      </c>
      <c r="F121" s="15">
        <f>F110</f>
        <v/>
      </c>
      <c r="G121" s="15">
        <f>G110</f>
        <v/>
      </c>
      <c r="H121" s="15">
        <f>H110</f>
        <v/>
      </c>
      <c r="I121" s="15">
        <f>I110</f>
        <v/>
      </c>
      <c r="J121" s="15">
        <f>J110</f>
        <v/>
      </c>
      <c r="K121" s="15">
        <f>K110</f>
        <v/>
      </c>
      <c r="L121" s="101">
        <f>L110</f>
        <v/>
      </c>
    </row>
    <row r="122" ht="14.25" customHeight="1" s="1">
      <c r="A122" s="94" t="inlineStr">
        <is>
          <t>- Gastos no desembolsables</t>
        </is>
      </c>
      <c r="B122" s="95" t="n"/>
      <c r="C122" s="96">
        <f>SUM(C123:C124)</f>
        <v/>
      </c>
      <c r="D122" s="96">
        <f>SUM(D123:D124)</f>
        <v/>
      </c>
      <c r="E122" s="96">
        <f>SUM(E123:E124)</f>
        <v/>
      </c>
      <c r="F122" s="96">
        <f>SUM(F123:F124)</f>
        <v/>
      </c>
      <c r="G122" s="96">
        <f>SUM(G123:G124)</f>
        <v/>
      </c>
      <c r="H122" s="96">
        <f>SUM(H123:H124)</f>
        <v/>
      </c>
      <c r="I122" s="96">
        <f>SUM(I123:I124)</f>
        <v/>
      </c>
      <c r="J122" s="96">
        <f>SUM(J123:J124)</f>
        <v/>
      </c>
      <c r="K122" s="96">
        <f>SUM(K123:K124)</f>
        <v/>
      </c>
      <c r="L122" s="97">
        <f>SUM(L123:L124)</f>
        <v/>
      </c>
    </row>
    <row r="123" ht="14.25" customHeight="1" s="1">
      <c r="A123" s="99" t="inlineStr">
        <is>
          <t xml:space="preserve">     Depreciación de activos</t>
        </is>
      </c>
      <c r="B123" s="100" t="n"/>
      <c r="C123" s="15">
        <f>C85</f>
        <v/>
      </c>
      <c r="D123" s="15">
        <f>D85</f>
        <v/>
      </c>
      <c r="E123" s="15">
        <f>E85</f>
        <v/>
      </c>
      <c r="F123" s="15">
        <f>F85</f>
        <v/>
      </c>
      <c r="G123" s="15">
        <f>G85</f>
        <v/>
      </c>
      <c r="H123" s="15">
        <f>H85</f>
        <v/>
      </c>
      <c r="I123" s="15">
        <f>I85</f>
        <v/>
      </c>
      <c r="J123" s="15">
        <f>J85</f>
        <v/>
      </c>
      <c r="K123" s="15">
        <f>K85</f>
        <v/>
      </c>
      <c r="L123" s="101">
        <f>L85</f>
        <v/>
      </c>
    </row>
    <row r="124" ht="14.25" customHeight="1" s="1">
      <c r="A124" s="99" t="inlineStr">
        <is>
          <t xml:space="preserve">     Amortización de pre-operativos</t>
        </is>
      </c>
      <c r="B124" s="100" t="n"/>
      <c r="C124" s="15">
        <f>C87</f>
        <v/>
      </c>
      <c r="D124" s="15">
        <f>D87</f>
        <v/>
      </c>
      <c r="E124" s="15">
        <f>E87</f>
        <v/>
      </c>
      <c r="F124" s="15">
        <f>F87</f>
        <v/>
      </c>
      <c r="G124" s="15">
        <f>G87</f>
        <v/>
      </c>
      <c r="H124" s="15">
        <f>H87</f>
        <v/>
      </c>
      <c r="I124" s="15">
        <f>I87</f>
        <v/>
      </c>
      <c r="J124" s="15">
        <f>J87</f>
        <v/>
      </c>
      <c r="K124" s="15">
        <f>K87</f>
        <v/>
      </c>
      <c r="L124" s="101">
        <f>L87</f>
        <v/>
      </c>
    </row>
    <row r="125" ht="14.25" customHeight="1" s="1">
      <c r="A125" s="94" t="inlineStr">
        <is>
          <t>= Utilidad antes de impuestos</t>
        </is>
      </c>
      <c r="B125" s="96">
        <f>B116+B117-B118-B122</f>
        <v/>
      </c>
      <c r="C125" s="96">
        <f>C116+C117-C118-C122</f>
        <v/>
      </c>
      <c r="D125" s="96">
        <f>D116+D117-D118-D122</f>
        <v/>
      </c>
      <c r="E125" s="96">
        <f>E116+E117-E118-E122</f>
        <v/>
      </c>
      <c r="F125" s="96">
        <f>F116+F117-F118-F122</f>
        <v/>
      </c>
      <c r="G125" s="96">
        <f>G116+G117-G118-G122</f>
        <v/>
      </c>
      <c r="H125" s="96">
        <f>H116+H117-H118-H122</f>
        <v/>
      </c>
      <c r="I125" s="96">
        <f>I116+I117-I118-I122</f>
        <v/>
      </c>
      <c r="J125" s="96">
        <f>J116+J117-J118-J122</f>
        <v/>
      </c>
      <c r="K125" s="96">
        <f>K116+K117-K118-K122</f>
        <v/>
      </c>
      <c r="L125" s="96">
        <f>L116+L117-L118-L122</f>
        <v/>
      </c>
    </row>
    <row r="126" ht="14.25" customHeight="1" s="1">
      <c r="A126" s="99" t="inlineStr">
        <is>
          <t>- Impuestos (30%)</t>
        </is>
      </c>
      <c r="B126" s="100" t="n"/>
      <c r="C126" s="10">
        <f>C125*$B$26</f>
        <v/>
      </c>
      <c r="D126" s="15">
        <f>D125*$B$26</f>
        <v/>
      </c>
      <c r="E126" s="15">
        <f>E125*$B$26</f>
        <v/>
      </c>
      <c r="F126" s="15">
        <f>F125*$B$26</f>
        <v/>
      </c>
      <c r="G126" s="15">
        <f>G125*$B$26</f>
        <v/>
      </c>
      <c r="H126" s="15">
        <f>H125*$B$26</f>
        <v/>
      </c>
      <c r="I126" s="15">
        <f>I125*$B$26</f>
        <v/>
      </c>
      <c r="J126" s="15">
        <f>J125*$B$26</f>
        <v/>
      </c>
      <c r="K126" s="15">
        <f>K125*$B$26</f>
        <v/>
      </c>
      <c r="L126" s="101">
        <f>L125*$B$26</f>
        <v/>
      </c>
    </row>
    <row r="127" ht="14.25" customHeight="1" s="1">
      <c r="A127" s="94" t="inlineStr">
        <is>
          <t>= Utilidad después de impuestos</t>
        </is>
      </c>
      <c r="B127" s="96">
        <f>B125-B126</f>
        <v/>
      </c>
      <c r="C127" s="96">
        <f>C125-C126</f>
        <v/>
      </c>
      <c r="D127" s="96">
        <f>D125-D126</f>
        <v/>
      </c>
      <c r="E127" s="96">
        <f>E125-E126</f>
        <v/>
      </c>
      <c r="F127" s="96">
        <f>F125-F126</f>
        <v/>
      </c>
      <c r="G127" s="96">
        <f>G125-G126</f>
        <v/>
      </c>
      <c r="H127" s="96">
        <f>H125-H126</f>
        <v/>
      </c>
      <c r="I127" s="96">
        <f>I125-I126</f>
        <v/>
      </c>
      <c r="J127" s="96">
        <f>J125-J126</f>
        <v/>
      </c>
      <c r="K127" s="96">
        <f>K125-K126</f>
        <v/>
      </c>
      <c r="L127" s="97">
        <f>L125-L126</f>
        <v/>
      </c>
    </row>
    <row r="128" ht="14.25" customHeight="1" s="1">
      <c r="A128" s="98" t="inlineStr">
        <is>
          <t>+ Gastos no desembolsables</t>
        </is>
      </c>
      <c r="B128" s="95" t="n"/>
      <c r="C128" s="96">
        <f>SUM(C129:C130)</f>
        <v/>
      </c>
      <c r="D128" s="96">
        <f>SUM(D129:D130)</f>
        <v/>
      </c>
      <c r="E128" s="96">
        <f>SUM(E129:E130)</f>
        <v/>
      </c>
      <c r="F128" s="96">
        <f>SUM(F129:F130)</f>
        <v/>
      </c>
      <c r="G128" s="96">
        <f>SUM(G129:G130)</f>
        <v/>
      </c>
      <c r="H128" s="96">
        <f>SUM(H129:H130)</f>
        <v/>
      </c>
      <c r="I128" s="96">
        <f>SUM(I129:I130)</f>
        <v/>
      </c>
      <c r="J128" s="96">
        <f>SUM(J129:J130)</f>
        <v/>
      </c>
      <c r="K128" s="96">
        <f>SUM(K129:K130)</f>
        <v/>
      </c>
      <c r="L128" s="97">
        <f>SUM(L129:L130)</f>
        <v/>
      </c>
    </row>
    <row r="129" ht="14.25" customHeight="1" s="1">
      <c r="A129" s="99" t="inlineStr">
        <is>
          <t xml:space="preserve">     Depreciación de activos</t>
        </is>
      </c>
      <c r="B129" s="100" t="n"/>
      <c r="C129" s="15">
        <f>C123</f>
        <v/>
      </c>
      <c r="D129" s="15">
        <f>D123</f>
        <v/>
      </c>
      <c r="E129" s="15">
        <f>E123</f>
        <v/>
      </c>
      <c r="F129" s="15">
        <f>F123</f>
        <v/>
      </c>
      <c r="G129" s="15">
        <f>G123</f>
        <v/>
      </c>
      <c r="H129" s="15">
        <f>H123</f>
        <v/>
      </c>
      <c r="I129" s="15">
        <f>I123</f>
        <v/>
      </c>
      <c r="J129" s="15">
        <f>J123</f>
        <v/>
      </c>
      <c r="K129" s="15">
        <f>K123</f>
        <v/>
      </c>
      <c r="L129" s="101">
        <f>L123</f>
        <v/>
      </c>
    </row>
    <row r="130" ht="14.25" customHeight="1" s="1">
      <c r="A130" s="99" t="inlineStr">
        <is>
          <t xml:space="preserve">     Amortización de pre-operativos</t>
        </is>
      </c>
      <c r="B130" s="100" t="n"/>
      <c r="C130" s="15">
        <f>C124</f>
        <v/>
      </c>
      <c r="D130" s="15">
        <f>D124</f>
        <v/>
      </c>
      <c r="E130" s="15">
        <f>E124</f>
        <v/>
      </c>
      <c r="F130" s="15">
        <f>F124</f>
        <v/>
      </c>
      <c r="G130" s="15">
        <f>G124</f>
        <v/>
      </c>
      <c r="H130" s="15">
        <f>H124</f>
        <v/>
      </c>
      <c r="I130" s="15">
        <f>I124</f>
        <v/>
      </c>
      <c r="J130" s="15">
        <f>J124</f>
        <v/>
      </c>
      <c r="K130" s="15">
        <f>K124</f>
        <v/>
      </c>
      <c r="L130" s="101">
        <f>L124</f>
        <v/>
      </c>
    </row>
    <row r="131" ht="14.25" customHeight="1" s="1">
      <c r="A131" s="94" t="inlineStr">
        <is>
          <t>+ Ingresos no sujetos a impuestos</t>
        </is>
      </c>
      <c r="B131" s="96">
        <f>SUM(B132:B134)</f>
        <v/>
      </c>
      <c r="C131" s="96">
        <f>SUM(C132:C134)</f>
        <v/>
      </c>
      <c r="D131" s="96">
        <f>SUM(D132:D134)</f>
        <v/>
      </c>
      <c r="E131" s="96">
        <f>SUM(E132:E134)</f>
        <v/>
      </c>
      <c r="F131" s="96">
        <f>SUM(F132:F134)</f>
        <v/>
      </c>
      <c r="G131" s="96">
        <f>SUM(G132:G134)</f>
        <v/>
      </c>
      <c r="H131" s="96">
        <f>SUM(H132:H134)</f>
        <v/>
      </c>
      <c r="I131" s="96">
        <f>SUM(I132:I134)</f>
        <v/>
      </c>
      <c r="J131" s="96">
        <f>SUM(J132:J134)</f>
        <v/>
      </c>
      <c r="K131" s="96">
        <f>SUM(K132:K134)</f>
        <v/>
      </c>
      <c r="L131" s="97">
        <f>SUM(L132:L134)</f>
        <v/>
      </c>
    </row>
    <row r="132" ht="14.25" customHeight="1" s="1">
      <c r="A132" s="99" t="inlineStr">
        <is>
          <t xml:space="preserve">     Valor de desecho</t>
        </is>
      </c>
      <c r="B132" s="100" t="n"/>
      <c r="C132" s="100" t="n"/>
      <c r="D132" s="100" t="n"/>
      <c r="E132" s="100" t="n"/>
      <c r="F132" s="100" t="n"/>
      <c r="G132" s="100" t="n"/>
      <c r="H132" s="100" t="n"/>
      <c r="I132" s="100" t="n"/>
      <c r="J132" s="100" t="n"/>
      <c r="K132" s="100" t="n"/>
      <c r="L132" s="101">
        <f>M98</f>
        <v/>
      </c>
    </row>
    <row r="133" ht="14.25" customHeight="1" s="1">
      <c r="A133" s="99" t="inlineStr">
        <is>
          <t xml:space="preserve">     Recuperación del capital de trabajo</t>
        </is>
      </c>
      <c r="B133" s="100" t="n"/>
      <c r="C133" s="100" t="n"/>
      <c r="D133" s="100" t="n"/>
      <c r="E133" s="100" t="n"/>
      <c r="F133" s="100" t="n"/>
      <c r="G133" s="100" t="n"/>
      <c r="H133" s="100" t="n"/>
      <c r="I133" s="100" t="n"/>
      <c r="J133" s="100" t="n"/>
      <c r="K133" s="100" t="n"/>
      <c r="L133" s="101">
        <f>-L77</f>
        <v/>
      </c>
    </row>
    <row r="134" ht="14.25" customHeight="1" s="1">
      <c r="A134" s="99" t="inlineStr">
        <is>
          <t xml:space="preserve">     Préstamo bancario</t>
        </is>
      </c>
      <c r="B134" s="15">
        <f>B102</f>
        <v/>
      </c>
      <c r="C134" s="100" t="n"/>
      <c r="D134" s="100" t="n"/>
      <c r="E134" s="100" t="n"/>
      <c r="F134" s="100" t="n"/>
      <c r="G134" s="100" t="n"/>
      <c r="H134" s="100" t="n"/>
      <c r="I134" s="100" t="n"/>
      <c r="J134" s="100" t="n"/>
      <c r="K134" s="100" t="n"/>
      <c r="L134" s="102" t="n"/>
    </row>
    <row r="135" ht="14.25" customHeight="1" s="1">
      <c r="A135" s="94" t="inlineStr">
        <is>
          <t>- Egresos no deducibles de impuestos</t>
        </is>
      </c>
      <c r="B135" s="96">
        <f>SUM(B136:B139)</f>
        <v/>
      </c>
      <c r="C135" s="96">
        <f>SUM(C136:C139)</f>
        <v/>
      </c>
      <c r="D135" s="96">
        <f>SUM(D136:D139)</f>
        <v/>
      </c>
      <c r="E135" s="96">
        <f>SUM(E136:E139)</f>
        <v/>
      </c>
      <c r="F135" s="96">
        <f>SUM(F136:F139)</f>
        <v/>
      </c>
      <c r="G135" s="96">
        <f>SUM(G136:G139)</f>
        <v/>
      </c>
      <c r="H135" s="96">
        <f>SUM(H136:H139)</f>
        <v/>
      </c>
      <c r="I135" s="96">
        <f>SUM(I136:I139)</f>
        <v/>
      </c>
      <c r="J135" s="96">
        <f>SUM(J136:J139)</f>
        <v/>
      </c>
      <c r="K135" s="96">
        <f>SUM(K136:K139)</f>
        <v/>
      </c>
      <c r="L135" s="97">
        <f>SUM(L136:L139)</f>
        <v/>
      </c>
    </row>
    <row r="136" ht="14.25" customHeight="1" s="1">
      <c r="A136" s="99" t="inlineStr">
        <is>
          <t xml:space="preserve">     Activos (inv. 20 años, 10 años, 5 años, terreno)</t>
        </is>
      </c>
      <c r="B136" s="96">
        <f>SUM(B69:B72)</f>
        <v/>
      </c>
      <c r="C136" s="95" t="n"/>
      <c r="D136" s="95" t="n"/>
      <c r="E136" s="95" t="n"/>
      <c r="F136" s="95" t="n"/>
      <c r="G136" s="96">
        <f>G69</f>
        <v/>
      </c>
      <c r="H136" s="95" t="n"/>
      <c r="I136" s="95" t="n"/>
      <c r="J136" s="95" t="n"/>
      <c r="K136" s="95" t="n"/>
      <c r="L136" s="103" t="n"/>
    </row>
    <row r="137" ht="14.25" customHeight="1" s="1">
      <c r="A137" s="99" t="inlineStr">
        <is>
          <t xml:space="preserve">     Gastos de puesta en marcha (pre-operativos)</t>
        </is>
      </c>
      <c r="B137" s="15">
        <f>B74</f>
        <v/>
      </c>
      <c r="C137" s="100" t="n"/>
      <c r="D137" s="100" t="n"/>
      <c r="E137" s="100" t="n"/>
      <c r="F137" s="100" t="n"/>
      <c r="G137" s="100" t="n"/>
      <c r="H137" s="100" t="n"/>
      <c r="I137" s="100" t="n"/>
      <c r="J137" s="100" t="n"/>
      <c r="K137" s="100" t="n"/>
      <c r="L137" s="102" t="n"/>
    </row>
    <row r="138" ht="14.25" customHeight="1" s="1">
      <c r="A138" s="99" t="inlineStr">
        <is>
          <t xml:space="preserve">     Inversión en capital de trabajo</t>
        </is>
      </c>
      <c r="B138" s="15">
        <f>B76</f>
        <v/>
      </c>
      <c r="C138" s="15">
        <f>C76</f>
        <v/>
      </c>
      <c r="D138" s="15">
        <f>D76</f>
        <v/>
      </c>
      <c r="E138" s="15">
        <f>E76</f>
        <v/>
      </c>
      <c r="F138" s="15">
        <f>F76</f>
        <v/>
      </c>
      <c r="G138" s="15">
        <f>G76</f>
        <v/>
      </c>
      <c r="H138" s="15">
        <f>H76</f>
        <v/>
      </c>
      <c r="I138" s="15">
        <f>I76</f>
        <v/>
      </c>
      <c r="J138" s="15">
        <f>J76</f>
        <v/>
      </c>
      <c r="K138" s="15">
        <f>K76</f>
        <v/>
      </c>
      <c r="L138" s="102" t="n"/>
    </row>
    <row r="139" ht="14.25" customHeight="1" s="1">
      <c r="A139" s="99" t="inlineStr">
        <is>
          <t xml:space="preserve">     Pago préstamo bancario</t>
        </is>
      </c>
      <c r="B139" s="100" t="n"/>
      <c r="C139" s="15">
        <f>C111</f>
        <v/>
      </c>
      <c r="D139" s="15">
        <f>D111</f>
        <v/>
      </c>
      <c r="E139" s="15">
        <f>E111</f>
        <v/>
      </c>
      <c r="F139" s="15">
        <f>F111</f>
        <v/>
      </c>
      <c r="G139" s="15">
        <f>G111</f>
        <v/>
      </c>
      <c r="H139" s="15">
        <f>H111</f>
        <v/>
      </c>
      <c r="I139" s="15">
        <f>I111</f>
        <v/>
      </c>
      <c r="J139" s="15">
        <f>J111</f>
        <v/>
      </c>
      <c r="K139" s="15">
        <f>K111</f>
        <v/>
      </c>
      <c r="L139" s="101">
        <f>L111</f>
        <v/>
      </c>
    </row>
    <row r="140" ht="14.25" customHeight="1" s="1">
      <c r="A140" s="104" t="inlineStr">
        <is>
          <t>= Flujo de caja</t>
        </is>
      </c>
      <c r="B140" s="53">
        <f>B127+B128+B131-B135</f>
        <v/>
      </c>
      <c r="C140" s="53">
        <f>C127+C128+C131-C135</f>
        <v/>
      </c>
      <c r="D140" s="53">
        <f>D127+D128+D131-D135</f>
        <v/>
      </c>
      <c r="E140" s="53">
        <f>E127+E128+E131-E135</f>
        <v/>
      </c>
      <c r="F140" s="53">
        <f>F127+F128+F131-F135</f>
        <v/>
      </c>
      <c r="G140" s="53">
        <f>G127+G128+G131-G135</f>
        <v/>
      </c>
      <c r="H140" s="53">
        <f>H127+H128+H131-H135</f>
        <v/>
      </c>
      <c r="I140" s="53">
        <f>I127+I128+I131-I135</f>
        <v/>
      </c>
      <c r="J140" s="53">
        <f>J127+J128+J131-J135</f>
        <v/>
      </c>
      <c r="K140" s="53">
        <f>K127+K128+K131-K135</f>
        <v/>
      </c>
      <c r="L140" s="53">
        <f>L127+L128+L131-L135</f>
        <v/>
      </c>
    </row>
    <row r="141" ht="14.25" customHeight="1" s="1">
      <c r="A141" s="146" t="inlineStr">
        <is>
          <t>Flujo de caja acumulado (PRI)</t>
        </is>
      </c>
    </row>
    <row r="142" ht="14.25" customHeight="1" s="1">
      <c r="A142" s="145" t="inlineStr">
        <is>
          <t xml:space="preserve">     Flujo acumulado</t>
        </is>
      </c>
      <c r="B142" s="53">
        <f>B140</f>
        <v/>
      </c>
      <c r="C142" s="53">
        <f>B142+C140</f>
        <v/>
      </c>
      <c r="D142" s="53">
        <f>C142+D140</f>
        <v/>
      </c>
      <c r="E142" s="53">
        <f>D142+E140</f>
        <v/>
      </c>
      <c r="F142" s="53">
        <f>E142+F140</f>
        <v/>
      </c>
      <c r="G142" s="53">
        <f>F142+G140</f>
        <v/>
      </c>
      <c r="H142" s="53">
        <f>G142+H140</f>
        <v/>
      </c>
      <c r="I142" s="53">
        <f>H142+I140</f>
        <v/>
      </c>
      <c r="J142" s="53">
        <f>I142+J140</f>
        <v/>
      </c>
      <c r="K142" s="53">
        <f>J142+K140</f>
        <v/>
      </c>
      <c r="L142" s="53">
        <f>K142+L140</f>
        <v/>
      </c>
    </row>
    <row r="143" ht="14.25" customHeight="1" s="1">
      <c r="A143" s="146" t="inlineStr">
        <is>
          <t>Flujo descontado acumulado (PRID)</t>
        </is>
      </c>
    </row>
    <row r="144" ht="14.25" customHeight="1" s="1">
      <c r="A144" s="145" t="inlineStr">
        <is>
          <t xml:space="preserve">     Flujo desc. acumulado</t>
        </is>
      </c>
      <c r="B144" s="53">
        <f>B140</f>
        <v/>
      </c>
      <c r="C144" s="53">
        <f>B144+C140/(1+E150)^1</f>
        <v/>
      </c>
      <c r="D144" s="53">
        <f>C144+D140/(1+E150)^2</f>
        <v/>
      </c>
      <c r="E144" s="53">
        <f>D144+E140/(1+E150)^3</f>
        <v/>
      </c>
      <c r="F144" s="53">
        <f>E144+F140/(1+E150)^4</f>
        <v/>
      </c>
      <c r="G144" s="53">
        <f>F144+G140/(1+E150)^5</f>
        <v/>
      </c>
      <c r="H144" s="53">
        <f>G144+H140/(1+E150)^6</f>
        <v/>
      </c>
      <c r="I144" s="53">
        <f>H144+I140/(1+E150)^7</f>
        <v/>
      </c>
      <c r="J144" s="53">
        <f>I144+J140/(1+E150)^8</f>
        <v/>
      </c>
      <c r="K144" s="53">
        <f>J144+K140/(1+E150)^9</f>
        <v/>
      </c>
      <c r="L144" s="53">
        <f>K144+L140/(1+E150)^10</f>
        <v/>
      </c>
    </row>
    <row r="145" ht="14.25" customHeight="1" s="1">
      <c r="B145" s="21" t="n"/>
      <c r="F145" s="106" t="n"/>
    </row>
    <row r="146" ht="14.25" customHeight="1" s="1">
      <c r="A146" s="22" t="inlineStr">
        <is>
          <t>10. Costo del capital</t>
        </is>
      </c>
    </row>
    <row r="147" ht="14.25" customHeight="1" s="1">
      <c r="B147" s="107" t="inlineStr">
        <is>
          <t>Participación ($)</t>
        </is>
      </c>
      <c r="C147" s="107" t="inlineStr">
        <is>
          <t>Participación (%)</t>
        </is>
      </c>
      <c r="D147" s="107" t="inlineStr">
        <is>
          <t>Costo</t>
        </is>
      </c>
      <c r="E147" s="107" t="inlineStr">
        <is>
          <t>Costo promedio</t>
        </is>
      </c>
    </row>
    <row r="148" ht="14.25" customHeight="1" s="1">
      <c r="A148" s="4" t="inlineStr">
        <is>
          <t>Préstamo bancario</t>
        </is>
      </c>
      <c r="B148" s="147">
        <f>B102</f>
        <v/>
      </c>
      <c r="C148" s="149">
        <f>E102</f>
        <v/>
      </c>
      <c r="D148" s="149">
        <f>B103*(1-B26)</f>
        <v/>
      </c>
      <c r="E148" s="149">
        <f>C148*D148</f>
        <v/>
      </c>
    </row>
    <row r="149" ht="18" customHeight="1" s="1">
      <c r="A149" s="4" t="inlineStr">
        <is>
          <t>Fondos propios</t>
        </is>
      </c>
      <c r="B149" s="148">
        <f>B77-B148</f>
        <v/>
      </c>
      <c r="C149" s="150">
        <f>1-C148</f>
        <v/>
      </c>
      <c r="D149" s="149">
        <f>B25</f>
        <v/>
      </c>
      <c r="E149" s="150">
        <f>C149*D149</f>
        <v/>
      </c>
    </row>
    <row r="150" ht="14.25" customHeight="1" s="1">
      <c r="B150" s="147">
        <f>B148+B149</f>
        <v/>
      </c>
      <c r="C150" s="149">
        <f>C148+C149</f>
        <v/>
      </c>
      <c r="D150" s="108" t="n"/>
      <c r="E150" s="149">
        <f>E148+E149</f>
        <v/>
      </c>
    </row>
    <row r="152" ht="14.25" customHeight="1" s="1">
      <c r="A152" s="22" t="inlineStr">
        <is>
          <t>11. Indicadores financieros</t>
        </is>
      </c>
    </row>
    <row r="153" ht="14.25" customHeight="1" s="1">
      <c r="A153" s="109" t="inlineStr">
        <is>
          <t>VAN(WACC) =</t>
        </is>
      </c>
      <c r="B153" s="110">
        <f>NPV(E150,C140:L140)+B140</f>
        <v/>
      </c>
    </row>
    <row r="154" ht="14.25" customHeight="1" s="1">
      <c r="A154" s="109" t="inlineStr">
        <is>
          <t>TIR =</t>
        </is>
      </c>
      <c r="B154" s="151">
        <f>IRR(B140:L140)</f>
        <v/>
      </c>
    </row>
    <row r="155" ht="14.25" customHeight="1" s="1">
      <c r="A155" s="109" t="inlineStr">
        <is>
          <t>PRI =</t>
        </is>
      </c>
      <c r="B155" s="112">
        <f>IFERROR(MATCH(1,INDEX((C142:L142&gt;=0)*1,0),0),"&gt;10")</f>
        <v/>
      </c>
    </row>
    <row r="156" ht="14.25" customHeight="1" s="1">
      <c r="A156" s="109" t="inlineStr">
        <is>
          <t>PRID =</t>
        </is>
      </c>
      <c r="B156" s="112">
        <f>IFERROR(MATCH(1,INDEX((C144:L144&gt;=0)*1,0),0),"&gt;10")</f>
        <v/>
      </c>
    </row>
    <row r="157" ht="14.25" customHeight="1" s="1">
      <c r="A157" s="109" t="inlineStr">
        <is>
          <t>ID =</t>
        </is>
      </c>
      <c r="B157" s="143">
        <f>(NPV(E150,C140:L140)+B140+ABS(B140))/ABS(B140)</f>
        <v/>
      </c>
    </row>
    <row r="158" ht="14.25" customHeight="1" s="1">
      <c r="B158" s="21" t="n"/>
    </row>
    <row r="159" ht="14.25" customHeight="1" s="1">
      <c r="B159" s="21" t="n"/>
    </row>
    <row r="160" ht="14.25" customHeight="1" s="1">
      <c r="A160" s="105" t="n"/>
      <c r="B160" s="113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</row>
    <row r="161" ht="14.25" customHeight="1" s="1">
      <c r="A161" s="105" t="n"/>
      <c r="B161" s="113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</row>
    <row r="162" ht="14.25" customHeight="1" s="1">
      <c r="A162" s="105" t="n"/>
      <c r="B162" s="113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</row>
    <row r="163" ht="14.25" customHeight="1" s="1">
      <c r="A163" s="105" t="n"/>
      <c r="B163" s="113" t="n"/>
      <c r="C163" s="115" t="n"/>
      <c r="D163" s="115" t="n"/>
      <c r="E163" s="115" t="n"/>
      <c r="F163" s="115" t="n"/>
      <c r="G163" s="115" t="n"/>
      <c r="H163" s="115" t="n"/>
      <c r="I163" s="115" t="n"/>
      <c r="J163" s="115" t="n"/>
      <c r="K163" s="115" t="n"/>
      <c r="L163" s="115" t="n"/>
    </row>
    <row r="164" ht="14.25" customHeight="1" s="1">
      <c r="B164" s="21" t="n"/>
    </row>
    <row r="165" ht="14.25" customHeight="1" s="1">
      <c r="B165" s="21" t="n"/>
    </row>
    <row r="166" ht="14.25" customHeight="1" s="1">
      <c r="B166" s="21" t="n"/>
    </row>
  </sheetData>
  <mergeCells count="6">
    <mergeCell ref="A50:H50"/>
    <mergeCell ref="A55:H55"/>
    <mergeCell ref="A98:L98"/>
    <mergeCell ref="A92:A93"/>
    <mergeCell ref="C92:L92"/>
    <mergeCell ref="B105:C105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00B050"/>
    <outlinePr summaryBelow="1" summaryRight="1"/>
    <pageSetUpPr/>
  </sheetPr>
  <dimension ref="A1:V166"/>
  <sheetViews>
    <sheetView workbookViewId="0">
      <selection activeCell="A1" sqref="A1"/>
    </sheetView>
  </sheetViews>
  <sheetFormatPr baseColWidth="10" defaultColWidth="8.6640625" defaultRowHeight="14.4"/>
  <cols>
    <col width="42.44140625" customWidth="1" style="1" min="1" max="1"/>
    <col width="15.5546875" customWidth="1" style="1" min="2" max="2"/>
    <col width="16.109375" customWidth="1" style="1" min="3" max="3"/>
    <col width="15.44140625" customWidth="1" style="1" min="4" max="8"/>
    <col width="15.5546875" customWidth="1" style="1" min="9" max="11"/>
    <col width="15.44140625" customWidth="1" style="1" min="12" max="12"/>
    <col width="13.5546875" customWidth="1" style="1" min="13" max="13"/>
    <col width="28" customWidth="1" style="1" min="14" max="14"/>
    <col width="13" customWidth="1" style="1" min="15" max="15"/>
    <col width="16" customWidth="1" style="1" min="16" max="16"/>
    <col width="18" customWidth="1" style="1" min="17" max="17"/>
    <col width="25.109375" customWidth="1" style="1" min="18" max="18"/>
    <col width="11.6640625" customWidth="1" style="1" min="19" max="19"/>
    <col width="13.44140625" customWidth="1" style="1" min="20" max="20"/>
    <col width="8.44140625" customWidth="1" style="1" min="21" max="21"/>
    <col width="10.6640625" customWidth="1" style="1" min="22" max="22"/>
  </cols>
  <sheetData>
    <row r="1" ht="15" customHeight="1" s="1">
      <c r="A1" s="2" t="inlineStr">
        <is>
          <t>Camaronera Industrial</t>
        </is>
      </c>
    </row>
    <row r="3" ht="14.25" customHeight="1" s="1">
      <c r="A3" s="3" t="inlineStr">
        <is>
          <t>Variables</t>
        </is>
      </c>
      <c r="D3" s="176" t="inlineStr">
        <is>
          <t>VARIABLES ESTOCASTICAS @RISK  -&gt;  ver columnas N:Q</t>
        </is>
      </c>
      <c r="N3" s="177" t="inlineStr">
        <is>
          <t>VARIABLES ESTOCÁSTICAS (@RISK)</t>
        </is>
      </c>
    </row>
    <row r="4" ht="14.25" customHeight="1" s="1">
      <c r="A4" s="4" t="inlineStr">
        <is>
          <t>Horizonte de evaluación (años)</t>
        </is>
      </c>
      <c r="B4" s="4" t="n">
        <v>10</v>
      </c>
      <c r="N4" s="178" t="inlineStr">
        <is>
          <t>Variable de entrada</t>
        </is>
      </c>
      <c r="O4" s="178" t="inlineStr">
        <is>
          <t>Distribución</t>
        </is>
      </c>
      <c r="P4" s="178" t="inlineStr">
        <is>
          <t>Valor (@RISK)</t>
        </is>
      </c>
      <c r="Q4" s="178" t="inlineStr">
        <is>
          <t>Rango (caso)</t>
        </is>
      </c>
    </row>
    <row r="5" ht="14.25" customHeight="1" s="1">
      <c r="A5" s="4" t="inlineStr">
        <is>
          <t>Devaluación</t>
        </is>
      </c>
      <c r="B5" s="5" t="n">
        <v>0.05</v>
      </c>
      <c r="N5" s="179" t="inlineStr">
        <is>
          <t>Inversión total (factor)</t>
        </is>
      </c>
      <c r="O5" s="180" t="inlineStr">
        <is>
          <t>Uniforme</t>
        </is>
      </c>
      <c r="P5" s="181">
        <f>RiskUniform(0.95,1.1,RiskStatic(1),RiskName("Factor de inversión"))</f>
        <v/>
      </c>
      <c r="Q5" s="180" t="inlineStr">
        <is>
          <t>-5% / +10%</t>
        </is>
      </c>
    </row>
    <row r="6" ht="14.25" customHeight="1" s="1">
      <c r="A6" s="4" t="inlineStr">
        <is>
          <t>Inflación</t>
        </is>
      </c>
      <c r="B6" s="5" t="n">
        <v>0.07000000000000001</v>
      </c>
      <c r="N6" s="179" t="inlineStr">
        <is>
          <t>Precio de venta FOB año 1 ($/Lb)</t>
        </is>
      </c>
      <c r="O6" s="180" t="inlineStr">
        <is>
          <t>Triangular</t>
        </is>
      </c>
      <c r="P6" s="182">
        <f>RiskTriang(2.6,3,3.5,RiskStatic(3),RiskName("Precio de venta FOB"))</f>
        <v/>
      </c>
      <c r="Q6" s="180" t="inlineStr">
        <is>
          <t>2.60 / 3.00 / 3.50</t>
        </is>
      </c>
    </row>
    <row r="7" ht="14.25" customHeight="1" s="1">
      <c r="B7" s="6" t="inlineStr">
        <is>
          <t>Año 0</t>
        </is>
      </c>
      <c r="C7" s="6" t="inlineStr">
        <is>
          <t>Año 1</t>
        </is>
      </c>
      <c r="D7" s="6" t="inlineStr">
        <is>
          <t>Año 2</t>
        </is>
      </c>
      <c r="E7" s="6" t="inlineStr">
        <is>
          <t>Año 3</t>
        </is>
      </c>
      <c r="F7" s="6" t="inlineStr">
        <is>
          <t>Año 4</t>
        </is>
      </c>
      <c r="G7" s="6" t="inlineStr">
        <is>
          <t>Año 5</t>
        </is>
      </c>
      <c r="H7" s="6" t="inlineStr">
        <is>
          <t>Año 6</t>
        </is>
      </c>
      <c r="I7" s="6" t="inlineStr">
        <is>
          <t>Año 7</t>
        </is>
      </c>
      <c r="J7" s="6" t="inlineStr">
        <is>
          <t>Año 8</t>
        </is>
      </c>
      <c r="K7" s="6" t="inlineStr">
        <is>
          <t>Año 9</t>
        </is>
      </c>
      <c r="L7" s="6" t="inlineStr">
        <is>
          <t>Año 10</t>
        </is>
      </c>
      <c r="N7" s="179" t="inlineStr">
        <is>
          <t>Producción neta (factor)</t>
        </is>
      </c>
      <c r="O7" s="180" t="inlineStr">
        <is>
          <t>Triangular</t>
        </is>
      </c>
      <c r="P7" s="181">
        <f>RiskTriang(0.8,1,1.1,RiskStatic(1),RiskName("Factor de producción"))</f>
        <v/>
      </c>
      <c r="Q7" s="180" t="inlineStr">
        <is>
          <t>80% / 100% / 110%</t>
        </is>
      </c>
    </row>
    <row r="8" ht="14.25" customHeight="1" s="1">
      <c r="A8" s="4" t="inlineStr">
        <is>
          <t>Área en producción (Ha)</t>
        </is>
      </c>
      <c r="B8" s="7" t="n"/>
      <c r="C8" s="8" t="n">
        <v>750</v>
      </c>
      <c r="D8" s="8" t="n">
        <v>900</v>
      </c>
      <c r="E8" s="8" t="n">
        <v>900</v>
      </c>
      <c r="F8" s="8" t="n">
        <v>900</v>
      </c>
      <c r="G8" s="8" t="n">
        <v>900</v>
      </c>
      <c r="H8" s="8" t="n">
        <v>900</v>
      </c>
      <c r="I8" s="8" t="n">
        <v>900</v>
      </c>
      <c r="J8" s="8" t="n">
        <v>900</v>
      </c>
      <c r="K8" s="8" t="n">
        <v>900</v>
      </c>
      <c r="L8" s="8" t="n">
        <v>900</v>
      </c>
    </row>
    <row r="9" ht="14.25" customHeight="1" s="1">
      <c r="A9" s="4" t="inlineStr">
        <is>
          <t>Producción neta (Lb/Ha/año)</t>
        </is>
      </c>
      <c r="B9" s="7" t="n"/>
      <c r="C9" s="9">
        <f>1225*$P$7</f>
        <v/>
      </c>
      <c r="D9" s="9">
        <f>1470*$P$7</f>
        <v/>
      </c>
      <c r="E9" s="9">
        <f>1715*$P$7</f>
        <v/>
      </c>
      <c r="F9" s="9">
        <f>1960*$P$7</f>
        <v/>
      </c>
      <c r="G9" s="9">
        <f>2205*$P$7</f>
        <v/>
      </c>
      <c r="H9" s="9">
        <f>2205*$P$7</f>
        <v/>
      </c>
      <c r="I9" s="9">
        <f>2205*$P$7</f>
        <v/>
      </c>
      <c r="J9" s="9">
        <f>2205*$P$7</f>
        <v/>
      </c>
      <c r="K9" s="9">
        <f>2205*$P$7</f>
        <v/>
      </c>
      <c r="L9" s="9">
        <f>2205*$P$7</f>
        <v/>
      </c>
      <c r="N9" s="183" t="inlineStr">
        <is>
          <t>Celdas amarillas = variables de incertidumbre del caso. VAN (B153) y TIR (B154) son salidas RiskOutput. Ejecute la simulacion con @RISK (Iniciar simulacion).</t>
        </is>
      </c>
    </row>
    <row r="10" ht="14.25" customHeight="1" s="1">
      <c r="A10" s="4" t="inlineStr">
        <is>
          <t>Producción neta total (Lb/año)</t>
        </is>
      </c>
      <c r="B10" s="7" t="n"/>
      <c r="C10" s="9">
        <f>C9*C8</f>
        <v/>
      </c>
      <c r="D10" s="9">
        <f>D9*D8</f>
        <v/>
      </c>
      <c r="E10" s="9">
        <f>E9*E8</f>
        <v/>
      </c>
      <c r="F10" s="9">
        <f>F9*F8</f>
        <v/>
      </c>
      <c r="G10" s="9">
        <f>G9*G8</f>
        <v/>
      </c>
      <c r="H10" s="9">
        <f>H9*H8</f>
        <v/>
      </c>
      <c r="I10" s="9">
        <f>I9*I8</f>
        <v/>
      </c>
      <c r="J10" s="9">
        <f>J9*J8</f>
        <v/>
      </c>
      <c r="K10" s="9">
        <f>K9*K8</f>
        <v/>
      </c>
      <c r="L10" s="9">
        <f>L9*L8</f>
        <v/>
      </c>
    </row>
    <row r="11" ht="14.25" customHeight="1" s="1">
      <c r="A11" s="4" t="inlineStr">
        <is>
          <t>Tasa de cambio</t>
        </is>
      </c>
      <c r="B11" s="7" t="n"/>
      <c r="C11" s="10" t="n">
        <v>1</v>
      </c>
      <c r="D11" s="10">
        <f>C11+(C11*$B$5)</f>
        <v/>
      </c>
      <c r="E11" s="10">
        <f>D11+(D11*$B$5)</f>
        <v/>
      </c>
      <c r="F11" s="10">
        <f>E11+(E11*$B$5)</f>
        <v/>
      </c>
      <c r="G11" s="10">
        <f>F11+(F11*$B$5)</f>
        <v/>
      </c>
      <c r="H11" s="10">
        <f>G11+(G11*$B$5)</f>
        <v/>
      </c>
      <c r="I11" s="10">
        <f>H11+(H11*$B$5)</f>
        <v/>
      </c>
      <c r="J11" s="10">
        <f>I11+(I11*$B$5)</f>
        <v/>
      </c>
      <c r="K11" s="10">
        <f>J11+(J11*$B$5)</f>
        <v/>
      </c>
      <c r="L11" s="10">
        <f>K11+(K11*$B$5)</f>
        <v/>
      </c>
    </row>
    <row r="12" ht="14.25" customHeight="1" s="1">
      <c r="A12" s="4" t="inlineStr">
        <is>
          <t>Precio de venta FOB ($/Lb)</t>
        </is>
      </c>
      <c r="B12" s="7" t="n"/>
      <c r="C12" s="11">
        <f>$P$6</f>
        <v/>
      </c>
      <c r="D12" s="11">
        <f>C12+(C12*$B$6)</f>
        <v/>
      </c>
      <c r="E12" s="11">
        <f>D12+(D12*$B$6)</f>
        <v/>
      </c>
      <c r="F12" s="11">
        <f>E12+(E12*$B$6)</f>
        <v/>
      </c>
      <c r="G12" s="11">
        <f>F12+(F12*$B$6)</f>
        <v/>
      </c>
      <c r="H12" s="11">
        <f>G12+(G12*$B$6)</f>
        <v/>
      </c>
      <c r="I12" s="11">
        <f>H12+(H12*$B$6)</f>
        <v/>
      </c>
      <c r="J12" s="11">
        <f>I12+(I12*$B$6)</f>
        <v/>
      </c>
      <c r="K12" s="11">
        <f>J12+(J12*$B$6)</f>
        <v/>
      </c>
      <c r="L12" s="11">
        <f>K12+(K12*$B$6)</f>
        <v/>
      </c>
    </row>
    <row r="13" ht="14.25" customHeight="1" s="1">
      <c r="A13" s="4" t="inlineStr">
        <is>
          <t>Capital de trabajo</t>
        </is>
      </c>
      <c r="B13" s="12" t="n"/>
      <c r="C13" s="13" t="n">
        <v>450000</v>
      </c>
      <c r="D13" s="13" t="n">
        <v>250000</v>
      </c>
      <c r="E13" s="13" t="n">
        <v>250000</v>
      </c>
      <c r="F13" s="13" t="n">
        <v>250000</v>
      </c>
      <c r="G13" s="13" t="n">
        <v>250000</v>
      </c>
      <c r="H13" s="13" t="n">
        <v>250000</v>
      </c>
      <c r="I13" s="13" t="n">
        <v>0</v>
      </c>
      <c r="J13" s="13" t="n">
        <v>0</v>
      </c>
      <c r="K13" s="13" t="n">
        <v>0</v>
      </c>
      <c r="L13" s="13" t="n">
        <v>0</v>
      </c>
    </row>
    <row r="14" ht="14.25" customHeight="1" s="1">
      <c r="A14" s="4" t="inlineStr">
        <is>
          <t>Costos variables ($1.45 x Lb)</t>
        </is>
      </c>
      <c r="B14" s="12" t="n"/>
      <c r="C14" s="11">
        <f>1.45</f>
        <v/>
      </c>
      <c r="D14" s="11">
        <f>C14+(C14*$B$6)</f>
        <v/>
      </c>
      <c r="E14" s="11">
        <f>D14+(D14*$B$6)</f>
        <v/>
      </c>
      <c r="F14" s="11">
        <f>E14+(E14*$B$6)</f>
        <v/>
      </c>
      <c r="G14" s="11">
        <f>F14+(F14*$B$6)</f>
        <v/>
      </c>
      <c r="H14" s="11">
        <f>G14+(G14*$B$6)</f>
        <v/>
      </c>
      <c r="I14" s="11">
        <f>H14+(H14*$B$6)</f>
        <v/>
      </c>
      <c r="J14" s="11">
        <f>I14+(I14*$B$6)</f>
        <v/>
      </c>
      <c r="K14" s="11">
        <f>J14+(J14*$B$6)</f>
        <v/>
      </c>
      <c r="L14" s="11">
        <f>K14+(K14*$B$6)</f>
        <v/>
      </c>
    </row>
    <row r="15" ht="14.25" customHeight="1" s="1">
      <c r="A15" s="4" t="inlineStr">
        <is>
          <t>Costos variables anuales</t>
        </is>
      </c>
      <c r="B15" s="14" t="n"/>
      <c r="C15" s="15">
        <f>C14*C10</f>
        <v/>
      </c>
      <c r="D15" s="15">
        <f>D14*D10</f>
        <v/>
      </c>
      <c r="E15" s="15">
        <f>E14*E10</f>
        <v/>
      </c>
      <c r="F15" s="15">
        <f>F14*F10</f>
        <v/>
      </c>
      <c r="G15" s="15">
        <f>G14*G10</f>
        <v/>
      </c>
      <c r="H15" s="15">
        <f>H14*H10</f>
        <v/>
      </c>
      <c r="I15" s="15">
        <f>I14*I10</f>
        <v/>
      </c>
      <c r="J15" s="15">
        <f>J14*J10</f>
        <v/>
      </c>
      <c r="K15" s="15">
        <f>K14*K10</f>
        <v/>
      </c>
      <c r="L15" s="15">
        <f>L14*L10</f>
        <v/>
      </c>
    </row>
    <row r="16" ht="14.25" customHeight="1" s="1">
      <c r="A16" s="4" t="inlineStr">
        <is>
          <t>Costos fijos de producción</t>
        </is>
      </c>
      <c r="B16" s="14" t="n"/>
      <c r="C16" s="15" t="n">
        <v>50000</v>
      </c>
      <c r="D16" s="15">
        <f>C16+(C16*$B$6)</f>
        <v/>
      </c>
      <c r="E16" s="15">
        <f>D16+(D16*$B$6)</f>
        <v/>
      </c>
      <c r="F16" s="15">
        <f>E16+(E16*$B$6)</f>
        <v/>
      </c>
      <c r="G16" s="15">
        <f>F16+(F16*$B$6)</f>
        <v/>
      </c>
      <c r="H16" s="15">
        <f>G16+(G16*$B$6)</f>
        <v/>
      </c>
      <c r="I16" s="15">
        <f>H16+(H16*$B$6)</f>
        <v/>
      </c>
      <c r="J16" s="15">
        <f>I16+(I16*$B$6)</f>
        <v/>
      </c>
      <c r="K16" s="15">
        <f>J16+(J16*$B$6)</f>
        <v/>
      </c>
      <c r="L16" s="15">
        <f>K16+(K16*$B$6)</f>
        <v/>
      </c>
    </row>
    <row r="17" ht="14.25" customHeight="1" s="1">
      <c r="A17" s="4" t="inlineStr">
        <is>
          <t>Gastos administrativos</t>
        </is>
      </c>
      <c r="B17" s="14" t="n"/>
      <c r="C17" s="15" t="n">
        <v>200000</v>
      </c>
      <c r="D17" s="15">
        <f>C17+(C17*$B$6)</f>
        <v/>
      </c>
      <c r="E17" s="15">
        <f>D17+(D17*$B$6)</f>
        <v/>
      </c>
      <c r="F17" s="15">
        <f>E17+(E17*$B$6)</f>
        <v/>
      </c>
      <c r="G17" s="15">
        <f>F17+(F17*$B$6)</f>
        <v/>
      </c>
      <c r="H17" s="15">
        <f>G17+(G17*$B$6)</f>
        <v/>
      </c>
      <c r="I17" s="15">
        <f>H17+(H17*$B$6)</f>
        <v/>
      </c>
      <c r="J17" s="15">
        <f>I17+(I17*$B$6)</f>
        <v/>
      </c>
      <c r="K17" s="15">
        <f>J17+(J17*$B$6)</f>
        <v/>
      </c>
      <c r="L17" s="15">
        <f>K17+(K17*$B$6)</f>
        <v/>
      </c>
    </row>
    <row r="18" ht="14.25" customHeight="1" s="1">
      <c r="K18" s="16" t="n"/>
    </row>
    <row r="19" ht="14.25" customHeight="1" s="1">
      <c r="A19" s="4" t="inlineStr">
        <is>
          <t>Valor residual del terreno</t>
        </is>
      </c>
      <c r="B19" s="17" t="n">
        <v>1250000</v>
      </c>
      <c r="K19" s="16" t="n"/>
    </row>
    <row r="20" ht="14.25" customHeight="1" s="1">
      <c r="A20" s="4" t="inlineStr">
        <is>
          <t>Valor residual de estanques y canales</t>
        </is>
      </c>
      <c r="B20" s="17" t="n">
        <v>1000000</v>
      </c>
      <c r="K20" s="16" t="n"/>
    </row>
    <row r="21" ht="14.25" customHeight="1" s="1">
      <c r="A21" s="4" t="inlineStr">
        <is>
          <t>Valor residual de edificios</t>
        </is>
      </c>
      <c r="B21" s="18" t="n">
        <v>50000</v>
      </c>
      <c r="K21" s="16" t="n"/>
    </row>
    <row r="22" ht="14.25" customHeight="1" s="1">
      <c r="A22" s="4" t="inlineStr">
        <is>
          <t>Tasa de fiananciamiento bancario</t>
        </is>
      </c>
      <c r="B22" s="5" t="n">
        <v>0.1</v>
      </c>
    </row>
    <row r="23" ht="14.25" customHeight="1" s="1">
      <c r="A23" s="4" t="inlineStr">
        <is>
          <t>Plazo del financiamiento bancario (años)</t>
        </is>
      </c>
      <c r="B23" s="19" t="n">
        <v>7</v>
      </c>
    </row>
    <row r="24" ht="14.25" customHeight="1" s="1">
      <c r="A24" s="4" t="inlineStr">
        <is>
          <t>Plazo del financiamiento bancario (valor)</t>
        </is>
      </c>
      <c r="B24" s="20">
        <f>5400000*0.5</f>
        <v/>
      </c>
    </row>
    <row r="25" ht="14.25" customHeight="1" s="1">
      <c r="A25" s="4" t="inlineStr">
        <is>
          <t>Tasa de corte</t>
        </is>
      </c>
      <c r="B25" s="5" t="n">
        <v>0.19</v>
      </c>
    </row>
    <row r="26" ht="14.25" customHeight="1" s="1">
      <c r="A26" s="4" t="inlineStr">
        <is>
          <t>Tasa de ISR</t>
        </is>
      </c>
      <c r="B26" s="5" t="n">
        <v>0.3</v>
      </c>
    </row>
    <row r="27" ht="14.25" customHeight="1" s="1">
      <c r="B27" s="21" t="n"/>
    </row>
    <row r="28" ht="14.25" customHeight="1" s="1">
      <c r="A28" s="22" t="inlineStr">
        <is>
          <t>1. Ingresos del proyecto</t>
        </is>
      </c>
      <c r="B28" s="21" t="n"/>
    </row>
    <row r="29" ht="15.75" customHeight="1" s="1">
      <c r="A29" s="23" t="inlineStr">
        <is>
          <t>Calendario de ingresos (venta del producto)</t>
        </is>
      </c>
      <c r="B29" s="24" t="n"/>
    </row>
    <row r="30" ht="14.25" customHeight="1" s="1">
      <c r="A30" s="161" t="inlineStr">
        <is>
          <t>Concepto</t>
        </is>
      </c>
      <c r="B30" s="26" t="inlineStr">
        <is>
          <t>Año 0</t>
        </is>
      </c>
      <c r="C30" s="26" t="inlineStr">
        <is>
          <t>Año 1</t>
        </is>
      </c>
      <c r="D30" s="26" t="inlineStr">
        <is>
          <t>Año 2</t>
        </is>
      </c>
      <c r="E30" s="26" t="inlineStr">
        <is>
          <t>Año 3</t>
        </is>
      </c>
      <c r="F30" s="26" t="inlineStr">
        <is>
          <t>Año 4</t>
        </is>
      </c>
      <c r="G30" s="26" t="inlineStr">
        <is>
          <t>Año 5</t>
        </is>
      </c>
      <c r="H30" s="26" t="inlineStr">
        <is>
          <t>Año 6</t>
        </is>
      </c>
      <c r="I30" s="26" t="inlineStr">
        <is>
          <t>Año 7</t>
        </is>
      </c>
      <c r="J30" s="26" t="inlineStr">
        <is>
          <t>Año 8</t>
        </is>
      </c>
      <c r="K30" s="26" t="inlineStr">
        <is>
          <t>Año 9</t>
        </is>
      </c>
      <c r="L30" s="27" t="inlineStr">
        <is>
          <t>Año 10</t>
        </is>
      </c>
    </row>
    <row r="31" ht="14.25" customHeight="1" s="1">
      <c r="A31" s="28" t="inlineStr">
        <is>
          <t>Cantidad de camarón (Lb)</t>
        </is>
      </c>
      <c r="B31" s="29" t="n"/>
      <c r="C31" s="30">
        <f>C10</f>
        <v/>
      </c>
      <c r="D31" s="30">
        <f>D10</f>
        <v/>
      </c>
      <c r="E31" s="30">
        <f>E10</f>
        <v/>
      </c>
      <c r="F31" s="30">
        <f>F10</f>
        <v/>
      </c>
      <c r="G31" s="30">
        <f>G10</f>
        <v/>
      </c>
      <c r="H31" s="30">
        <f>H10</f>
        <v/>
      </c>
      <c r="I31" s="30">
        <f>I10</f>
        <v/>
      </c>
      <c r="J31" s="30">
        <f>J10</f>
        <v/>
      </c>
      <c r="K31" s="30">
        <f>K10</f>
        <v/>
      </c>
      <c r="L31" s="31">
        <f>L10</f>
        <v/>
      </c>
    </row>
    <row r="32" ht="14.25" customHeight="1" s="1">
      <c r="A32" s="28" t="inlineStr">
        <is>
          <t>Precio unitario de venta ($/Lb)</t>
        </is>
      </c>
      <c r="B32" s="29" t="n"/>
      <c r="C32" s="32">
        <f>C12</f>
        <v/>
      </c>
      <c r="D32" s="32">
        <f>D12</f>
        <v/>
      </c>
      <c r="E32" s="32">
        <f>E12</f>
        <v/>
      </c>
      <c r="F32" s="32">
        <f>F12</f>
        <v/>
      </c>
      <c r="G32" s="32">
        <f>G12</f>
        <v/>
      </c>
      <c r="H32" s="32">
        <f>H12</f>
        <v/>
      </c>
      <c r="I32" s="32">
        <f>I12</f>
        <v/>
      </c>
      <c r="J32" s="32">
        <f>J12</f>
        <v/>
      </c>
      <c r="K32" s="32">
        <f>K12</f>
        <v/>
      </c>
      <c r="L32" s="33">
        <f>L12</f>
        <v/>
      </c>
    </row>
    <row r="33" ht="15.75" customHeight="1" s="1">
      <c r="A33" s="34" t="inlineStr">
        <is>
          <t>Ingresos</t>
        </is>
      </c>
      <c r="B33" s="35" t="n"/>
      <c r="C33" s="36">
        <f>C32*C31</f>
        <v/>
      </c>
      <c r="D33" s="36">
        <f>D32*D31</f>
        <v/>
      </c>
      <c r="E33" s="36">
        <f>E32*E31</f>
        <v/>
      </c>
      <c r="F33" s="36">
        <f>F32*F31</f>
        <v/>
      </c>
      <c r="G33" s="36">
        <f>G32*G31</f>
        <v/>
      </c>
      <c r="H33" s="36">
        <f>H32*H31</f>
        <v/>
      </c>
      <c r="I33" s="36">
        <f>I32*I31</f>
        <v/>
      </c>
      <c r="J33" s="36">
        <f>J32*J31</f>
        <v/>
      </c>
      <c r="K33" s="36">
        <f>K32*K31</f>
        <v/>
      </c>
      <c r="L33" s="37">
        <f>L32*L31</f>
        <v/>
      </c>
    </row>
    <row r="34" ht="14.25" customHeight="1" s="1">
      <c r="B34" s="21" t="n"/>
    </row>
    <row r="35" ht="14.25" customHeight="1" s="1">
      <c r="A35" s="22" t="inlineStr">
        <is>
          <t>2. Costos variables</t>
        </is>
      </c>
      <c r="B35" s="24" t="n"/>
    </row>
    <row r="36" ht="15.75" customHeight="1" s="1">
      <c r="A36" s="23" t="inlineStr">
        <is>
          <t>Calendario de costos variables</t>
        </is>
      </c>
      <c r="B36" s="24" t="n"/>
    </row>
    <row r="37" ht="14.25" customHeight="1" s="1">
      <c r="A37" s="161" t="inlineStr">
        <is>
          <t>Concepto</t>
        </is>
      </c>
      <c r="B37" s="26" t="inlineStr">
        <is>
          <t>Año 0</t>
        </is>
      </c>
      <c r="C37" s="26" t="inlineStr">
        <is>
          <t>Año 1</t>
        </is>
      </c>
      <c r="D37" s="26" t="inlineStr">
        <is>
          <t>Año 2</t>
        </is>
      </c>
      <c r="E37" s="26" t="inlineStr">
        <is>
          <t>Año 3</t>
        </is>
      </c>
      <c r="F37" s="26" t="inlineStr">
        <is>
          <t>Año 4</t>
        </is>
      </c>
      <c r="G37" s="26" t="inlineStr">
        <is>
          <t>Año 5</t>
        </is>
      </c>
      <c r="H37" s="26" t="inlineStr">
        <is>
          <t>Año 6</t>
        </is>
      </c>
      <c r="I37" s="26" t="inlineStr">
        <is>
          <t>Año 7</t>
        </is>
      </c>
      <c r="J37" s="26" t="inlineStr">
        <is>
          <t>Año 8</t>
        </is>
      </c>
      <c r="K37" s="26" t="inlineStr">
        <is>
          <t>Año 9</t>
        </is>
      </c>
      <c r="L37" s="27" t="inlineStr">
        <is>
          <t>Año 10</t>
        </is>
      </c>
    </row>
    <row r="38" ht="14.25" customHeight="1" s="1">
      <c r="A38" s="28" t="inlineStr">
        <is>
          <t>Costos variables</t>
        </is>
      </c>
      <c r="B38" s="29" t="n"/>
      <c r="C38" s="38">
        <f>C15</f>
        <v/>
      </c>
      <c r="D38" s="38">
        <f>D15</f>
        <v/>
      </c>
      <c r="E38" s="38">
        <f>E15</f>
        <v/>
      </c>
      <c r="F38" s="38">
        <f>F15</f>
        <v/>
      </c>
      <c r="G38" s="38">
        <f>G15</f>
        <v/>
      </c>
      <c r="H38" s="38">
        <f>H15</f>
        <v/>
      </c>
      <c r="I38" s="38">
        <f>I15</f>
        <v/>
      </c>
      <c r="J38" s="38">
        <f>J15</f>
        <v/>
      </c>
      <c r="K38" s="38">
        <f>K15</f>
        <v/>
      </c>
      <c r="L38" s="39">
        <f>L15</f>
        <v/>
      </c>
    </row>
    <row r="39" ht="15.75" customHeight="1" s="1">
      <c r="A39" s="40" t="inlineStr">
        <is>
          <t>Total de costos variables</t>
        </is>
      </c>
      <c r="B39" s="41" t="n"/>
      <c r="C39" s="36">
        <f>C38</f>
        <v/>
      </c>
      <c r="D39" s="36">
        <f>D38</f>
        <v/>
      </c>
      <c r="E39" s="36">
        <f>E38</f>
        <v/>
      </c>
      <c r="F39" s="36">
        <f>F38</f>
        <v/>
      </c>
      <c r="G39" s="36">
        <f>G38</f>
        <v/>
      </c>
      <c r="H39" s="36">
        <f>H38</f>
        <v/>
      </c>
      <c r="I39" s="36">
        <f>I38</f>
        <v/>
      </c>
      <c r="J39" s="36">
        <f>J38</f>
        <v/>
      </c>
      <c r="K39" s="36">
        <f>K38</f>
        <v/>
      </c>
      <c r="L39" s="37">
        <f>L38</f>
        <v/>
      </c>
    </row>
    <row r="40" ht="14.25" customHeight="1" s="1">
      <c r="B40" s="21" t="n"/>
    </row>
    <row r="41" ht="14.25" customHeight="1" s="1">
      <c r="A41" s="22" t="inlineStr">
        <is>
          <t xml:space="preserve">3. Costos  fijos </t>
        </is>
      </c>
      <c r="B41" s="24" t="n"/>
    </row>
    <row r="42" ht="15.75" customHeight="1" s="1">
      <c r="A42" s="23" t="inlineStr">
        <is>
          <t>Calendario de los costos fijos</t>
        </is>
      </c>
      <c r="B42" s="24" t="n"/>
    </row>
    <row r="43" ht="14.25" customHeight="1" s="1">
      <c r="A43" s="161" t="inlineStr">
        <is>
          <t>Concepto</t>
        </is>
      </c>
      <c r="B43" s="26" t="inlineStr">
        <is>
          <t>Año 0</t>
        </is>
      </c>
      <c r="C43" s="26" t="inlineStr">
        <is>
          <t>Año 1</t>
        </is>
      </c>
      <c r="D43" s="26" t="inlineStr">
        <is>
          <t>Año 2</t>
        </is>
      </c>
      <c r="E43" s="26" t="inlineStr">
        <is>
          <t>Año 3</t>
        </is>
      </c>
      <c r="F43" s="26" t="inlineStr">
        <is>
          <t>Año 4</t>
        </is>
      </c>
      <c r="G43" s="26" t="inlineStr">
        <is>
          <t>Año 5</t>
        </is>
      </c>
      <c r="H43" s="26" t="inlineStr">
        <is>
          <t>Año 6</t>
        </is>
      </c>
      <c r="I43" s="26" t="inlineStr">
        <is>
          <t>Año 7</t>
        </is>
      </c>
      <c r="J43" s="26" t="inlineStr">
        <is>
          <t>Año 8</t>
        </is>
      </c>
      <c r="K43" s="26" t="inlineStr">
        <is>
          <t>Año 9</t>
        </is>
      </c>
      <c r="L43" s="27" t="inlineStr">
        <is>
          <t>Año 10</t>
        </is>
      </c>
    </row>
    <row r="44" ht="14.25" customHeight="1" s="1">
      <c r="A44" s="28" t="inlineStr">
        <is>
          <t>Costos fijos de producción</t>
        </is>
      </c>
      <c r="B44" s="29" t="n"/>
      <c r="C44" s="38">
        <f>C16</f>
        <v/>
      </c>
      <c r="D44" s="38">
        <f>D16</f>
        <v/>
      </c>
      <c r="E44" s="38">
        <f>E16</f>
        <v/>
      </c>
      <c r="F44" s="38">
        <f>F16</f>
        <v/>
      </c>
      <c r="G44" s="38">
        <f>G16</f>
        <v/>
      </c>
      <c r="H44" s="38">
        <f>H16</f>
        <v/>
      </c>
      <c r="I44" s="38">
        <f>I16</f>
        <v/>
      </c>
      <c r="J44" s="38">
        <f>J16</f>
        <v/>
      </c>
      <c r="K44" s="38">
        <f>K16</f>
        <v/>
      </c>
      <c r="L44" s="39">
        <f>L16</f>
        <v/>
      </c>
    </row>
    <row r="45" ht="14.25" customHeight="1" s="1">
      <c r="A45" s="28" t="inlineStr">
        <is>
          <t>Gastos administrativos</t>
        </is>
      </c>
      <c r="B45" s="29" t="n"/>
      <c r="C45" s="38">
        <f>C17</f>
        <v/>
      </c>
      <c r="D45" s="38">
        <f>D17</f>
        <v/>
      </c>
      <c r="E45" s="38">
        <f>E17</f>
        <v/>
      </c>
      <c r="F45" s="38">
        <f>F17</f>
        <v/>
      </c>
      <c r="G45" s="38">
        <f>G17</f>
        <v/>
      </c>
      <c r="H45" s="38">
        <f>H17</f>
        <v/>
      </c>
      <c r="I45" s="38">
        <f>I17</f>
        <v/>
      </c>
      <c r="J45" s="38">
        <f>J17</f>
        <v/>
      </c>
      <c r="K45" s="38">
        <f>K17</f>
        <v/>
      </c>
      <c r="L45" s="39">
        <f>L17</f>
        <v/>
      </c>
    </row>
    <row r="46" ht="15.75" customHeight="1" s="1">
      <c r="A46" s="40" t="inlineStr">
        <is>
          <t>Total de costos fijos</t>
        </is>
      </c>
      <c r="B46" s="41" t="n"/>
      <c r="C46" s="36">
        <f>SUM(C44:C45)</f>
        <v/>
      </c>
      <c r="D46" s="36">
        <f>SUM(D44:D45)</f>
        <v/>
      </c>
      <c r="E46" s="36">
        <f>SUM(E44:E45)</f>
        <v/>
      </c>
      <c r="F46" s="36">
        <f>SUM(F44:F45)</f>
        <v/>
      </c>
      <c r="G46" s="36">
        <f>SUM(G44:G45)</f>
        <v/>
      </c>
      <c r="H46" s="36">
        <f>SUM(H44:H45)</f>
        <v/>
      </c>
      <c r="I46" s="36">
        <f>SUM(I44:I45)</f>
        <v/>
      </c>
      <c r="J46" s="36">
        <f>SUM(J44:J45)</f>
        <v/>
      </c>
      <c r="K46" s="36">
        <f>SUM(K44:K45)</f>
        <v/>
      </c>
      <c r="L46" s="37">
        <f>SUM(L44:L45)</f>
        <v/>
      </c>
    </row>
    <row r="47" ht="14.25" customHeight="1" s="1">
      <c r="B47" s="21" t="n"/>
    </row>
    <row r="48" ht="14.25" customHeight="1" s="1">
      <c r="A48" s="22" t="inlineStr">
        <is>
          <t>4. Capital de trabajo</t>
        </is>
      </c>
      <c r="B48" s="42" t="n"/>
      <c r="C48" s="43" t="n"/>
      <c r="D48" s="43" t="n"/>
      <c r="E48" s="43" t="n"/>
      <c r="F48" s="43" t="n"/>
      <c r="G48" s="43" t="n"/>
      <c r="H48" s="43" t="n"/>
    </row>
    <row r="49" ht="14.25" customHeight="1" s="1">
      <c r="A49" s="44" t="inlineStr">
        <is>
          <t>Capital de trabajo</t>
        </is>
      </c>
      <c r="B49" s="42" t="n"/>
      <c r="C49" s="43" t="n"/>
      <c r="D49" s="43" t="n"/>
      <c r="E49" s="43" t="n"/>
      <c r="F49" s="43" t="n"/>
      <c r="G49" s="43" t="n"/>
      <c r="H49" s="43" t="n"/>
    </row>
    <row r="50" ht="15.75" customHeight="1" s="1">
      <c r="A50" s="160" t="inlineStr">
        <is>
          <t>Necesidad de Efectivo</t>
        </is>
      </c>
    </row>
    <row r="51" ht="14.25" customHeight="1" s="1">
      <c r="A51" s="161" t="inlineStr">
        <is>
          <t>Concepto</t>
        </is>
      </c>
      <c r="B51" s="26" t="inlineStr">
        <is>
          <t>Año 0</t>
        </is>
      </c>
      <c r="C51" s="26" t="inlineStr">
        <is>
          <t>Año 1</t>
        </is>
      </c>
      <c r="D51" s="26" t="inlineStr">
        <is>
          <t>Año 2</t>
        </is>
      </c>
      <c r="E51" s="26" t="inlineStr">
        <is>
          <t>Año 3</t>
        </is>
      </c>
      <c r="F51" s="26" t="inlineStr">
        <is>
          <t>Año 4</t>
        </is>
      </c>
      <c r="G51" s="26" t="inlineStr">
        <is>
          <t>Año 5</t>
        </is>
      </c>
      <c r="H51" s="26" t="inlineStr">
        <is>
          <t>Año 6</t>
        </is>
      </c>
      <c r="I51" s="26" t="inlineStr">
        <is>
          <t>Año 7</t>
        </is>
      </c>
      <c r="J51" s="26" t="inlineStr">
        <is>
          <t>Año 8</t>
        </is>
      </c>
      <c r="K51" s="26" t="inlineStr">
        <is>
          <t>Año 9</t>
        </is>
      </c>
      <c r="L51" s="27" t="inlineStr">
        <is>
          <t>Año 10</t>
        </is>
      </c>
    </row>
    <row r="52" ht="14.25" customHeight="1" s="1">
      <c r="A52" s="28" t="inlineStr">
        <is>
          <t>Capital de trabajo</t>
        </is>
      </c>
      <c r="B52" s="45" t="n"/>
      <c r="C52" s="38">
        <f>C13+B52</f>
        <v/>
      </c>
      <c r="D52" s="38">
        <f>D13+C52</f>
        <v/>
      </c>
      <c r="E52" s="38">
        <f>E13+D52</f>
        <v/>
      </c>
      <c r="F52" s="38">
        <f>F13+E52</f>
        <v/>
      </c>
      <c r="G52" s="38">
        <f>G13+F52</f>
        <v/>
      </c>
      <c r="H52" s="38">
        <f>H13+G52</f>
        <v/>
      </c>
      <c r="I52" s="38">
        <f>I13+H52</f>
        <v/>
      </c>
      <c r="J52" s="38">
        <f>J13+I52</f>
        <v/>
      </c>
      <c r="K52" s="38">
        <f>K13+J52</f>
        <v/>
      </c>
      <c r="L52" s="38">
        <f>L13+K52</f>
        <v/>
      </c>
    </row>
    <row r="53" ht="15.75" customHeight="1" s="1">
      <c r="A53" s="34" t="inlineStr">
        <is>
          <t>Efectivo requerido en caja</t>
        </is>
      </c>
      <c r="B53" s="46" t="n"/>
      <c r="C53" s="36">
        <f>SUM(C52:C52)</f>
        <v/>
      </c>
      <c r="D53" s="36">
        <f>SUM(D52:D52)</f>
        <v/>
      </c>
      <c r="E53" s="36">
        <f>SUM(E52:E52)</f>
        <v/>
      </c>
      <c r="F53" s="36">
        <f>SUM(F52:F52)</f>
        <v/>
      </c>
      <c r="G53" s="36">
        <f>SUM(G52:G52)</f>
        <v/>
      </c>
      <c r="H53" s="36">
        <f>SUM(H52:H52)</f>
        <v/>
      </c>
      <c r="I53" s="36">
        <f>SUM(I52:I52)</f>
        <v/>
      </c>
      <c r="J53" s="36">
        <f>SUM(J52:J52)</f>
        <v/>
      </c>
      <c r="K53" s="36">
        <f>SUM(K52:K52)</f>
        <v/>
      </c>
      <c r="L53" s="37">
        <f>SUM(L52:L52)</f>
        <v/>
      </c>
    </row>
    <row r="54" ht="14.25" customHeight="1" s="1">
      <c r="A54" s="43" t="n"/>
      <c r="B54" s="42" t="n"/>
      <c r="C54" s="43" t="n"/>
      <c r="D54" s="43" t="n"/>
      <c r="E54" s="43" t="n"/>
      <c r="F54" s="43" t="n"/>
      <c r="G54" s="43" t="n"/>
      <c r="H54" s="43" t="n"/>
    </row>
    <row r="55" ht="15.75" customHeight="1" s="1">
      <c r="A55" s="160" t="inlineStr">
        <is>
          <t>Cálculo del Capital de Trabajo</t>
        </is>
      </c>
    </row>
    <row r="56" ht="14.25" customHeight="1" s="1">
      <c r="A56" s="161" t="inlineStr">
        <is>
          <t>Concepto</t>
        </is>
      </c>
      <c r="B56" s="26" t="inlineStr">
        <is>
          <t>Cobertura</t>
        </is>
      </c>
      <c r="C56" s="26" t="inlineStr">
        <is>
          <t>Año 1</t>
        </is>
      </c>
      <c r="D56" s="26" t="inlineStr">
        <is>
          <t>Año 2</t>
        </is>
      </c>
      <c r="E56" s="26" t="inlineStr">
        <is>
          <t>Año 3</t>
        </is>
      </c>
      <c r="F56" s="26" t="inlineStr">
        <is>
          <t>Año 4</t>
        </is>
      </c>
      <c r="G56" s="26" t="inlineStr">
        <is>
          <t>Año 5</t>
        </is>
      </c>
      <c r="H56" s="26" t="inlineStr">
        <is>
          <t>Año 6</t>
        </is>
      </c>
      <c r="I56" s="26" t="inlineStr">
        <is>
          <t>Año 7</t>
        </is>
      </c>
      <c r="J56" s="26" t="inlineStr">
        <is>
          <t>Año 8</t>
        </is>
      </c>
      <c r="K56" s="26" t="inlineStr">
        <is>
          <t>Año 9</t>
        </is>
      </c>
      <c r="L56" s="27" t="inlineStr">
        <is>
          <t>Año 10</t>
        </is>
      </c>
    </row>
    <row r="57" ht="14.25" customHeight="1" s="1">
      <c r="A57" s="47" t="inlineStr">
        <is>
          <t>Activo circulante</t>
        </is>
      </c>
      <c r="B57" s="48" t="n"/>
      <c r="C57" s="49">
        <f>C58</f>
        <v/>
      </c>
      <c r="D57" s="49">
        <f>D58</f>
        <v/>
      </c>
      <c r="E57" s="49">
        <f>E58</f>
        <v/>
      </c>
      <c r="F57" s="49">
        <f>F58</f>
        <v/>
      </c>
      <c r="G57" s="49">
        <f>G58</f>
        <v/>
      </c>
      <c r="H57" s="49">
        <f>H58</f>
        <v/>
      </c>
      <c r="I57" s="49">
        <f>I58</f>
        <v/>
      </c>
      <c r="J57" s="49">
        <f>J58</f>
        <v/>
      </c>
      <c r="K57" s="49">
        <f>K58</f>
        <v/>
      </c>
      <c r="L57" s="50">
        <f>L58</f>
        <v/>
      </c>
    </row>
    <row r="58" ht="14.25" customHeight="1" s="1">
      <c r="A58" s="28" t="inlineStr">
        <is>
          <t xml:space="preserve">     Efectivo </t>
        </is>
      </c>
      <c r="B58" s="45" t="n"/>
      <c r="C58" s="38">
        <f>C53</f>
        <v/>
      </c>
      <c r="D58" s="38">
        <f>D53</f>
        <v/>
      </c>
      <c r="E58" s="38">
        <f>E53</f>
        <v/>
      </c>
      <c r="F58" s="38">
        <f>F53</f>
        <v/>
      </c>
      <c r="G58" s="38">
        <f>G53</f>
        <v/>
      </c>
      <c r="H58" s="38">
        <f>H53</f>
        <v/>
      </c>
      <c r="I58" s="38">
        <f>I53</f>
        <v/>
      </c>
      <c r="J58" s="38">
        <f>J53</f>
        <v/>
      </c>
      <c r="K58" s="38">
        <f>K53</f>
        <v/>
      </c>
      <c r="L58" s="39">
        <f>L53</f>
        <v/>
      </c>
    </row>
    <row r="59" ht="14.25" customHeight="1" s="1">
      <c r="A59" s="47" t="inlineStr">
        <is>
          <t>Pasivo circulante</t>
        </is>
      </c>
      <c r="B59" s="48" t="n"/>
      <c r="C59" s="49">
        <f>SUM(C60:C61)</f>
        <v/>
      </c>
      <c r="D59" s="49">
        <f>SUM(D60:D61)</f>
        <v/>
      </c>
      <c r="E59" s="49">
        <f>SUM(E60:E61)</f>
        <v/>
      </c>
      <c r="F59" s="49">
        <f>SUM(F60:F61)</f>
        <v/>
      </c>
      <c r="G59" s="49">
        <f>SUM(G60:G61)</f>
        <v/>
      </c>
      <c r="H59" s="49">
        <f>SUM(H60:H61)</f>
        <v/>
      </c>
      <c r="I59" s="49">
        <f>SUM(I60:I61)</f>
        <v/>
      </c>
      <c r="J59" s="49">
        <f>SUM(J60:J61)</f>
        <v/>
      </c>
      <c r="K59" s="49">
        <f>SUM(K60:K61)</f>
        <v/>
      </c>
      <c r="L59" s="50">
        <f>SUM(L60:L61)</f>
        <v/>
      </c>
    </row>
    <row r="60" ht="14.25" customHeight="1" s="1">
      <c r="A60" s="28" t="inlineStr">
        <is>
          <t xml:space="preserve">     Cuentas por pagar</t>
        </is>
      </c>
      <c r="B60" s="45" t="n"/>
      <c r="C60" s="38" t="n">
        <v>0</v>
      </c>
      <c r="D60" s="38" t="n">
        <v>0</v>
      </c>
      <c r="E60" s="38" t="n">
        <v>0</v>
      </c>
      <c r="F60" s="38" t="n">
        <v>0</v>
      </c>
      <c r="G60" s="38" t="n">
        <v>0</v>
      </c>
      <c r="H60" s="38" t="n">
        <v>0</v>
      </c>
      <c r="I60" s="38" t="n">
        <v>0</v>
      </c>
      <c r="J60" s="38" t="n">
        <v>0</v>
      </c>
      <c r="K60" s="38" t="n">
        <v>0</v>
      </c>
      <c r="L60" s="39" t="n">
        <v>0</v>
      </c>
    </row>
    <row r="61" ht="14.25" customHeight="1" s="1">
      <c r="A61" s="28" t="inlineStr">
        <is>
          <t xml:space="preserve">     Proveedores</t>
        </is>
      </c>
      <c r="B61" s="45" t="n"/>
      <c r="C61" s="38" t="n">
        <v>0</v>
      </c>
      <c r="D61" s="38" t="n">
        <v>0</v>
      </c>
      <c r="E61" s="38" t="n">
        <v>0</v>
      </c>
      <c r="F61" s="38" t="n">
        <v>0</v>
      </c>
      <c r="G61" s="38" t="n">
        <v>0</v>
      </c>
      <c r="H61" s="38" t="n">
        <v>0</v>
      </c>
      <c r="I61" s="38" t="n">
        <v>0</v>
      </c>
      <c r="J61" s="38" t="n">
        <v>0</v>
      </c>
      <c r="K61" s="38" t="n">
        <v>0</v>
      </c>
      <c r="L61" s="39" t="n">
        <v>0</v>
      </c>
    </row>
    <row r="62" ht="14.25" customHeight="1" s="1">
      <c r="A62" s="51" t="inlineStr">
        <is>
          <t>Capital de Trabajo (Ac - Pc)</t>
        </is>
      </c>
      <c r="B62" s="52" t="n"/>
      <c r="C62" s="53">
        <f>C57-C59</f>
        <v/>
      </c>
      <c r="D62" s="53">
        <f>D57-D59</f>
        <v/>
      </c>
      <c r="E62" s="53">
        <f>E57-E59</f>
        <v/>
      </c>
      <c r="F62" s="53">
        <f>F57-F59</f>
        <v/>
      </c>
      <c r="G62" s="53">
        <f>G57-G59</f>
        <v/>
      </c>
      <c r="H62" s="53">
        <f>H57-H59</f>
        <v/>
      </c>
      <c r="I62" s="53">
        <f>I57-I59</f>
        <v/>
      </c>
      <c r="J62" s="53">
        <f>J57-J59</f>
        <v/>
      </c>
      <c r="K62" s="53">
        <f>K57-K59</f>
        <v/>
      </c>
      <c r="L62" s="54">
        <f>L57-L59</f>
        <v/>
      </c>
    </row>
    <row r="63" ht="15.75" customHeight="1" s="1">
      <c r="A63" s="34" t="inlineStr">
        <is>
          <t>Incremento Capital Trabajo</t>
        </is>
      </c>
      <c r="B63" s="36">
        <f>C62-B62</f>
        <v/>
      </c>
      <c r="C63" s="36">
        <f>D62-C62</f>
        <v/>
      </c>
      <c r="D63" s="36">
        <f>E62-D62</f>
        <v/>
      </c>
      <c r="E63" s="36">
        <f>F62-E62</f>
        <v/>
      </c>
      <c r="F63" s="36">
        <f>G62-F62</f>
        <v/>
      </c>
      <c r="G63" s="36">
        <f>H62-G62</f>
        <v/>
      </c>
      <c r="H63" s="36">
        <f>I62-H62</f>
        <v/>
      </c>
      <c r="I63" s="36">
        <f>J62-I62</f>
        <v/>
      </c>
      <c r="J63" s="36">
        <f>K62-J62</f>
        <v/>
      </c>
      <c r="K63" s="36">
        <f>L62-K62</f>
        <v/>
      </c>
      <c r="L63" s="37">
        <f>M62-L62</f>
        <v/>
      </c>
    </row>
    <row r="64" ht="14.25" customHeight="1" s="1">
      <c r="B64" s="24" t="n"/>
    </row>
    <row r="65" ht="14.25" customHeight="1" s="1">
      <c r="A65" s="22" t="inlineStr">
        <is>
          <t>5. Inversiones</t>
        </is>
      </c>
      <c r="B65" s="24" t="n"/>
    </row>
    <row r="66" ht="15.75" customHeight="1" s="1">
      <c r="A66" s="23" t="inlineStr">
        <is>
          <t>Calendario de inversiones</t>
        </is>
      </c>
      <c r="B66" s="24" t="n"/>
    </row>
    <row r="67" ht="14.25" customHeight="1" s="1">
      <c r="A67" s="161" t="inlineStr">
        <is>
          <t>Concepto</t>
        </is>
      </c>
      <c r="B67" s="26" t="inlineStr">
        <is>
          <t>Año 0</t>
        </is>
      </c>
      <c r="C67" s="26" t="inlineStr">
        <is>
          <t>Año 1</t>
        </is>
      </c>
      <c r="D67" s="26" t="inlineStr">
        <is>
          <t>Año 2</t>
        </is>
      </c>
      <c r="E67" s="26" t="inlineStr">
        <is>
          <t>Año 3</t>
        </is>
      </c>
      <c r="F67" s="26" t="inlineStr">
        <is>
          <t>Año 4</t>
        </is>
      </c>
      <c r="G67" s="26" t="inlineStr">
        <is>
          <t>Año 5</t>
        </is>
      </c>
      <c r="H67" s="26" t="inlineStr">
        <is>
          <t>Año 6</t>
        </is>
      </c>
      <c r="I67" s="26" t="inlineStr">
        <is>
          <t>Año 7</t>
        </is>
      </c>
      <c r="J67" s="26" t="inlineStr">
        <is>
          <t>Año 8</t>
        </is>
      </c>
      <c r="K67" s="26" t="inlineStr">
        <is>
          <t>Año 9</t>
        </is>
      </c>
      <c r="L67" s="27" t="inlineStr">
        <is>
          <t>Año 10</t>
        </is>
      </c>
    </row>
    <row r="68" ht="14.25" customHeight="1" s="1">
      <c r="A68" s="47" t="inlineStr">
        <is>
          <t>Activos Fijos</t>
        </is>
      </c>
      <c r="B68" s="55" t="n"/>
      <c r="C68" s="55" t="n"/>
      <c r="D68" s="55" t="n"/>
      <c r="E68" s="55" t="n"/>
      <c r="F68" s="55" t="n"/>
      <c r="G68" s="55" t="n"/>
      <c r="H68" s="55" t="n"/>
      <c r="I68" s="55" t="n"/>
      <c r="J68" s="55" t="n"/>
      <c r="K68" s="55" t="n"/>
      <c r="L68" s="56" t="n"/>
    </row>
    <row r="69" ht="14.25" customHeight="1" s="1">
      <c r="A69" s="28" t="inlineStr">
        <is>
          <t xml:space="preserve">   Inversiones a 20 años</t>
        </is>
      </c>
      <c r="B69" s="57">
        <f>100000*$P$5</f>
        <v/>
      </c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6" t="n"/>
    </row>
    <row r="70" ht="14.25" customHeight="1" s="1">
      <c r="A70" s="28" t="inlineStr">
        <is>
          <t xml:space="preserve">  Inversiones a 10 años</t>
        </is>
      </c>
      <c r="B70" s="57">
        <f>(3000000+200000+450000+50000)*$P$5</f>
        <v/>
      </c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6" t="n"/>
    </row>
    <row r="71" ht="14.25" customHeight="1" s="1">
      <c r="A71" s="28" t="inlineStr">
        <is>
          <t xml:space="preserve">  Inversiones a 5 años</t>
        </is>
      </c>
      <c r="B71" s="57">
        <f>(300000+100000)*$P$5</f>
        <v/>
      </c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6" t="n"/>
    </row>
    <row r="72" ht="14.25" customHeight="1" s="1">
      <c r="A72" s="28" t="inlineStr">
        <is>
          <t xml:space="preserve">  Inversion terrenos</t>
        </is>
      </c>
      <c r="B72" s="57">
        <f>750000*$P$5</f>
        <v/>
      </c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6" t="n"/>
    </row>
    <row r="73" ht="14.25" customHeight="1" s="1">
      <c r="A73" s="47" t="inlineStr">
        <is>
          <t>Gastos Pre-operativos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6" t="n"/>
    </row>
    <row r="74" ht="14.25" customHeight="1" s="1">
      <c r="A74" s="28" t="inlineStr">
        <is>
          <t xml:space="preserve">  Gastos puesta en marcha</t>
        </is>
      </c>
      <c r="B74" s="57" t="n">
        <v>0</v>
      </c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6" t="n"/>
    </row>
    <row r="75" ht="14.25" customHeight="1" s="1">
      <c r="A75" s="47" t="inlineStr">
        <is>
          <t>Capital de trabajo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6" t="n"/>
    </row>
    <row r="76" ht="14.25" customHeight="1" s="1">
      <c r="A76" s="28" t="inlineStr">
        <is>
          <t xml:space="preserve">   Capital de trabajo</t>
        </is>
      </c>
      <c r="B76" s="57">
        <f>B63</f>
        <v/>
      </c>
      <c r="C76" s="57">
        <f>C63</f>
        <v/>
      </c>
      <c r="D76" s="57">
        <f>D63</f>
        <v/>
      </c>
      <c r="E76" s="57">
        <f>E63</f>
        <v/>
      </c>
      <c r="F76" s="57">
        <f>F63</f>
        <v/>
      </c>
      <c r="G76" s="57">
        <f>G63</f>
        <v/>
      </c>
      <c r="H76" s="57">
        <f>H63</f>
        <v/>
      </c>
      <c r="I76" s="57">
        <f>I63</f>
        <v/>
      </c>
      <c r="J76" s="57">
        <f>J63</f>
        <v/>
      </c>
      <c r="K76" s="57">
        <f>K63</f>
        <v/>
      </c>
      <c r="L76" s="58">
        <f>L63</f>
        <v/>
      </c>
    </row>
    <row r="77" ht="15.75" customHeight="1" s="1">
      <c r="A77" s="40" t="inlineStr">
        <is>
          <t>Total Inversiones</t>
        </is>
      </c>
      <c r="B77" s="59">
        <f>SUM(B68:B76)</f>
        <v/>
      </c>
      <c r="C77" s="59">
        <f>SUM(C68:C76)</f>
        <v/>
      </c>
      <c r="D77" s="59">
        <f>SUM(D68:D76)</f>
        <v/>
      </c>
      <c r="E77" s="59">
        <f>SUM(E68:E76)</f>
        <v/>
      </c>
      <c r="F77" s="59">
        <f>SUM(F68:F76)</f>
        <v/>
      </c>
      <c r="G77" s="59">
        <f>SUM(G68:G76)</f>
        <v/>
      </c>
      <c r="H77" s="59">
        <f>SUM(H68:H76)</f>
        <v/>
      </c>
      <c r="I77" s="59">
        <f>SUM(I68:I76)</f>
        <v/>
      </c>
      <c r="J77" s="59">
        <f>SUM(J68:J76)</f>
        <v/>
      </c>
      <c r="K77" s="59">
        <f>SUM(K68:K76)</f>
        <v/>
      </c>
      <c r="L77" s="60">
        <f>SUM(L68:L76)</f>
        <v/>
      </c>
    </row>
    <row r="78" ht="14.25" customHeight="1" s="1">
      <c r="B78" s="21" t="n"/>
    </row>
    <row r="79" ht="14.25" customHeight="1" s="1">
      <c r="A79" s="22" t="inlineStr">
        <is>
          <t>6.  Depreciaciones y Amortizaciones</t>
        </is>
      </c>
      <c r="B79" s="24" t="n"/>
    </row>
    <row r="80" ht="15.75" customHeight="1" s="1">
      <c r="A80" s="23" t="inlineStr">
        <is>
          <t>Calendario de Depreciaciones y Amortizaciones</t>
        </is>
      </c>
      <c r="B80" s="24" t="n"/>
    </row>
    <row r="81" ht="14.25" customHeight="1" s="1">
      <c r="A81" s="161" t="inlineStr">
        <is>
          <t>Concepto</t>
        </is>
      </c>
      <c r="B81" s="26" t="inlineStr">
        <is>
          <t>Año 0</t>
        </is>
      </c>
      <c r="C81" s="26" t="inlineStr">
        <is>
          <t>Año 1</t>
        </is>
      </c>
      <c r="D81" s="26" t="inlineStr">
        <is>
          <t>Año 2</t>
        </is>
      </c>
      <c r="E81" s="26" t="inlineStr">
        <is>
          <t>Año 3</t>
        </is>
      </c>
      <c r="F81" s="26" t="inlineStr">
        <is>
          <t>Año 4</t>
        </is>
      </c>
      <c r="G81" s="26" t="inlineStr">
        <is>
          <t>Año 5</t>
        </is>
      </c>
      <c r="H81" s="26" t="inlineStr">
        <is>
          <t>Año 6</t>
        </is>
      </c>
      <c r="I81" s="26" t="inlineStr">
        <is>
          <t>Año 7</t>
        </is>
      </c>
      <c r="J81" s="26" t="inlineStr">
        <is>
          <t>Año 8</t>
        </is>
      </c>
      <c r="K81" s="26" t="inlineStr">
        <is>
          <t>Año 9</t>
        </is>
      </c>
      <c r="L81" s="27" t="inlineStr">
        <is>
          <t>Año 10</t>
        </is>
      </c>
      <c r="R81" s="61" t="inlineStr">
        <is>
          <t>Inversión</t>
        </is>
      </c>
      <c r="S81" s="62" t="inlineStr">
        <is>
          <t>Valor Activo</t>
        </is>
      </c>
      <c r="T81" s="62" t="inlineStr">
        <is>
          <t>Valor residual</t>
        </is>
      </c>
      <c r="U81" s="62" t="inlineStr">
        <is>
          <t>Vida útil</t>
        </is>
      </c>
      <c r="V81" s="62" t="inlineStr">
        <is>
          <t>Dep. Anual</t>
        </is>
      </c>
    </row>
    <row r="82" ht="14.25" customHeight="1" s="1">
      <c r="A82" s="28" t="inlineStr">
        <is>
          <t>Inversiones a 20 años</t>
        </is>
      </c>
      <c r="B82" s="55" t="n"/>
      <c r="C82" s="57">
        <f>$V$82</f>
        <v/>
      </c>
      <c r="D82" s="57">
        <f>$V$82</f>
        <v/>
      </c>
      <c r="E82" s="57">
        <f>$V$82</f>
        <v/>
      </c>
      <c r="F82" s="57">
        <f>$V$82</f>
        <v/>
      </c>
      <c r="G82" s="57">
        <f>$V$82</f>
        <v/>
      </c>
      <c r="H82" s="57">
        <f>$V$82</f>
        <v/>
      </c>
      <c r="I82" s="57">
        <f>$V$82</f>
        <v/>
      </c>
      <c r="J82" s="57">
        <f>$V$82</f>
        <v/>
      </c>
      <c r="K82" s="57">
        <f>$V$82</f>
        <v/>
      </c>
      <c r="L82" s="57">
        <f>$V$82</f>
        <v/>
      </c>
      <c r="R82" s="63" t="inlineStr">
        <is>
          <t>Edificio</t>
        </is>
      </c>
      <c r="S82" s="15">
        <f>B69</f>
        <v/>
      </c>
      <c r="T82" s="64" t="n">
        <v>50000</v>
      </c>
      <c r="U82" s="65" t="n">
        <v>20</v>
      </c>
      <c r="V82" s="15">
        <f>(S82-T82)/U82</f>
        <v/>
      </c>
    </row>
    <row r="83" ht="14.25" customHeight="1" s="1">
      <c r="A83" s="28" t="inlineStr">
        <is>
          <t>Inversiones a 10 años</t>
        </is>
      </c>
      <c r="B83" s="55" t="n"/>
      <c r="C83" s="57">
        <f>$V$83+$V$84</f>
        <v/>
      </c>
      <c r="D83" s="57">
        <f>$V$83+$V$84</f>
        <v/>
      </c>
      <c r="E83" s="57">
        <f>$V$83+$V$84</f>
        <v/>
      </c>
      <c r="F83" s="57">
        <f>$V$83+$V$84</f>
        <v/>
      </c>
      <c r="G83" s="57">
        <f>$V$83+$V$84</f>
        <v/>
      </c>
      <c r="H83" s="57">
        <f>$V$83+$V$84</f>
        <v/>
      </c>
      <c r="I83" s="57">
        <f>$V$83+$V$84</f>
        <v/>
      </c>
      <c r="J83" s="57">
        <f>$V$83+$V$84</f>
        <v/>
      </c>
      <c r="K83" s="57">
        <f>$V$83+$V$84</f>
        <v/>
      </c>
      <c r="L83" s="57">
        <f>$V$83+$V$84</f>
        <v/>
      </c>
      <c r="R83" s="63" t="inlineStr">
        <is>
          <t>Estanque y canales</t>
        </is>
      </c>
      <c r="S83" s="15">
        <f>3000000*$P$5</f>
        <v/>
      </c>
      <c r="T83" s="64" t="n">
        <v>1000000</v>
      </c>
      <c r="U83" s="66" t="n">
        <v>10</v>
      </c>
      <c r="V83" s="15">
        <f>(S83-T83)/U83</f>
        <v/>
      </c>
    </row>
    <row r="84" ht="14.25" customHeight="1" s="1">
      <c r="A84" s="28" t="inlineStr">
        <is>
          <t>Inversiones a 5 años</t>
        </is>
      </c>
      <c r="B84" s="55" t="n"/>
      <c r="C84" s="57">
        <f>$V$85</f>
        <v/>
      </c>
      <c r="D84" s="57">
        <f>$V$85</f>
        <v/>
      </c>
      <c r="E84" s="57">
        <f>$V$85</f>
        <v/>
      </c>
      <c r="F84" s="57">
        <f>$V$85</f>
        <v/>
      </c>
      <c r="G84" s="57">
        <f>$V$85</f>
        <v/>
      </c>
      <c r="H84" s="57" t="n">
        <v>0</v>
      </c>
      <c r="I84" s="57" t="n">
        <v>0</v>
      </c>
      <c r="J84" s="57" t="n">
        <v>0</v>
      </c>
      <c r="K84" s="57" t="n">
        <v>0</v>
      </c>
      <c r="L84" s="57" t="n">
        <v>0</v>
      </c>
      <c r="R84" s="63" t="inlineStr">
        <is>
          <t>Maq &amp; Equipo</t>
        </is>
      </c>
      <c r="S84" s="67">
        <f>B70-S83</f>
        <v/>
      </c>
      <c r="T84" s="63" t="n">
        <v>0</v>
      </c>
      <c r="U84" s="65" t="n">
        <v>10</v>
      </c>
      <c r="V84" s="15">
        <f>(S84-T84)/U84</f>
        <v/>
      </c>
    </row>
    <row r="85" ht="14.25" customHeight="1" s="1">
      <c r="A85" s="68" t="inlineStr">
        <is>
          <t>Total Depreciación</t>
        </is>
      </c>
      <c r="B85" s="69" t="n"/>
      <c r="C85" s="70">
        <f>SUM(C82:C84)</f>
        <v/>
      </c>
      <c r="D85" s="70">
        <f>SUM(D82:D84)</f>
        <v/>
      </c>
      <c r="E85" s="70">
        <f>SUM(E82:E84)</f>
        <v/>
      </c>
      <c r="F85" s="70">
        <f>SUM(F82:F84)</f>
        <v/>
      </c>
      <c r="G85" s="70">
        <f>SUM(G82:G84)</f>
        <v/>
      </c>
      <c r="H85" s="70">
        <f>SUM(H82:H84)</f>
        <v/>
      </c>
      <c r="I85" s="70">
        <f>SUM(I82:I84)</f>
        <v/>
      </c>
      <c r="J85" s="70">
        <f>SUM(J82:J84)</f>
        <v/>
      </c>
      <c r="K85" s="70">
        <f>SUM(K82:K84)</f>
        <v/>
      </c>
      <c r="L85" s="70">
        <f>SUM(L82:L84)</f>
        <v/>
      </c>
      <c r="R85" s="63" t="inlineStr">
        <is>
          <t>Vehículos y embarcaciones</t>
        </is>
      </c>
      <c r="S85" s="15">
        <f>B71</f>
        <v/>
      </c>
      <c r="T85" s="64" t="n">
        <v>0</v>
      </c>
      <c r="U85" s="66" t="n">
        <v>5</v>
      </c>
      <c r="V85" s="15">
        <f>(S85-T85)/U85</f>
        <v/>
      </c>
    </row>
    <row r="86" ht="14.25" customHeight="1" s="1">
      <c r="A86" s="71" t="n"/>
      <c r="B86" s="55" t="n"/>
      <c r="C86" s="55" t="n"/>
      <c r="D86" s="55" t="n"/>
      <c r="E86" s="55" t="n"/>
      <c r="F86" s="55" t="n"/>
      <c r="G86" s="55" t="n"/>
      <c r="H86" s="55" t="n"/>
      <c r="I86" s="55" t="n"/>
      <c r="J86" s="55" t="n"/>
      <c r="K86" s="55" t="n"/>
      <c r="L86" s="56" t="n"/>
      <c r="S86" s="72">
        <f>SUM(S82:S85)</f>
        <v/>
      </c>
    </row>
    <row r="87" ht="14.25" customHeight="1" s="1">
      <c r="A87" s="28" t="inlineStr">
        <is>
          <t>Amortización pre-operativos</t>
        </is>
      </c>
      <c r="B87" s="55" t="n"/>
      <c r="C87" s="57">
        <f>$B$74/10</f>
        <v/>
      </c>
      <c r="D87" s="57">
        <f>$B$74/10</f>
        <v/>
      </c>
      <c r="E87" s="57">
        <f>$B$74/10</f>
        <v/>
      </c>
      <c r="F87" s="57">
        <f>$B$74/10</f>
        <v/>
      </c>
      <c r="G87" s="57">
        <f>$B$74/10</f>
        <v/>
      </c>
      <c r="H87" s="57">
        <f>$B$74/10</f>
        <v/>
      </c>
      <c r="I87" s="57">
        <f>$B$74/10</f>
        <v/>
      </c>
      <c r="J87" s="57">
        <f>$B$74/10</f>
        <v/>
      </c>
      <c r="K87" s="57">
        <f>$B$74/10</f>
        <v/>
      </c>
      <c r="L87" s="73">
        <f>$B$74/10</f>
        <v/>
      </c>
      <c r="O87" s="74" t="n"/>
    </row>
    <row r="88" ht="15.75" customHeight="1" s="1">
      <c r="A88" s="40" t="inlineStr">
        <is>
          <t>Total Amortización</t>
        </is>
      </c>
      <c r="B88" s="75" t="n"/>
      <c r="C88" s="59">
        <f>SUM(C87)</f>
        <v/>
      </c>
      <c r="D88" s="59">
        <f>SUM(D87)</f>
        <v/>
      </c>
      <c r="E88" s="59">
        <f>SUM(E87)</f>
        <v/>
      </c>
      <c r="F88" s="59">
        <f>SUM(F87)</f>
        <v/>
      </c>
      <c r="G88" s="59">
        <f>SUM(G87)</f>
        <v/>
      </c>
      <c r="H88" s="59">
        <f>SUM(H87)</f>
        <v/>
      </c>
      <c r="I88" s="59">
        <f>SUM(I87)</f>
        <v/>
      </c>
      <c r="J88" s="59">
        <f>SUM(J87)</f>
        <v/>
      </c>
      <c r="K88" s="59">
        <f>SUM(K87)</f>
        <v/>
      </c>
      <c r="L88" s="60">
        <f>SUM(L87)</f>
        <v/>
      </c>
      <c r="O88" s="74" t="n"/>
    </row>
    <row r="89" ht="14.25" customHeight="1" s="1">
      <c r="B89" s="21" t="n"/>
    </row>
    <row r="90" ht="14.25" customHeight="1" s="1">
      <c r="A90" s="22" t="inlineStr">
        <is>
          <t>7. Valor de desecho del proyecto</t>
        </is>
      </c>
      <c r="B90" s="24" t="n"/>
    </row>
    <row r="91" ht="15.75" customHeight="1" s="1">
      <c r="A91" s="23" t="inlineStr">
        <is>
          <t>Clalculo del valor de desecho del proyecto (método contable)</t>
        </is>
      </c>
      <c r="B91" s="24" t="n"/>
    </row>
    <row r="92" ht="14.25" customHeight="1" s="1">
      <c r="A92" s="161" t="inlineStr">
        <is>
          <t>Concepto</t>
        </is>
      </c>
      <c r="B92" s="162" t="inlineStr">
        <is>
          <t>Valor del</t>
        </is>
      </c>
      <c r="C92" s="162" t="inlineStr">
        <is>
          <t>Depreciación por periodo</t>
        </is>
      </c>
      <c r="D92" s="170" t="n"/>
      <c r="E92" s="170" t="n"/>
      <c r="F92" s="170" t="n"/>
      <c r="G92" s="170" t="n"/>
      <c r="H92" s="170" t="n"/>
      <c r="I92" s="170" t="n"/>
      <c r="J92" s="170" t="n"/>
      <c r="K92" s="170" t="n"/>
      <c r="L92" s="171" t="n"/>
      <c r="M92" s="77" t="inlineStr">
        <is>
          <t>Valor de</t>
        </is>
      </c>
    </row>
    <row r="93" ht="14.25" customHeight="1" s="1">
      <c r="A93" s="172" t="n"/>
      <c r="B93" s="62" t="inlineStr">
        <is>
          <t>Activo</t>
        </is>
      </c>
      <c r="C93" s="78" t="inlineStr">
        <is>
          <t>Año 1</t>
        </is>
      </c>
      <c r="D93" s="78" t="inlineStr">
        <is>
          <t>Año 2</t>
        </is>
      </c>
      <c r="E93" s="78" t="inlineStr">
        <is>
          <t>Año 3</t>
        </is>
      </c>
      <c r="F93" s="78" t="inlineStr">
        <is>
          <t>Año 4</t>
        </is>
      </c>
      <c r="G93" s="78" t="inlineStr">
        <is>
          <t>Año 5</t>
        </is>
      </c>
      <c r="H93" s="78" t="inlineStr">
        <is>
          <t>Año 6</t>
        </is>
      </c>
      <c r="I93" s="78" t="inlineStr">
        <is>
          <t>Año 7</t>
        </is>
      </c>
      <c r="J93" s="78" t="inlineStr">
        <is>
          <t>Año 8</t>
        </is>
      </c>
      <c r="K93" s="78" t="inlineStr">
        <is>
          <t>Año 9</t>
        </is>
      </c>
      <c r="L93" s="78" t="inlineStr">
        <is>
          <t>Año 10</t>
        </is>
      </c>
      <c r="M93" s="79" t="inlineStr">
        <is>
          <t>Desecho</t>
        </is>
      </c>
    </row>
    <row r="94" ht="14.25" customHeight="1" s="1">
      <c r="A94" s="28" t="inlineStr">
        <is>
          <t>Inversiones a 20 años</t>
        </is>
      </c>
      <c r="B94" s="57">
        <f>B69</f>
        <v/>
      </c>
      <c r="C94" s="57">
        <f>C82</f>
        <v/>
      </c>
      <c r="D94" s="57">
        <f>D82</f>
        <v/>
      </c>
      <c r="E94" s="57">
        <f>E82</f>
        <v/>
      </c>
      <c r="F94" s="57">
        <f>F82</f>
        <v/>
      </c>
      <c r="G94" s="57">
        <f>G82</f>
        <v/>
      </c>
      <c r="H94" s="57">
        <f>H82</f>
        <v/>
      </c>
      <c r="I94" s="57">
        <f>I82</f>
        <v/>
      </c>
      <c r="J94" s="57">
        <f>J82</f>
        <v/>
      </c>
      <c r="K94" s="57">
        <f>K82</f>
        <v/>
      </c>
      <c r="L94" s="57">
        <f>L82</f>
        <v/>
      </c>
      <c r="M94" s="73">
        <f>B94-SUM(C94:L94)</f>
        <v/>
      </c>
    </row>
    <row r="95" ht="14.25" customHeight="1" s="1">
      <c r="A95" s="28" t="inlineStr">
        <is>
          <t>Inversiones a 10 años</t>
        </is>
      </c>
      <c r="B95" s="57">
        <f>B70</f>
        <v/>
      </c>
      <c r="C95" s="57">
        <f>C83</f>
        <v/>
      </c>
      <c r="D95" s="57">
        <f>D83</f>
        <v/>
      </c>
      <c r="E95" s="57">
        <f>E83</f>
        <v/>
      </c>
      <c r="F95" s="57">
        <f>F83</f>
        <v/>
      </c>
      <c r="G95" s="57">
        <f>G83</f>
        <v/>
      </c>
      <c r="H95" s="57">
        <f>H83</f>
        <v/>
      </c>
      <c r="I95" s="57">
        <f>I83</f>
        <v/>
      </c>
      <c r="J95" s="57">
        <f>J83</f>
        <v/>
      </c>
      <c r="K95" s="57">
        <f>K83</f>
        <v/>
      </c>
      <c r="L95" s="57">
        <f>L83</f>
        <v/>
      </c>
      <c r="M95" s="73">
        <f>B95-SUM(C95:L95)</f>
        <v/>
      </c>
    </row>
    <row r="96" ht="14.25" customHeight="1" s="1">
      <c r="A96" s="28" t="inlineStr">
        <is>
          <t>Inversiones a 5 años</t>
        </is>
      </c>
      <c r="B96" s="57">
        <f>B71</f>
        <v/>
      </c>
      <c r="C96" s="57">
        <f>C84</f>
        <v/>
      </c>
      <c r="D96" s="57">
        <f>D84</f>
        <v/>
      </c>
      <c r="E96" s="57">
        <f>E84</f>
        <v/>
      </c>
      <c r="F96" s="57">
        <f>F84</f>
        <v/>
      </c>
      <c r="G96" s="57">
        <f>G84</f>
        <v/>
      </c>
      <c r="H96" s="57">
        <f>H84</f>
        <v/>
      </c>
      <c r="I96" s="57">
        <f>I84</f>
        <v/>
      </c>
      <c r="J96" s="57">
        <f>J84</f>
        <v/>
      </c>
      <c r="K96" s="57">
        <f>K84</f>
        <v/>
      </c>
      <c r="L96" s="57">
        <f>L84</f>
        <v/>
      </c>
      <c r="M96" s="73">
        <f>B96-SUM(C96:L96)</f>
        <v/>
      </c>
    </row>
    <row r="97" ht="15.75" customHeight="1" s="1">
      <c r="A97" s="80" t="inlineStr">
        <is>
          <t>Amortización pre-operativos</t>
        </is>
      </c>
      <c r="B97" s="81">
        <f>B74</f>
        <v/>
      </c>
      <c r="C97" s="81">
        <f>C87</f>
        <v/>
      </c>
      <c r="D97" s="81">
        <f>D87</f>
        <v/>
      </c>
      <c r="E97" s="81">
        <f>E87</f>
        <v/>
      </c>
      <c r="F97" s="81">
        <f>F87</f>
        <v/>
      </c>
      <c r="G97" s="81">
        <f>G87</f>
        <v/>
      </c>
      <c r="H97" s="81">
        <f>H87</f>
        <v/>
      </c>
      <c r="I97" s="81">
        <f>I87</f>
        <v/>
      </c>
      <c r="J97" s="81">
        <f>J87</f>
        <v/>
      </c>
      <c r="K97" s="81">
        <f>K87</f>
        <v/>
      </c>
      <c r="L97" s="81">
        <f>L87</f>
        <v/>
      </c>
      <c r="M97" s="82">
        <f>B97-SUM(C97:L97)</f>
        <v/>
      </c>
    </row>
    <row r="98" ht="15.75" customHeight="1" s="1">
      <c r="A98" s="163" t="inlineStr">
        <is>
          <t>Valor de desecho total</t>
        </is>
      </c>
      <c r="B98" s="173" t="n"/>
      <c r="C98" s="173" t="n"/>
      <c r="D98" s="173" t="n"/>
      <c r="E98" s="173" t="n"/>
      <c r="F98" s="173" t="n"/>
      <c r="G98" s="173" t="n"/>
      <c r="H98" s="173" t="n"/>
      <c r="I98" s="173" t="n"/>
      <c r="J98" s="173" t="n"/>
      <c r="K98" s="173" t="n"/>
      <c r="L98" s="174" t="n"/>
      <c r="M98" s="83">
        <f>SUM(M94:M97)</f>
        <v/>
      </c>
    </row>
    <row r="99" ht="14.25" customHeight="1" s="1">
      <c r="B99" s="21" t="n"/>
    </row>
    <row r="100" ht="14.25" customHeight="1" s="1">
      <c r="A100" s="22" t="inlineStr">
        <is>
          <t>8. Financiamiento</t>
        </is>
      </c>
      <c r="B100" s="24" t="n"/>
    </row>
    <row r="101" ht="15.75" customHeight="1" s="1">
      <c r="A101" s="44" t="inlineStr">
        <is>
          <t>Cálculo del Financiamiento</t>
        </is>
      </c>
      <c r="B101" s="42" t="n"/>
      <c r="C101" s="43" t="n"/>
      <c r="D101" s="43" t="n"/>
      <c r="E101" s="43" t="n"/>
    </row>
    <row r="102" ht="14.25" customHeight="1" s="1">
      <c r="A102" s="84" t="inlineStr">
        <is>
          <t>Financiamiento bancario (valor)</t>
        </is>
      </c>
      <c r="B102" s="85">
        <f>B77*E102</f>
        <v/>
      </c>
      <c r="C102" s="86" t="n"/>
      <c r="D102" s="43" t="n"/>
      <c r="E102" s="87" t="n">
        <v>0</v>
      </c>
    </row>
    <row r="103" ht="14.25" customHeight="1" s="1">
      <c r="A103" s="28" t="inlineStr">
        <is>
          <t>Financiamiento bancario (tasa)</t>
        </is>
      </c>
      <c r="B103" s="88">
        <f>B22</f>
        <v/>
      </c>
      <c r="C103" s="89" t="n"/>
      <c r="D103" s="43" t="n"/>
      <c r="E103" s="43" t="n"/>
    </row>
    <row r="104" ht="14.25" customHeight="1" s="1">
      <c r="A104" s="28" t="inlineStr">
        <is>
          <t>Financiamiento bancario (periodos)</t>
        </is>
      </c>
      <c r="B104" s="90" t="n">
        <v>7</v>
      </c>
      <c r="C104" s="91" t="inlineStr">
        <is>
          <t>años</t>
        </is>
      </c>
      <c r="D104" s="43" t="n"/>
      <c r="E104" s="43" t="n"/>
    </row>
    <row r="105" ht="15.75" customHeight="1" s="1">
      <c r="A105" s="92" t="inlineStr">
        <is>
          <t>Modalidad</t>
        </is>
      </c>
      <c r="B105" s="159" t="inlineStr">
        <is>
          <t>Pagos exactos</t>
        </is>
      </c>
      <c r="C105" s="175" t="n"/>
      <c r="D105" s="43" t="n"/>
      <c r="E105" s="43" t="n"/>
    </row>
    <row r="106" ht="15.75" customHeight="1" s="1">
      <c r="A106" s="43" t="n"/>
      <c r="B106" s="42" t="n"/>
      <c r="C106" s="43" t="n"/>
      <c r="D106" s="43" t="n"/>
      <c r="E106" s="43" t="n"/>
    </row>
    <row r="107" ht="14.25" customHeight="1" s="1">
      <c r="A107" s="161" t="inlineStr">
        <is>
          <t>Concepto</t>
        </is>
      </c>
      <c r="B107" s="26" t="inlineStr">
        <is>
          <t>Año 0</t>
        </is>
      </c>
      <c r="C107" s="26" t="inlineStr">
        <is>
          <t>Año 1</t>
        </is>
      </c>
      <c r="D107" s="26" t="inlineStr">
        <is>
          <t>Año 2</t>
        </is>
      </c>
      <c r="E107" s="26" t="inlineStr">
        <is>
          <t>Año 3</t>
        </is>
      </c>
      <c r="F107" s="26" t="inlineStr">
        <is>
          <t>Año 4</t>
        </is>
      </c>
      <c r="G107" s="26" t="inlineStr">
        <is>
          <t>Año 5</t>
        </is>
      </c>
      <c r="H107" s="26" t="inlineStr">
        <is>
          <t>Año 6</t>
        </is>
      </c>
      <c r="I107" s="26" t="inlineStr">
        <is>
          <t>Año 7</t>
        </is>
      </c>
    </row>
    <row r="108" ht="14.25" customHeight="1" s="1">
      <c r="A108" s="28" t="inlineStr">
        <is>
          <t xml:space="preserve">Saldo crédito </t>
        </is>
      </c>
      <c r="B108" s="57">
        <f>B102</f>
        <v/>
      </c>
      <c r="C108" s="57">
        <f>B108-C111</f>
        <v/>
      </c>
      <c r="D108" s="57">
        <f>C108-D111</f>
        <v/>
      </c>
      <c r="E108" s="57">
        <f>D108-E111</f>
        <v/>
      </c>
      <c r="F108" s="57">
        <f>E108-F111</f>
        <v/>
      </c>
      <c r="G108" s="57">
        <f>F108-G111</f>
        <v/>
      </c>
      <c r="H108" s="57">
        <f>G108-H111</f>
        <v/>
      </c>
      <c r="I108" s="57">
        <f>H108-I111</f>
        <v/>
      </c>
    </row>
    <row r="109" ht="14.25" customHeight="1" s="1">
      <c r="A109" s="28" t="inlineStr">
        <is>
          <t>Cuota mensual (anualidad)</t>
        </is>
      </c>
      <c r="B109" s="55" t="n"/>
      <c r="C109" s="57">
        <f>C110</f>
        <v/>
      </c>
      <c r="D109" s="57">
        <f>D110</f>
        <v/>
      </c>
      <c r="E109" s="57" t="n">
        <v>0</v>
      </c>
      <c r="F109" s="57" t="n">
        <v>0</v>
      </c>
      <c r="G109" s="57" t="n">
        <v>0</v>
      </c>
      <c r="H109" s="57" t="n">
        <v>0</v>
      </c>
      <c r="I109" s="57">
        <f>(H108*B103)+H108</f>
        <v/>
      </c>
    </row>
    <row r="110" ht="14.25" customHeight="1" s="1">
      <c r="A110" s="28" t="inlineStr">
        <is>
          <t>Intereses</t>
        </is>
      </c>
      <c r="B110" s="55" t="n"/>
      <c r="C110" s="57">
        <f>B108*$B$103</f>
        <v/>
      </c>
      <c r="D110" s="57">
        <f>C108*$B$103</f>
        <v/>
      </c>
      <c r="E110" s="57">
        <f>D108*$B$103</f>
        <v/>
      </c>
      <c r="F110" s="57">
        <f>E108*$B$103</f>
        <v/>
      </c>
      <c r="G110" s="57">
        <f>F108*$B$103</f>
        <v/>
      </c>
      <c r="H110" s="57">
        <f>G108*$B$103</f>
        <v/>
      </c>
      <c r="I110" s="57">
        <f>H108*$B$103</f>
        <v/>
      </c>
    </row>
    <row r="111" ht="15.75" customHeight="1" s="1">
      <c r="A111" s="92" t="inlineStr">
        <is>
          <t>Abono a capital (amortización)</t>
        </is>
      </c>
      <c r="B111" s="93" t="n"/>
      <c r="C111" s="81">
        <f>C109-C110</f>
        <v/>
      </c>
      <c r="D111" s="81">
        <f>D109-D110</f>
        <v/>
      </c>
      <c r="E111" s="81">
        <f>E109-E110</f>
        <v/>
      </c>
      <c r="F111" s="81">
        <f>F109-F110</f>
        <v/>
      </c>
      <c r="G111" s="81">
        <f>G109-G110</f>
        <v/>
      </c>
      <c r="H111" s="81">
        <f>H109-H110</f>
        <v/>
      </c>
      <c r="I111" s="81">
        <f>I109-I110</f>
        <v/>
      </c>
    </row>
    <row r="112" ht="14.25" customHeight="1" s="1">
      <c r="B112" s="21" t="n"/>
    </row>
    <row r="113" ht="14.25" customHeight="1" s="1">
      <c r="A113" s="22" t="inlineStr">
        <is>
          <t>9.Flujo de caja del proyecto</t>
        </is>
      </c>
      <c r="B113" s="24" t="n"/>
    </row>
    <row r="114" ht="15.75" customHeight="1" s="1">
      <c r="A114" s="4" t="inlineStr">
        <is>
          <t>Flujo de caja del proyecto (con) Financiamiento)</t>
        </is>
      </c>
      <c r="B114" s="24" t="n"/>
    </row>
    <row r="115" ht="14.25" customHeight="1" s="1">
      <c r="A115" s="161" t="inlineStr">
        <is>
          <t>Concepto</t>
        </is>
      </c>
      <c r="B115" s="26" t="inlineStr">
        <is>
          <t>Año 0</t>
        </is>
      </c>
      <c r="C115" s="26" t="inlineStr">
        <is>
          <t>Año 1</t>
        </is>
      </c>
      <c r="D115" s="26" t="inlineStr">
        <is>
          <t>Año 2</t>
        </is>
      </c>
      <c r="E115" s="26" t="inlineStr">
        <is>
          <t>Año 3</t>
        </is>
      </c>
      <c r="F115" s="26" t="inlineStr">
        <is>
          <t>Año 4</t>
        </is>
      </c>
      <c r="G115" s="26" t="inlineStr">
        <is>
          <t>Año 5</t>
        </is>
      </c>
      <c r="H115" s="26" t="inlineStr">
        <is>
          <t>Año 6</t>
        </is>
      </c>
      <c r="I115" s="26" t="inlineStr">
        <is>
          <t>Año 7</t>
        </is>
      </c>
      <c r="J115" s="26" t="inlineStr">
        <is>
          <t>Año 8</t>
        </is>
      </c>
      <c r="K115" s="26" t="inlineStr">
        <is>
          <t>Año 9</t>
        </is>
      </c>
      <c r="L115" s="27" t="inlineStr">
        <is>
          <t>Año 10</t>
        </is>
      </c>
    </row>
    <row r="116" ht="14.25" customHeight="1" s="1">
      <c r="A116" s="94" t="inlineStr">
        <is>
          <t>+ Ingreso por ventas</t>
        </is>
      </c>
      <c r="B116" s="95" t="n"/>
      <c r="C116" s="96">
        <f>C33</f>
        <v/>
      </c>
      <c r="D116" s="96">
        <f>D33</f>
        <v/>
      </c>
      <c r="E116" s="96">
        <f>E33</f>
        <v/>
      </c>
      <c r="F116" s="96">
        <f>F33</f>
        <v/>
      </c>
      <c r="G116" s="96">
        <f>G33</f>
        <v/>
      </c>
      <c r="H116" s="96">
        <f>H33</f>
        <v/>
      </c>
      <c r="I116" s="96">
        <f>I33</f>
        <v/>
      </c>
      <c r="J116" s="96">
        <f>J33</f>
        <v/>
      </c>
      <c r="K116" s="96">
        <f>K33</f>
        <v/>
      </c>
      <c r="L116" s="97">
        <f>L33</f>
        <v/>
      </c>
    </row>
    <row r="117" ht="14.25" customHeight="1" s="1">
      <c r="A117" s="98" t="inlineStr">
        <is>
          <t>Ingreso por venta del terreno</t>
        </is>
      </c>
      <c r="B117" s="95" t="n"/>
      <c r="C117" s="95" t="n"/>
      <c r="D117" s="95" t="n"/>
      <c r="E117" s="95" t="n"/>
      <c r="F117" s="95" t="n"/>
      <c r="G117" s="95" t="n"/>
      <c r="H117" s="95" t="n"/>
      <c r="I117" s="95" t="n"/>
      <c r="J117" s="95" t="n"/>
      <c r="K117" s="95" t="n"/>
      <c r="L117" s="97">
        <f>B19</f>
        <v/>
      </c>
    </row>
    <row r="118" ht="14.25" customHeight="1" s="1">
      <c r="A118" s="94" t="inlineStr">
        <is>
          <t>- Egresos deducibles de impuestos</t>
        </is>
      </c>
      <c r="B118" s="95" t="n"/>
      <c r="C118" s="96">
        <f>SUM(C119:C121)</f>
        <v/>
      </c>
      <c r="D118" s="96">
        <f>SUM(D119:D121)</f>
        <v/>
      </c>
      <c r="E118" s="96">
        <f>SUM(E119:E121)</f>
        <v/>
      </c>
      <c r="F118" s="96">
        <f>SUM(F119:F121)</f>
        <v/>
      </c>
      <c r="G118" s="96">
        <f>SUM(G119:G121)</f>
        <v/>
      </c>
      <c r="H118" s="96">
        <f>SUM(H119:H121)</f>
        <v/>
      </c>
      <c r="I118" s="96">
        <f>SUM(I119:I121)</f>
        <v/>
      </c>
      <c r="J118" s="96">
        <f>SUM(J119:J121)</f>
        <v/>
      </c>
      <c r="K118" s="96">
        <f>SUM(K119:K121)</f>
        <v/>
      </c>
      <c r="L118" s="97">
        <f>SUM(L119:L121)</f>
        <v/>
      </c>
    </row>
    <row r="119" ht="14.25" customHeight="1" s="1">
      <c r="A119" s="99" t="inlineStr">
        <is>
          <t xml:space="preserve">     Costos variables</t>
        </is>
      </c>
      <c r="B119" s="100" t="n"/>
      <c r="C119" s="15">
        <f>C39</f>
        <v/>
      </c>
      <c r="D119" s="15">
        <f>D39</f>
        <v/>
      </c>
      <c r="E119" s="15">
        <f>E39</f>
        <v/>
      </c>
      <c r="F119" s="15">
        <f>F39</f>
        <v/>
      </c>
      <c r="G119" s="15">
        <f>G39</f>
        <v/>
      </c>
      <c r="H119" s="15">
        <f>H39</f>
        <v/>
      </c>
      <c r="I119" s="15">
        <f>I39</f>
        <v/>
      </c>
      <c r="J119" s="15">
        <f>J39</f>
        <v/>
      </c>
      <c r="K119" s="15">
        <f>K39</f>
        <v/>
      </c>
      <c r="L119" s="101">
        <f>L39</f>
        <v/>
      </c>
    </row>
    <row r="120" ht="14.25" customHeight="1" s="1">
      <c r="A120" s="99" t="inlineStr">
        <is>
          <t xml:space="preserve">     Costos Fijos</t>
        </is>
      </c>
      <c r="B120" s="100" t="n"/>
      <c r="C120" s="15">
        <f>C46</f>
        <v/>
      </c>
      <c r="D120" s="15">
        <f>D46</f>
        <v/>
      </c>
      <c r="E120" s="15">
        <f>E46</f>
        <v/>
      </c>
      <c r="F120" s="15">
        <f>F46</f>
        <v/>
      </c>
      <c r="G120" s="15">
        <f>G46</f>
        <v/>
      </c>
      <c r="H120" s="15">
        <f>H46</f>
        <v/>
      </c>
      <c r="I120" s="15">
        <f>I46</f>
        <v/>
      </c>
      <c r="J120" s="15">
        <f>J46</f>
        <v/>
      </c>
      <c r="K120" s="15">
        <f>K46</f>
        <v/>
      </c>
      <c r="L120" s="101">
        <f>L46</f>
        <v/>
      </c>
    </row>
    <row r="121" ht="14.25" customHeight="1" s="1">
      <c r="A121" s="99" t="inlineStr">
        <is>
          <t xml:space="preserve">     Gastos financieros</t>
        </is>
      </c>
      <c r="B121" s="100" t="n"/>
      <c r="C121" s="15">
        <f>C110</f>
        <v/>
      </c>
      <c r="D121" s="15">
        <f>D110</f>
        <v/>
      </c>
      <c r="E121" s="15">
        <f>E110</f>
        <v/>
      </c>
      <c r="F121" s="15">
        <f>F110</f>
        <v/>
      </c>
      <c r="G121" s="15">
        <f>G110</f>
        <v/>
      </c>
      <c r="H121" s="15">
        <f>H110</f>
        <v/>
      </c>
      <c r="I121" s="15">
        <f>I110</f>
        <v/>
      </c>
      <c r="J121" s="15">
        <f>J110</f>
        <v/>
      </c>
      <c r="K121" s="15">
        <f>K110</f>
        <v/>
      </c>
      <c r="L121" s="101">
        <f>L110</f>
        <v/>
      </c>
    </row>
    <row r="122" ht="14.25" customHeight="1" s="1">
      <c r="A122" s="94" t="inlineStr">
        <is>
          <t>- Gastos no desembolsables</t>
        </is>
      </c>
      <c r="B122" s="95" t="n"/>
      <c r="C122" s="96">
        <f>SUM(C123:C124)</f>
        <v/>
      </c>
      <c r="D122" s="96">
        <f>SUM(D123:D124)</f>
        <v/>
      </c>
      <c r="E122" s="96">
        <f>SUM(E123:E124)</f>
        <v/>
      </c>
      <c r="F122" s="96">
        <f>SUM(F123:F124)</f>
        <v/>
      </c>
      <c r="G122" s="96">
        <f>SUM(G123:G124)</f>
        <v/>
      </c>
      <c r="H122" s="96">
        <f>SUM(H123:H124)</f>
        <v/>
      </c>
      <c r="I122" s="96">
        <f>SUM(I123:I124)</f>
        <v/>
      </c>
      <c r="J122" s="96">
        <f>SUM(J123:J124)</f>
        <v/>
      </c>
      <c r="K122" s="96">
        <f>SUM(K123:K124)</f>
        <v/>
      </c>
      <c r="L122" s="97">
        <f>SUM(L123:L124)</f>
        <v/>
      </c>
    </row>
    <row r="123" ht="14.25" customHeight="1" s="1">
      <c r="A123" s="99" t="inlineStr">
        <is>
          <t xml:space="preserve">     Depreciación de activos</t>
        </is>
      </c>
      <c r="B123" s="100" t="n"/>
      <c r="C123" s="15">
        <f>C85</f>
        <v/>
      </c>
      <c r="D123" s="15">
        <f>D85</f>
        <v/>
      </c>
      <c r="E123" s="15">
        <f>E85</f>
        <v/>
      </c>
      <c r="F123" s="15">
        <f>F85</f>
        <v/>
      </c>
      <c r="G123" s="15">
        <f>G85</f>
        <v/>
      </c>
      <c r="H123" s="15">
        <f>H85</f>
        <v/>
      </c>
      <c r="I123" s="15">
        <f>I85</f>
        <v/>
      </c>
      <c r="J123" s="15">
        <f>J85</f>
        <v/>
      </c>
      <c r="K123" s="15">
        <f>K85</f>
        <v/>
      </c>
      <c r="L123" s="101">
        <f>L85</f>
        <v/>
      </c>
    </row>
    <row r="124" ht="14.25" customHeight="1" s="1">
      <c r="A124" s="99" t="inlineStr">
        <is>
          <t xml:space="preserve">     Amortización de pre-operativos</t>
        </is>
      </c>
      <c r="B124" s="100" t="n"/>
      <c r="C124" s="15">
        <f>C87</f>
        <v/>
      </c>
      <c r="D124" s="15">
        <f>D87</f>
        <v/>
      </c>
      <c r="E124" s="15">
        <f>E87</f>
        <v/>
      </c>
      <c r="F124" s="15">
        <f>F87</f>
        <v/>
      </c>
      <c r="G124" s="15">
        <f>G87</f>
        <v/>
      </c>
      <c r="H124" s="15">
        <f>H87</f>
        <v/>
      </c>
      <c r="I124" s="15">
        <f>I87</f>
        <v/>
      </c>
      <c r="J124" s="15">
        <f>J87</f>
        <v/>
      </c>
      <c r="K124" s="15">
        <f>K87</f>
        <v/>
      </c>
      <c r="L124" s="101">
        <f>L87</f>
        <v/>
      </c>
    </row>
    <row r="125" ht="14.25" customHeight="1" s="1">
      <c r="A125" s="94" t="inlineStr">
        <is>
          <t>= Utilidad antes de impuestos</t>
        </is>
      </c>
      <c r="B125" s="95" t="n"/>
      <c r="C125" s="96">
        <f>C116+C117-C118-C122</f>
        <v/>
      </c>
      <c r="D125" s="96">
        <f>D116+D117-D118-D122</f>
        <v/>
      </c>
      <c r="E125" s="96">
        <f>E116+E117-E118-E122</f>
        <v/>
      </c>
      <c r="F125" s="96">
        <f>F116+F117-F118-F122</f>
        <v/>
      </c>
      <c r="G125" s="96">
        <f>G116+G117-G118-G122</f>
        <v/>
      </c>
      <c r="H125" s="96">
        <f>H116+H117-H118-H122</f>
        <v/>
      </c>
      <c r="I125" s="96">
        <f>I116+I117-I118-I122</f>
        <v/>
      </c>
      <c r="J125" s="96">
        <f>J116+J117-J118-J122</f>
        <v/>
      </c>
      <c r="K125" s="96">
        <f>K116+K117-K118-K122</f>
        <v/>
      </c>
      <c r="L125" s="96">
        <f>L116+L117-L118-L122</f>
        <v/>
      </c>
    </row>
    <row r="126" ht="14.25" customHeight="1" s="1">
      <c r="A126" s="99" t="inlineStr">
        <is>
          <t>- Impuestos (30%)</t>
        </is>
      </c>
      <c r="B126" s="100" t="n"/>
      <c r="C126" s="10">
        <f>C125*$B$26</f>
        <v/>
      </c>
      <c r="D126" s="15">
        <f>D125*$B$26</f>
        <v/>
      </c>
      <c r="E126" s="15">
        <f>E125*$B$26</f>
        <v/>
      </c>
      <c r="F126" s="15">
        <f>F125*$B$26</f>
        <v/>
      </c>
      <c r="G126" s="15">
        <f>G125*$B$26</f>
        <v/>
      </c>
      <c r="H126" s="15">
        <f>H125*$B$26</f>
        <v/>
      </c>
      <c r="I126" s="15">
        <f>I125*$B$26</f>
        <v/>
      </c>
      <c r="J126" s="15">
        <f>J125*$B$26</f>
        <v/>
      </c>
      <c r="K126" s="15">
        <f>K125*$B$26</f>
        <v/>
      </c>
      <c r="L126" s="101">
        <f>L125*$B$26</f>
        <v/>
      </c>
    </row>
    <row r="127" ht="14.25" customHeight="1" s="1">
      <c r="A127" s="94" t="inlineStr">
        <is>
          <t>= Utilidad después de impuestos</t>
        </is>
      </c>
      <c r="B127" s="95" t="n"/>
      <c r="C127" s="96">
        <f>C125-C126</f>
        <v/>
      </c>
      <c r="D127" s="96">
        <f>D125-D126</f>
        <v/>
      </c>
      <c r="E127" s="96">
        <f>E125-E126</f>
        <v/>
      </c>
      <c r="F127" s="96">
        <f>F125-F126</f>
        <v/>
      </c>
      <c r="G127" s="96">
        <f>G125-G126</f>
        <v/>
      </c>
      <c r="H127" s="96">
        <f>H125-H126</f>
        <v/>
      </c>
      <c r="I127" s="96">
        <f>I125-I126</f>
        <v/>
      </c>
      <c r="J127" s="96">
        <f>J125-J126</f>
        <v/>
      </c>
      <c r="K127" s="96">
        <f>K125-K126</f>
        <v/>
      </c>
      <c r="L127" s="97">
        <f>L125-L126</f>
        <v/>
      </c>
    </row>
    <row r="128" ht="14.25" customHeight="1" s="1">
      <c r="A128" s="98" t="inlineStr">
        <is>
          <t>+ Gastos no desembolsables</t>
        </is>
      </c>
      <c r="B128" s="95" t="n"/>
      <c r="C128" s="96">
        <f>SUM(C129:C130)</f>
        <v/>
      </c>
      <c r="D128" s="96">
        <f>SUM(D129:D130)</f>
        <v/>
      </c>
      <c r="E128" s="96">
        <f>SUM(E129:E130)</f>
        <v/>
      </c>
      <c r="F128" s="96">
        <f>SUM(F129:F130)</f>
        <v/>
      </c>
      <c r="G128" s="96">
        <f>SUM(G129:G130)</f>
        <v/>
      </c>
      <c r="H128" s="96">
        <f>SUM(H129:H130)</f>
        <v/>
      </c>
      <c r="I128" s="96">
        <f>SUM(I129:I130)</f>
        <v/>
      </c>
      <c r="J128" s="96">
        <f>SUM(J129:J130)</f>
        <v/>
      </c>
      <c r="K128" s="96">
        <f>SUM(K129:K130)</f>
        <v/>
      </c>
      <c r="L128" s="97">
        <f>SUM(L129:L130)</f>
        <v/>
      </c>
    </row>
    <row r="129" ht="14.25" customHeight="1" s="1">
      <c r="A129" s="99" t="inlineStr">
        <is>
          <t xml:space="preserve">     Depreciación de activos</t>
        </is>
      </c>
      <c r="B129" s="100" t="n"/>
      <c r="C129" s="15">
        <f>C123</f>
        <v/>
      </c>
      <c r="D129" s="15">
        <f>D123</f>
        <v/>
      </c>
      <c r="E129" s="15">
        <f>E123</f>
        <v/>
      </c>
      <c r="F129" s="15">
        <f>F123</f>
        <v/>
      </c>
      <c r="G129" s="15">
        <f>G123</f>
        <v/>
      </c>
      <c r="H129" s="15">
        <f>H123</f>
        <v/>
      </c>
      <c r="I129" s="15">
        <f>I123</f>
        <v/>
      </c>
      <c r="J129" s="15">
        <f>J123</f>
        <v/>
      </c>
      <c r="K129" s="15">
        <f>K123</f>
        <v/>
      </c>
      <c r="L129" s="101">
        <f>L123</f>
        <v/>
      </c>
    </row>
    <row r="130" ht="14.25" customHeight="1" s="1">
      <c r="A130" s="99" t="inlineStr">
        <is>
          <t xml:space="preserve">     Amortización de pre-operativos</t>
        </is>
      </c>
      <c r="B130" s="100" t="n"/>
      <c r="C130" s="15">
        <f>C124</f>
        <v/>
      </c>
      <c r="D130" s="15">
        <f>D124</f>
        <v/>
      </c>
      <c r="E130" s="15">
        <f>E124</f>
        <v/>
      </c>
      <c r="F130" s="15">
        <f>F124</f>
        <v/>
      </c>
      <c r="G130" s="15">
        <f>G124</f>
        <v/>
      </c>
      <c r="H130" s="15">
        <f>H124</f>
        <v/>
      </c>
      <c r="I130" s="15">
        <f>I124</f>
        <v/>
      </c>
      <c r="J130" s="15">
        <f>J124</f>
        <v/>
      </c>
      <c r="K130" s="15">
        <f>K124</f>
        <v/>
      </c>
      <c r="L130" s="101">
        <f>L124</f>
        <v/>
      </c>
    </row>
    <row r="131" ht="14.25" customHeight="1" s="1">
      <c r="A131" s="94" t="inlineStr">
        <is>
          <t>+ Ingresos no sujetos a impuestos</t>
        </is>
      </c>
      <c r="B131" s="96">
        <f>SUM(B132:B134)</f>
        <v/>
      </c>
      <c r="C131" s="96">
        <f>SUM(C132:C134)</f>
        <v/>
      </c>
      <c r="D131" s="96">
        <f>SUM(D132:D134)</f>
        <v/>
      </c>
      <c r="E131" s="96">
        <f>SUM(E132:E134)</f>
        <v/>
      </c>
      <c r="F131" s="96">
        <f>SUM(F132:F134)</f>
        <v/>
      </c>
      <c r="G131" s="96">
        <f>SUM(G132:G134)</f>
        <v/>
      </c>
      <c r="H131" s="96">
        <f>SUM(H132:H134)</f>
        <v/>
      </c>
      <c r="I131" s="96">
        <f>SUM(I132:I134)</f>
        <v/>
      </c>
      <c r="J131" s="96">
        <f>SUM(J132:J134)</f>
        <v/>
      </c>
      <c r="K131" s="96">
        <f>SUM(K132:K134)</f>
        <v/>
      </c>
      <c r="L131" s="97">
        <f>SUM(L132:L134)</f>
        <v/>
      </c>
    </row>
    <row r="132" ht="14.25" customHeight="1" s="1">
      <c r="A132" s="99" t="inlineStr">
        <is>
          <t xml:space="preserve">     Valor de desecho</t>
        </is>
      </c>
      <c r="B132" s="100" t="n"/>
      <c r="C132" s="100" t="n"/>
      <c r="D132" s="100" t="n"/>
      <c r="E132" s="100" t="n"/>
      <c r="F132" s="100" t="n"/>
      <c r="G132" s="100" t="n"/>
      <c r="H132" s="100" t="n"/>
      <c r="I132" s="100" t="n"/>
      <c r="J132" s="100" t="n"/>
      <c r="K132" s="100" t="n"/>
      <c r="L132" s="101">
        <f>M98</f>
        <v/>
      </c>
    </row>
    <row r="133" ht="14.25" customHeight="1" s="1">
      <c r="A133" s="99" t="inlineStr">
        <is>
          <t xml:space="preserve">     Recuperación del capital de trabajo</t>
        </is>
      </c>
      <c r="B133" s="100" t="n"/>
      <c r="C133" s="100" t="n"/>
      <c r="D133" s="100" t="n"/>
      <c r="E133" s="100" t="n"/>
      <c r="F133" s="100" t="n"/>
      <c r="G133" s="100" t="n"/>
      <c r="H133" s="100" t="n"/>
      <c r="I133" s="100" t="n"/>
      <c r="J133" s="100" t="n"/>
      <c r="K133" s="100" t="n"/>
      <c r="L133" s="101">
        <f>-L77</f>
        <v/>
      </c>
    </row>
    <row r="134" ht="14.25" customHeight="1" s="1">
      <c r="A134" s="99" t="inlineStr">
        <is>
          <t xml:space="preserve">     Préstamo bancario</t>
        </is>
      </c>
      <c r="B134" s="15">
        <f>B102</f>
        <v/>
      </c>
      <c r="C134" s="100" t="n"/>
      <c r="D134" s="100" t="n"/>
      <c r="E134" s="100" t="n"/>
      <c r="F134" s="100" t="n"/>
      <c r="G134" s="100" t="n"/>
      <c r="H134" s="100" t="n"/>
      <c r="I134" s="100" t="n"/>
      <c r="J134" s="100" t="n"/>
      <c r="K134" s="100" t="n"/>
      <c r="L134" s="102" t="n"/>
    </row>
    <row r="135" ht="14.25" customHeight="1" s="1">
      <c r="A135" s="94" t="inlineStr">
        <is>
          <t>- Egresos no deducibles de impuestos</t>
        </is>
      </c>
      <c r="B135" s="96">
        <f>SUM(B136:B139)</f>
        <v/>
      </c>
      <c r="C135" s="96">
        <f>SUM(C136:C139)</f>
        <v/>
      </c>
      <c r="D135" s="96">
        <f>SUM(D136:D139)</f>
        <v/>
      </c>
      <c r="E135" s="96">
        <f>SUM(E136:E139)</f>
        <v/>
      </c>
      <c r="F135" s="96">
        <f>SUM(F136:F139)</f>
        <v/>
      </c>
      <c r="G135" s="96">
        <f>SUM(G136:G139)</f>
        <v/>
      </c>
      <c r="H135" s="96">
        <f>SUM(H136:H139)</f>
        <v/>
      </c>
      <c r="I135" s="96">
        <f>SUM(I136:I139)</f>
        <v/>
      </c>
      <c r="J135" s="96">
        <f>SUM(J136:J139)</f>
        <v/>
      </c>
      <c r="K135" s="96">
        <f>SUM(K136:K139)</f>
        <v/>
      </c>
      <c r="L135" s="97">
        <f>SUM(L136:L139)</f>
        <v/>
      </c>
    </row>
    <row r="136" ht="14.25" customHeight="1" s="1">
      <c r="A136" s="99" t="inlineStr">
        <is>
          <t xml:space="preserve">     Activos (inv. 20 años, 10 años, 5 años, terreno)</t>
        </is>
      </c>
      <c r="B136" s="96">
        <f>SUM(B69:B72)</f>
        <v/>
      </c>
      <c r="C136" s="95" t="n"/>
      <c r="D136" s="95" t="n"/>
      <c r="E136" s="95" t="n"/>
      <c r="F136" s="95" t="n"/>
      <c r="G136" s="96">
        <f>G69</f>
        <v/>
      </c>
      <c r="H136" s="95" t="n"/>
      <c r="I136" s="95" t="n"/>
      <c r="J136" s="95" t="n"/>
      <c r="K136" s="95" t="n"/>
      <c r="L136" s="103" t="n"/>
    </row>
    <row r="137" ht="14.25" customHeight="1" s="1">
      <c r="A137" s="99" t="inlineStr">
        <is>
          <t xml:space="preserve">     Gastos de puesta en marcha (pre-operativos)</t>
        </is>
      </c>
      <c r="B137" s="15">
        <f>B74</f>
        <v/>
      </c>
      <c r="C137" s="100" t="n"/>
      <c r="D137" s="100" t="n"/>
      <c r="E137" s="100" t="n"/>
      <c r="F137" s="100" t="n"/>
      <c r="G137" s="100" t="n"/>
      <c r="H137" s="100" t="n"/>
      <c r="I137" s="100" t="n"/>
      <c r="J137" s="100" t="n"/>
      <c r="K137" s="100" t="n"/>
      <c r="L137" s="102" t="n"/>
    </row>
    <row r="138" ht="14.25" customHeight="1" s="1">
      <c r="A138" s="99" t="inlineStr">
        <is>
          <t xml:space="preserve">     Inversión en capital de trabajo</t>
        </is>
      </c>
      <c r="B138" s="15">
        <f>B76</f>
        <v/>
      </c>
      <c r="C138" s="15">
        <f>C76</f>
        <v/>
      </c>
      <c r="D138" s="15">
        <f>D76</f>
        <v/>
      </c>
      <c r="E138" s="15">
        <f>E76</f>
        <v/>
      </c>
      <c r="F138" s="15">
        <f>F76</f>
        <v/>
      </c>
      <c r="G138" s="15">
        <f>G76</f>
        <v/>
      </c>
      <c r="H138" s="15">
        <f>H76</f>
        <v/>
      </c>
      <c r="I138" s="15">
        <f>I76</f>
        <v/>
      </c>
      <c r="J138" s="15">
        <f>J76</f>
        <v/>
      </c>
      <c r="K138" s="15">
        <f>K76</f>
        <v/>
      </c>
      <c r="L138" s="100" t="n"/>
    </row>
    <row r="139" ht="14.25" customHeight="1" s="1">
      <c r="A139" s="99" t="inlineStr">
        <is>
          <t xml:space="preserve">     Pago préstamo bancario</t>
        </is>
      </c>
      <c r="B139" s="100" t="n"/>
      <c r="C139" s="15">
        <f>C111</f>
        <v/>
      </c>
      <c r="D139" s="15">
        <f>D111</f>
        <v/>
      </c>
      <c r="E139" s="15">
        <f>E111</f>
        <v/>
      </c>
      <c r="F139" s="15">
        <f>F111</f>
        <v/>
      </c>
      <c r="G139" s="15">
        <f>G111</f>
        <v/>
      </c>
      <c r="H139" s="15">
        <f>H111</f>
        <v/>
      </c>
      <c r="I139" s="15">
        <f>I111</f>
        <v/>
      </c>
      <c r="J139" s="15">
        <f>J111</f>
        <v/>
      </c>
      <c r="K139" s="15">
        <f>K111</f>
        <v/>
      </c>
      <c r="L139" s="101">
        <f>L111</f>
        <v/>
      </c>
    </row>
    <row r="140" ht="14.25" customHeight="1" s="1">
      <c r="A140" s="104" t="inlineStr">
        <is>
          <t>= Flujo de caja</t>
        </is>
      </c>
      <c r="B140" s="53">
        <f>B127+B128+B131-B135</f>
        <v/>
      </c>
      <c r="C140" s="53">
        <f>C127+C128+C131-C135</f>
        <v/>
      </c>
      <c r="D140" s="53">
        <f>D127+D128+D131-D135</f>
        <v/>
      </c>
      <c r="E140" s="53">
        <f>E127+E128+E131-E135</f>
        <v/>
      </c>
      <c r="F140" s="53">
        <f>F127+F128+F131-F135</f>
        <v/>
      </c>
      <c r="G140" s="53">
        <f>G127+G128+G131-G135</f>
        <v/>
      </c>
      <c r="H140" s="53">
        <f>H127+H128+H131-H135</f>
        <v/>
      </c>
      <c r="I140" s="53">
        <f>I127+I128+I131-I135</f>
        <v/>
      </c>
      <c r="J140" s="53">
        <f>J127+J128+J131-J135</f>
        <v/>
      </c>
      <c r="K140" s="53">
        <f>K127+K128+K131-K135</f>
        <v/>
      </c>
      <c r="L140" s="53">
        <f>L127+L128+L131-L135</f>
        <v/>
      </c>
    </row>
    <row r="141" ht="14.25" customHeight="1" s="1">
      <c r="A141" s="152" t="inlineStr">
        <is>
          <t>Flujo de caja acumulado (PRI)</t>
        </is>
      </c>
    </row>
    <row r="142" ht="14.25" customHeight="1" s="1">
      <c r="A142" s="153" t="inlineStr">
        <is>
          <t xml:space="preserve">     Flujo acumulado</t>
        </is>
      </c>
      <c r="B142" s="53">
        <f>B140</f>
        <v/>
      </c>
      <c r="C142" s="53">
        <f>B142+C140</f>
        <v/>
      </c>
      <c r="D142" s="53">
        <f>C142+D140</f>
        <v/>
      </c>
      <c r="E142" s="53">
        <f>D142+E140</f>
        <v/>
      </c>
      <c r="F142" s="53">
        <f>E142+F140</f>
        <v/>
      </c>
      <c r="G142" s="53">
        <f>F142+G140</f>
        <v/>
      </c>
      <c r="H142" s="53">
        <f>G142+H140</f>
        <v/>
      </c>
      <c r="I142" s="53">
        <f>H142+I140</f>
        <v/>
      </c>
      <c r="J142" s="53">
        <f>I142+J140</f>
        <v/>
      </c>
      <c r="K142" s="53">
        <f>J142+K140</f>
        <v/>
      </c>
      <c r="L142" s="53">
        <f>K142+L140</f>
        <v/>
      </c>
    </row>
    <row r="143" ht="14.25" customHeight="1" s="1">
      <c r="A143" s="152" t="inlineStr">
        <is>
          <t>Flujo descontado acumulado (PRID)</t>
        </is>
      </c>
    </row>
    <row r="144" ht="14.25" customHeight="1" s="1">
      <c r="A144" s="153" t="inlineStr">
        <is>
          <t xml:space="preserve">     Flujo desc. acumulado</t>
        </is>
      </c>
      <c r="B144" s="53">
        <f>B140</f>
        <v/>
      </c>
      <c r="C144" s="53">
        <f>B144+C140/(1+B25)^1</f>
        <v/>
      </c>
      <c r="D144" s="53">
        <f>C144+D140/(1+B25)^2</f>
        <v/>
      </c>
      <c r="E144" s="53">
        <f>D144+E140/(1+B25)^3</f>
        <v/>
      </c>
      <c r="F144" s="53">
        <f>E144+F140/(1+B25)^4</f>
        <v/>
      </c>
      <c r="G144" s="53">
        <f>F144+G140/(1+B25)^5</f>
        <v/>
      </c>
      <c r="H144" s="53">
        <f>G144+H140/(1+B25)^6</f>
        <v/>
      </c>
      <c r="I144" s="53">
        <f>H144+I140/(1+B25)^7</f>
        <v/>
      </c>
      <c r="J144" s="53">
        <f>I144+J140/(1+B25)^8</f>
        <v/>
      </c>
      <c r="K144" s="53">
        <f>J144+K140/(1+B25)^9</f>
        <v/>
      </c>
      <c r="L144" s="53">
        <f>K144+L140/(1+B25)^10</f>
        <v/>
      </c>
    </row>
    <row r="145" ht="14.25" customHeight="1" s="1">
      <c r="A145" s="154" t="n"/>
      <c r="B145" s="21" t="n"/>
      <c r="F145" s="106" t="n"/>
    </row>
    <row r="146" ht="14.25" customHeight="1" s="1">
      <c r="A146" s="22" t="inlineStr">
        <is>
          <t>10. Costo del capital</t>
        </is>
      </c>
    </row>
    <row r="147" ht="14.25" customHeight="1" s="1">
      <c r="B147" s="107" t="inlineStr">
        <is>
          <t>Participación ($)</t>
        </is>
      </c>
      <c r="C147" s="107" t="inlineStr">
        <is>
          <t>Participación (%)</t>
        </is>
      </c>
      <c r="D147" s="107" t="inlineStr">
        <is>
          <t>Costo</t>
        </is>
      </c>
      <c r="E147" s="107" t="inlineStr">
        <is>
          <t>Costo promedio</t>
        </is>
      </c>
    </row>
    <row r="148" ht="14.25" customHeight="1" s="1">
      <c r="A148" s="4" t="inlineStr">
        <is>
          <t>Préstamo bancario</t>
        </is>
      </c>
      <c r="B148" s="147">
        <f>B77</f>
        <v/>
      </c>
      <c r="C148" s="149" t="n">
        <v>0</v>
      </c>
      <c r="D148" s="149" t="n">
        <v>0</v>
      </c>
      <c r="E148" s="149" t="n">
        <v>0</v>
      </c>
    </row>
    <row r="149" ht="18" customHeight="1" s="1">
      <c r="A149" s="4" t="inlineStr">
        <is>
          <t>Fondos propios</t>
        </is>
      </c>
      <c r="B149" s="148">
        <f>B77</f>
        <v/>
      </c>
      <c r="C149" s="150" t="n">
        <v>1</v>
      </c>
      <c r="D149" s="149">
        <f>B25</f>
        <v/>
      </c>
      <c r="E149" s="150">
        <f>C149*D149</f>
        <v/>
      </c>
    </row>
    <row r="150" ht="14.25" customHeight="1" s="1">
      <c r="B150" s="147">
        <f>B148+B149</f>
        <v/>
      </c>
      <c r="C150" s="149">
        <f>C148+C149</f>
        <v/>
      </c>
      <c r="D150" s="108" t="n"/>
      <c r="E150" s="149">
        <f>E148+E149</f>
        <v/>
      </c>
    </row>
    <row r="152" ht="14.25" customHeight="1" s="1">
      <c r="A152" s="22" t="inlineStr">
        <is>
          <t>11. Indicadores financieros</t>
        </is>
      </c>
    </row>
    <row r="153" ht="14.25" customHeight="1" s="1">
      <c r="A153" s="109" t="inlineStr">
        <is>
          <t>VAN(19%) =</t>
        </is>
      </c>
      <c r="B153" s="110">
        <f>RiskOutput("VAN - Sin Financiamiento")+NPV(B25,C140:L140)+B140</f>
        <v/>
      </c>
    </row>
    <row r="154" ht="14.25" customHeight="1" s="1">
      <c r="A154" s="109" t="inlineStr">
        <is>
          <t>TIR =</t>
        </is>
      </c>
      <c r="B154" s="151">
        <f>RiskOutput("TIR - Sin Financiamiento")+IRR(B140:L140)</f>
        <v/>
      </c>
    </row>
    <row r="155" ht="14.25" customHeight="1" s="1">
      <c r="A155" s="109" t="inlineStr">
        <is>
          <t>PRI =</t>
        </is>
      </c>
      <c r="B155" s="112">
        <f>IFERROR(MATCH(1,INDEX((C142:L142&gt;=0)*1,0),0),"&gt;10")</f>
        <v/>
      </c>
    </row>
    <row r="156" ht="14.25" customHeight="1" s="1">
      <c r="A156" s="109" t="inlineStr">
        <is>
          <t>PRID =</t>
        </is>
      </c>
      <c r="B156" s="112">
        <f>IFERROR(MATCH(1,INDEX((C144:L144&gt;=0)*1,0),0),"&gt;10")</f>
        <v/>
      </c>
    </row>
    <row r="157" ht="14.25" customHeight="1" s="1">
      <c r="A157" s="109" t="inlineStr">
        <is>
          <t>ID =</t>
        </is>
      </c>
      <c r="B157" s="142">
        <f>(NPV(B25,C140:L140)+B140+ABS(B140))/ABS(B140)</f>
        <v/>
      </c>
    </row>
    <row r="158" ht="14.25" customHeight="1" s="1">
      <c r="B158" s="21" t="n"/>
    </row>
    <row r="159" ht="14.25" customHeight="1" s="1">
      <c r="B159" s="21" t="n"/>
    </row>
    <row r="160" ht="14.25" customHeight="1" s="1">
      <c r="A160" s="105" t="n"/>
      <c r="B160" s="113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</row>
    <row r="161" ht="14.25" customHeight="1" s="1">
      <c r="A161" s="105" t="n"/>
      <c r="B161" s="113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</row>
    <row r="162" ht="14.25" customHeight="1" s="1">
      <c r="A162" s="105" t="n"/>
      <c r="B162" s="113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</row>
    <row r="163" ht="14.25" customHeight="1" s="1">
      <c r="A163" s="105" t="n"/>
      <c r="B163" s="113" t="n"/>
      <c r="C163" s="115" t="n"/>
      <c r="D163" s="115" t="n"/>
      <c r="E163" s="115" t="n"/>
      <c r="F163" s="115" t="n"/>
      <c r="G163" s="115" t="n"/>
      <c r="H163" s="115" t="n"/>
      <c r="I163" s="115" t="n"/>
      <c r="J163" s="115" t="n"/>
      <c r="K163" s="115" t="n"/>
      <c r="L163" s="115" t="n"/>
    </row>
    <row r="164" ht="14.25" customHeight="1" s="1">
      <c r="B164" s="21" t="n"/>
    </row>
    <row r="165" ht="14.25" customHeight="1" s="1">
      <c r="B165" s="21" t="n"/>
    </row>
    <row r="166" ht="14.25" customHeight="1" s="1">
      <c r="B166" s="21" t="n"/>
    </row>
  </sheetData>
  <mergeCells count="9">
    <mergeCell ref="A50:H50"/>
    <mergeCell ref="N9:Q11"/>
    <mergeCell ref="A55:H55"/>
    <mergeCell ref="A98:L98"/>
    <mergeCell ref="A92:A93"/>
    <mergeCell ref="N3:Q3"/>
    <mergeCell ref="C92:L92"/>
    <mergeCell ref="D3:I3"/>
    <mergeCell ref="B105:C105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rgb="FF00B050"/>
    <outlinePr summaryBelow="1" summaryRight="1"/>
    <pageSetUpPr/>
  </sheetPr>
  <dimension ref="A1:V166"/>
  <sheetViews>
    <sheetView workbookViewId="0">
      <selection activeCell="A1" sqref="A1"/>
    </sheetView>
  </sheetViews>
  <sheetFormatPr baseColWidth="10" defaultColWidth="8.6640625" defaultRowHeight="14.4"/>
  <cols>
    <col width="42.44140625" customWidth="1" style="1" min="1" max="1"/>
    <col width="15.5546875" customWidth="1" style="1" min="2" max="2"/>
    <col width="16.109375" customWidth="1" style="1" min="3" max="3"/>
    <col width="15.44140625" customWidth="1" style="1" min="4" max="8"/>
    <col width="15.5546875" customWidth="1" style="1" min="9" max="11"/>
    <col width="15.44140625" customWidth="1" style="1" min="12" max="12"/>
    <col width="13.5546875" customWidth="1" style="1" min="13" max="13"/>
    <col width="28" customWidth="1" style="1" min="14" max="14"/>
    <col width="13" customWidth="1" style="1" min="15" max="15"/>
    <col width="16" customWidth="1" style="1" min="16" max="16"/>
    <col width="18" customWidth="1" style="1" min="17" max="17"/>
    <col width="25.109375" customWidth="1" style="1" min="18" max="18"/>
    <col width="11.6640625" customWidth="1" style="1" min="19" max="19"/>
    <col width="13.44140625" customWidth="1" style="1" min="20" max="20"/>
    <col width="8.44140625" customWidth="1" style="1" min="21" max="21"/>
    <col width="10.6640625" customWidth="1" style="1" min="22" max="22"/>
  </cols>
  <sheetData>
    <row r="1" ht="15" customHeight="1" s="1">
      <c r="A1" s="2" t="inlineStr">
        <is>
          <t>Camaronera Industrial</t>
        </is>
      </c>
    </row>
    <row r="3" ht="14.25" customHeight="1" s="1">
      <c r="A3" s="3" t="inlineStr">
        <is>
          <t>Variables</t>
        </is>
      </c>
      <c r="D3" s="176" t="inlineStr">
        <is>
          <t>VARIABLES ESTOCASTICAS @RISK  -&gt;  ver columnas N:Q</t>
        </is>
      </c>
      <c r="N3" s="177" t="inlineStr">
        <is>
          <t>VARIABLES ESTOCÁSTICAS (@RISK)</t>
        </is>
      </c>
    </row>
    <row r="4" ht="14.25" customHeight="1" s="1">
      <c r="A4" s="4" t="inlineStr">
        <is>
          <t>Horizonte de evaluación (años)</t>
        </is>
      </c>
      <c r="B4" s="4" t="n">
        <v>10</v>
      </c>
      <c r="N4" s="178" t="inlineStr">
        <is>
          <t>Variable de entrada</t>
        </is>
      </c>
      <c r="O4" s="178" t="inlineStr">
        <is>
          <t>Distribución</t>
        </is>
      </c>
      <c r="P4" s="178" t="inlineStr">
        <is>
          <t>Valor (@RISK)</t>
        </is>
      </c>
      <c r="Q4" s="178" t="inlineStr">
        <is>
          <t>Rango (caso)</t>
        </is>
      </c>
    </row>
    <row r="5" ht="14.25" customHeight="1" s="1">
      <c r="A5" s="4" t="inlineStr">
        <is>
          <t>Devaluación</t>
        </is>
      </c>
      <c r="B5" s="5" t="n">
        <v>0.05</v>
      </c>
      <c r="N5" s="179" t="inlineStr">
        <is>
          <t>Inversión total (factor)</t>
        </is>
      </c>
      <c r="O5" s="180" t="inlineStr">
        <is>
          <t>Uniforme</t>
        </is>
      </c>
      <c r="P5" s="181">
        <f>RiskUniform(0.95,1.1,RiskStatic(1),RiskName("Factor de inversión"))</f>
        <v/>
      </c>
      <c r="Q5" s="180" t="inlineStr">
        <is>
          <t>-5% / +10%</t>
        </is>
      </c>
    </row>
    <row r="6" ht="14.25" customHeight="1" s="1">
      <c r="A6" s="4" t="inlineStr">
        <is>
          <t>Inflación</t>
        </is>
      </c>
      <c r="B6" s="5" t="n">
        <v>0.07000000000000001</v>
      </c>
      <c r="N6" s="179" t="inlineStr">
        <is>
          <t>Precio de venta FOB año 1 ($/Lb)</t>
        </is>
      </c>
      <c r="O6" s="180" t="inlineStr">
        <is>
          <t>Triangular</t>
        </is>
      </c>
      <c r="P6" s="182">
        <f>RiskTriang(2.6,3,3.5,RiskStatic(3),RiskName("Precio de venta FOB"))</f>
        <v/>
      </c>
      <c r="Q6" s="180" t="inlineStr">
        <is>
          <t>2.60 / 3.00 / 3.50</t>
        </is>
      </c>
    </row>
    <row r="7" ht="14.25" customHeight="1" s="1">
      <c r="B7" s="6" t="inlineStr">
        <is>
          <t>Año 0</t>
        </is>
      </c>
      <c r="C7" s="6" t="inlineStr">
        <is>
          <t>Año 1</t>
        </is>
      </c>
      <c r="D7" s="6" t="inlineStr">
        <is>
          <t>Año 2</t>
        </is>
      </c>
      <c r="E7" s="6" t="inlineStr">
        <is>
          <t>Año 3</t>
        </is>
      </c>
      <c r="F7" s="6" t="inlineStr">
        <is>
          <t>Año 4</t>
        </is>
      </c>
      <c r="G7" s="6" t="inlineStr">
        <is>
          <t>Año 5</t>
        </is>
      </c>
      <c r="H7" s="6" t="inlineStr">
        <is>
          <t>Año 6</t>
        </is>
      </c>
      <c r="I7" s="6" t="inlineStr">
        <is>
          <t>Año 7</t>
        </is>
      </c>
      <c r="J7" s="6" t="inlineStr">
        <is>
          <t>Año 8</t>
        </is>
      </c>
      <c r="K7" s="6" t="inlineStr">
        <is>
          <t>Año 9</t>
        </is>
      </c>
      <c r="L7" s="6" t="inlineStr">
        <is>
          <t>Año 10</t>
        </is>
      </c>
      <c r="N7" s="179" t="inlineStr">
        <is>
          <t>Producción neta (factor)</t>
        </is>
      </c>
      <c r="O7" s="180" t="inlineStr">
        <is>
          <t>Triangular</t>
        </is>
      </c>
      <c r="P7" s="181">
        <f>RiskTriang(0.8,1,1.1,RiskStatic(1),RiskName("Factor de producción"))</f>
        <v/>
      </c>
      <c r="Q7" s="180" t="inlineStr">
        <is>
          <t>80% / 100% / 110%</t>
        </is>
      </c>
    </row>
    <row r="8" ht="14.25" customHeight="1" s="1">
      <c r="A8" s="4" t="inlineStr">
        <is>
          <t>Área en producción (Ha)</t>
        </is>
      </c>
      <c r="B8" s="7" t="n"/>
      <c r="C8" s="8" t="n">
        <v>750</v>
      </c>
      <c r="D8" s="8" t="n">
        <v>900</v>
      </c>
      <c r="E8" s="8" t="n">
        <v>900</v>
      </c>
      <c r="F8" s="8" t="n">
        <v>900</v>
      </c>
      <c r="G8" s="8" t="n">
        <v>900</v>
      </c>
      <c r="H8" s="8" t="n">
        <v>900</v>
      </c>
      <c r="I8" s="8" t="n">
        <v>900</v>
      </c>
      <c r="J8" s="8" t="n">
        <v>900</v>
      </c>
      <c r="K8" s="8" t="n">
        <v>900</v>
      </c>
      <c r="L8" s="8" t="n">
        <v>900</v>
      </c>
    </row>
    <row r="9" ht="14.25" customHeight="1" s="1">
      <c r="A9" s="4" t="inlineStr">
        <is>
          <t>Producción neta (Lb/Ha/año)</t>
        </is>
      </c>
      <c r="B9" s="7" t="n"/>
      <c r="C9" s="9">
        <f>1225*$P$7</f>
        <v/>
      </c>
      <c r="D9" s="9">
        <f>1470*$P$7</f>
        <v/>
      </c>
      <c r="E9" s="9">
        <f>1715*$P$7</f>
        <v/>
      </c>
      <c r="F9" s="9">
        <f>1960*$P$7</f>
        <v/>
      </c>
      <c r="G9" s="9">
        <f>2205*$P$7</f>
        <v/>
      </c>
      <c r="H9" s="9">
        <f>2205*$P$7</f>
        <v/>
      </c>
      <c r="I9" s="9">
        <f>2205*$P$7</f>
        <v/>
      </c>
      <c r="J9" s="9">
        <f>2205*$P$7</f>
        <v/>
      </c>
      <c r="K9" s="9">
        <f>2205*$P$7</f>
        <v/>
      </c>
      <c r="L9" s="9">
        <f>2205*$P$7</f>
        <v/>
      </c>
      <c r="N9" s="183" t="inlineStr">
        <is>
          <t>Celdas amarillas = variables de incertidumbre del caso. VAN (B153) y TIR (B154) son salidas RiskOutput. Ejecute la simulacion con @RISK (Iniciar simulacion).</t>
        </is>
      </c>
    </row>
    <row r="10" ht="14.25" customHeight="1" s="1">
      <c r="A10" s="4" t="inlineStr">
        <is>
          <t>Producción neta total (Lb/año)</t>
        </is>
      </c>
      <c r="B10" s="7" t="n"/>
      <c r="C10" s="9">
        <f>C9*C8</f>
        <v/>
      </c>
      <c r="D10" s="9">
        <f>D9*D8</f>
        <v/>
      </c>
      <c r="E10" s="9">
        <f>E9*E8</f>
        <v/>
      </c>
      <c r="F10" s="9">
        <f>F9*F8</f>
        <v/>
      </c>
      <c r="G10" s="9">
        <f>G9*G8</f>
        <v/>
      </c>
      <c r="H10" s="9">
        <f>H9*H8</f>
        <v/>
      </c>
      <c r="I10" s="9">
        <f>I9*I8</f>
        <v/>
      </c>
      <c r="J10" s="9">
        <f>J9*J8</f>
        <v/>
      </c>
      <c r="K10" s="9">
        <f>K9*K8</f>
        <v/>
      </c>
      <c r="L10" s="9">
        <f>L9*L8</f>
        <v/>
      </c>
    </row>
    <row r="11" ht="14.25" customHeight="1" s="1">
      <c r="A11" s="4" t="inlineStr">
        <is>
          <t>Tasa de cambio</t>
        </is>
      </c>
      <c r="B11" s="7" t="n"/>
      <c r="C11" s="10" t="n">
        <v>1</v>
      </c>
      <c r="D11" s="10">
        <f>C11+(C11*$B$5)</f>
        <v/>
      </c>
      <c r="E11" s="10">
        <f>D11+(D11*$B$5)</f>
        <v/>
      </c>
      <c r="F11" s="10">
        <f>E11+(E11*$B$5)</f>
        <v/>
      </c>
      <c r="G11" s="10">
        <f>F11+(F11*$B$5)</f>
        <v/>
      </c>
      <c r="H11" s="10">
        <f>G11+(G11*$B$5)</f>
        <v/>
      </c>
      <c r="I11" s="10">
        <f>H11+(H11*$B$5)</f>
        <v/>
      </c>
      <c r="J11" s="10">
        <f>I11+(I11*$B$5)</f>
        <v/>
      </c>
      <c r="K11" s="10">
        <f>J11+(J11*$B$5)</f>
        <v/>
      </c>
      <c r="L11" s="10">
        <f>K11+(K11*$B$5)</f>
        <v/>
      </c>
    </row>
    <row r="12" ht="14.25" customHeight="1" s="1">
      <c r="A12" s="4" t="inlineStr">
        <is>
          <t>Precio de venta FOB ($/Lb)</t>
        </is>
      </c>
      <c r="B12" s="7" t="n"/>
      <c r="C12" s="11">
        <f>$P$6</f>
        <v/>
      </c>
      <c r="D12" s="11">
        <f>C12+(C12*$B$6)</f>
        <v/>
      </c>
      <c r="E12" s="11">
        <f>D12+(D12*$B$6)</f>
        <v/>
      </c>
      <c r="F12" s="11">
        <f>E12+(E12*$B$6)</f>
        <v/>
      </c>
      <c r="G12" s="11">
        <f>F12+(F12*$B$6)</f>
        <v/>
      </c>
      <c r="H12" s="11">
        <f>G12+(G12*$B$6)</f>
        <v/>
      </c>
      <c r="I12" s="11">
        <f>H12+(H12*$B$6)</f>
        <v/>
      </c>
      <c r="J12" s="11">
        <f>I12+(I12*$B$6)</f>
        <v/>
      </c>
      <c r="K12" s="11">
        <f>J12+(J12*$B$6)</f>
        <v/>
      </c>
      <c r="L12" s="11">
        <f>K12+(K12*$B$6)</f>
        <v/>
      </c>
    </row>
    <row r="13" ht="14.25" customHeight="1" s="1">
      <c r="A13" s="4" t="inlineStr">
        <is>
          <t>Capital de trabajo</t>
        </is>
      </c>
      <c r="B13" s="12" t="n"/>
      <c r="C13" s="13" t="n">
        <v>450000</v>
      </c>
      <c r="D13" s="13" t="n">
        <v>250000</v>
      </c>
      <c r="E13" s="13" t="n">
        <v>250000</v>
      </c>
      <c r="F13" s="13" t="n">
        <v>250000</v>
      </c>
      <c r="G13" s="13" t="n">
        <v>250000</v>
      </c>
      <c r="H13" s="13" t="n">
        <v>250000</v>
      </c>
      <c r="I13" s="13" t="n">
        <v>0</v>
      </c>
      <c r="J13" s="13" t="n">
        <v>0</v>
      </c>
      <c r="K13" s="13" t="n">
        <v>0</v>
      </c>
      <c r="L13" s="13" t="n">
        <v>0</v>
      </c>
    </row>
    <row r="14" ht="14.25" customHeight="1" s="1">
      <c r="A14" s="4" t="inlineStr">
        <is>
          <t>Costos variables ($1.45 x Lb)</t>
        </is>
      </c>
      <c r="B14" s="12" t="n"/>
      <c r="C14" s="11">
        <f>1.45</f>
        <v/>
      </c>
      <c r="D14" s="11">
        <f>C14+(C14*$B$6)</f>
        <v/>
      </c>
      <c r="E14" s="11">
        <f>D14+(D14*$B$6)</f>
        <v/>
      </c>
      <c r="F14" s="11">
        <f>E14+(E14*$B$6)</f>
        <v/>
      </c>
      <c r="G14" s="11">
        <f>F14+(F14*$B$6)</f>
        <v/>
      </c>
      <c r="H14" s="11">
        <f>G14+(G14*$B$6)</f>
        <v/>
      </c>
      <c r="I14" s="11">
        <f>H14+(H14*$B$6)</f>
        <v/>
      </c>
      <c r="J14" s="11">
        <f>I14+(I14*$B$6)</f>
        <v/>
      </c>
      <c r="K14" s="11">
        <f>J14+(J14*$B$6)</f>
        <v/>
      </c>
      <c r="L14" s="11">
        <f>K14+(K14*$B$6)</f>
        <v/>
      </c>
    </row>
    <row r="15" ht="14.25" customHeight="1" s="1">
      <c r="A15" s="4" t="inlineStr">
        <is>
          <t>Costos variables anuales</t>
        </is>
      </c>
      <c r="B15" s="14" t="n"/>
      <c r="C15" s="15">
        <f>C14*C10</f>
        <v/>
      </c>
      <c r="D15" s="15">
        <f>D14*D10</f>
        <v/>
      </c>
      <c r="E15" s="15">
        <f>E14*E10</f>
        <v/>
      </c>
      <c r="F15" s="15">
        <f>F14*F10</f>
        <v/>
      </c>
      <c r="G15" s="15">
        <f>G14*G10</f>
        <v/>
      </c>
      <c r="H15" s="15">
        <f>H14*H10</f>
        <v/>
      </c>
      <c r="I15" s="15">
        <f>I14*I10</f>
        <v/>
      </c>
      <c r="J15" s="15">
        <f>J14*J10</f>
        <v/>
      </c>
      <c r="K15" s="15">
        <f>K14*K10</f>
        <v/>
      </c>
      <c r="L15" s="15">
        <f>L14*L10</f>
        <v/>
      </c>
    </row>
    <row r="16" ht="14.25" customHeight="1" s="1">
      <c r="A16" s="4" t="inlineStr">
        <is>
          <t>Costos fijos de producción</t>
        </is>
      </c>
      <c r="B16" s="14" t="n"/>
      <c r="C16" s="15" t="n">
        <v>50000</v>
      </c>
      <c r="D16" s="15">
        <f>C16+(C16*$B$6)</f>
        <v/>
      </c>
      <c r="E16" s="15">
        <f>D16+(D16*$B$6)</f>
        <v/>
      </c>
      <c r="F16" s="15">
        <f>E16+(E16*$B$6)</f>
        <v/>
      </c>
      <c r="G16" s="15">
        <f>F16+(F16*$B$6)</f>
        <v/>
      </c>
      <c r="H16" s="15">
        <f>G16+(G16*$B$6)</f>
        <v/>
      </c>
      <c r="I16" s="15">
        <f>H16+(H16*$B$6)</f>
        <v/>
      </c>
      <c r="J16" s="15">
        <f>I16+(I16*$B$6)</f>
        <v/>
      </c>
      <c r="K16" s="15">
        <f>J16+(J16*$B$6)</f>
        <v/>
      </c>
      <c r="L16" s="15">
        <f>K16+(K16*$B$6)</f>
        <v/>
      </c>
    </row>
    <row r="17" ht="14.25" customHeight="1" s="1">
      <c r="A17" s="4" t="inlineStr">
        <is>
          <t>Gastos administrativos</t>
        </is>
      </c>
      <c r="B17" s="14" t="n"/>
      <c r="C17" s="15" t="n">
        <v>200000</v>
      </c>
      <c r="D17" s="15">
        <f>C17+(C17*$B$6)</f>
        <v/>
      </c>
      <c r="E17" s="15">
        <f>D17+(D17*$B$6)</f>
        <v/>
      </c>
      <c r="F17" s="15">
        <f>E17+(E17*$B$6)</f>
        <v/>
      </c>
      <c r="G17" s="15">
        <f>F17+(F17*$B$6)</f>
        <v/>
      </c>
      <c r="H17" s="15">
        <f>G17+(G17*$B$6)</f>
        <v/>
      </c>
      <c r="I17" s="15">
        <f>H17+(H17*$B$6)</f>
        <v/>
      </c>
      <c r="J17" s="15">
        <f>I17+(I17*$B$6)</f>
        <v/>
      </c>
      <c r="K17" s="15">
        <f>J17+(J17*$B$6)</f>
        <v/>
      </c>
      <c r="L17" s="15">
        <f>K17+(K17*$B$6)</f>
        <v/>
      </c>
    </row>
    <row r="18" ht="14.25" customHeight="1" s="1">
      <c r="K18" s="16" t="n"/>
    </row>
    <row r="19" ht="14.25" customHeight="1" s="1">
      <c r="A19" s="4" t="inlineStr">
        <is>
          <t>Valor residual del terreno</t>
        </is>
      </c>
      <c r="B19" s="17" t="n">
        <v>1250000</v>
      </c>
      <c r="K19" s="16" t="n"/>
    </row>
    <row r="20" ht="14.25" customHeight="1" s="1">
      <c r="A20" s="4" t="inlineStr">
        <is>
          <t>Valor residual de estanques y canales</t>
        </is>
      </c>
      <c r="B20" s="17" t="n">
        <v>1000000</v>
      </c>
      <c r="K20" s="16" t="n"/>
    </row>
    <row r="21" ht="14.25" customHeight="1" s="1">
      <c r="A21" s="4" t="inlineStr">
        <is>
          <t>Valor residual de edificios</t>
        </is>
      </c>
      <c r="B21" s="18" t="n">
        <v>50000</v>
      </c>
      <c r="K21" s="16" t="n"/>
    </row>
    <row r="22" ht="14.25" customHeight="1" s="1">
      <c r="A22" s="4" t="inlineStr">
        <is>
          <t>Tasa de fiananciamiento bancario</t>
        </is>
      </c>
      <c r="B22" s="5" t="n">
        <v>0.1</v>
      </c>
    </row>
    <row r="23" ht="14.25" customHeight="1" s="1">
      <c r="A23" s="4" t="inlineStr">
        <is>
          <t>Plazo del financiamiento bancario (años)</t>
        </is>
      </c>
      <c r="B23" s="19" t="n">
        <v>7</v>
      </c>
    </row>
    <row r="24" ht="14.25" customHeight="1" s="1">
      <c r="A24" s="4" t="inlineStr">
        <is>
          <t>Plazo del financiamiento bancario (valor)</t>
        </is>
      </c>
      <c r="B24" s="20">
        <f>5400000*0.5</f>
        <v/>
      </c>
    </row>
    <row r="25" ht="14.25" customHeight="1" s="1">
      <c r="A25" s="4" t="inlineStr">
        <is>
          <t>Tasa de corte</t>
        </is>
      </c>
      <c r="B25" s="5" t="n">
        <v>0.19</v>
      </c>
    </row>
    <row r="26" ht="14.25" customHeight="1" s="1">
      <c r="A26" s="4" t="inlineStr">
        <is>
          <t>Tasa de ISR</t>
        </is>
      </c>
      <c r="B26" s="5" t="n">
        <v>0.3</v>
      </c>
    </row>
    <row r="27" ht="14.25" customHeight="1" s="1">
      <c r="B27" s="21" t="n"/>
    </row>
    <row r="28" ht="14.25" customHeight="1" s="1">
      <c r="A28" s="22" t="inlineStr">
        <is>
          <t>1. Ingresos del proyecto</t>
        </is>
      </c>
      <c r="B28" s="21" t="n"/>
    </row>
    <row r="29" ht="15.75" customHeight="1" s="1">
      <c r="A29" s="23" t="inlineStr">
        <is>
          <t>Calendario de ingresos (venta del producto)</t>
        </is>
      </c>
      <c r="B29" s="24" t="n"/>
    </row>
    <row r="30" ht="14.25" customHeight="1" s="1">
      <c r="A30" s="161" t="inlineStr">
        <is>
          <t>Concepto</t>
        </is>
      </c>
      <c r="B30" s="26" t="inlineStr">
        <is>
          <t>Año 0</t>
        </is>
      </c>
      <c r="C30" s="26" t="inlineStr">
        <is>
          <t>Año 1</t>
        </is>
      </c>
      <c r="D30" s="26" t="inlineStr">
        <is>
          <t>Año 2</t>
        </is>
      </c>
      <c r="E30" s="26" t="inlineStr">
        <is>
          <t>Año 3</t>
        </is>
      </c>
      <c r="F30" s="26" t="inlineStr">
        <is>
          <t>Año 4</t>
        </is>
      </c>
      <c r="G30" s="26" t="inlineStr">
        <is>
          <t>Año 5</t>
        </is>
      </c>
      <c r="H30" s="26" t="inlineStr">
        <is>
          <t>Año 6</t>
        </is>
      </c>
      <c r="I30" s="26" t="inlineStr">
        <is>
          <t>Año 7</t>
        </is>
      </c>
      <c r="J30" s="26" t="inlineStr">
        <is>
          <t>Año 8</t>
        </is>
      </c>
      <c r="K30" s="26" t="inlineStr">
        <is>
          <t>Año 9</t>
        </is>
      </c>
      <c r="L30" s="27" t="inlineStr">
        <is>
          <t>Año 10</t>
        </is>
      </c>
    </row>
    <row r="31" ht="14.25" customHeight="1" s="1">
      <c r="A31" s="28" t="inlineStr">
        <is>
          <t>Cantidad de camarón (Lb)</t>
        </is>
      </c>
      <c r="B31" s="29" t="n"/>
      <c r="C31" s="30">
        <f>C10</f>
        <v/>
      </c>
      <c r="D31" s="30">
        <f>D10</f>
        <v/>
      </c>
      <c r="E31" s="30">
        <f>E10</f>
        <v/>
      </c>
      <c r="F31" s="30">
        <f>F10</f>
        <v/>
      </c>
      <c r="G31" s="30">
        <f>G10</f>
        <v/>
      </c>
      <c r="H31" s="30">
        <f>H10</f>
        <v/>
      </c>
      <c r="I31" s="30">
        <f>I10</f>
        <v/>
      </c>
      <c r="J31" s="30">
        <f>J10</f>
        <v/>
      </c>
      <c r="K31" s="30">
        <f>K10</f>
        <v/>
      </c>
      <c r="L31" s="31">
        <f>L10</f>
        <v/>
      </c>
    </row>
    <row r="32" ht="14.25" customHeight="1" s="1">
      <c r="A32" s="28" t="inlineStr">
        <is>
          <t>Precio unitario de venta ($/Lb)</t>
        </is>
      </c>
      <c r="B32" s="29" t="n"/>
      <c r="C32" s="32">
        <f>C12</f>
        <v/>
      </c>
      <c r="D32" s="32">
        <f>D12</f>
        <v/>
      </c>
      <c r="E32" s="32">
        <f>E12</f>
        <v/>
      </c>
      <c r="F32" s="32">
        <f>F12</f>
        <v/>
      </c>
      <c r="G32" s="32">
        <f>G12</f>
        <v/>
      </c>
      <c r="H32" s="32">
        <f>H12</f>
        <v/>
      </c>
      <c r="I32" s="32">
        <f>I12</f>
        <v/>
      </c>
      <c r="J32" s="32">
        <f>J12</f>
        <v/>
      </c>
      <c r="K32" s="32">
        <f>K12</f>
        <v/>
      </c>
      <c r="L32" s="33">
        <f>L12</f>
        <v/>
      </c>
    </row>
    <row r="33" ht="15.75" customHeight="1" s="1">
      <c r="A33" s="34" t="inlineStr">
        <is>
          <t>Ingresos</t>
        </is>
      </c>
      <c r="B33" s="35" t="n"/>
      <c r="C33" s="36">
        <f>C32*C31</f>
        <v/>
      </c>
      <c r="D33" s="36">
        <f>D32*D31</f>
        <v/>
      </c>
      <c r="E33" s="36">
        <f>E32*E31</f>
        <v/>
      </c>
      <c r="F33" s="36">
        <f>F32*F31</f>
        <v/>
      </c>
      <c r="G33" s="36">
        <f>G32*G31</f>
        <v/>
      </c>
      <c r="H33" s="36">
        <f>H32*H31</f>
        <v/>
      </c>
      <c r="I33" s="36">
        <f>I32*I31</f>
        <v/>
      </c>
      <c r="J33" s="36">
        <f>J32*J31</f>
        <v/>
      </c>
      <c r="K33" s="36">
        <f>K32*K31</f>
        <v/>
      </c>
      <c r="L33" s="37">
        <f>L32*L31</f>
        <v/>
      </c>
    </row>
    <row r="34" ht="14.25" customHeight="1" s="1">
      <c r="B34" s="21" t="n"/>
    </row>
    <row r="35" ht="14.25" customHeight="1" s="1">
      <c r="A35" s="22" t="inlineStr">
        <is>
          <t>2. Costos variables</t>
        </is>
      </c>
      <c r="B35" s="24" t="n"/>
    </row>
    <row r="36" ht="15.75" customHeight="1" s="1">
      <c r="A36" s="23" t="inlineStr">
        <is>
          <t>Calendario de costos variables</t>
        </is>
      </c>
      <c r="B36" s="24" t="n"/>
    </row>
    <row r="37" ht="14.25" customHeight="1" s="1">
      <c r="A37" s="161" t="inlineStr">
        <is>
          <t>Concepto</t>
        </is>
      </c>
      <c r="B37" s="26" t="inlineStr">
        <is>
          <t>Año 0</t>
        </is>
      </c>
      <c r="C37" s="26" t="inlineStr">
        <is>
          <t>Año 1</t>
        </is>
      </c>
      <c r="D37" s="26" t="inlineStr">
        <is>
          <t>Año 2</t>
        </is>
      </c>
      <c r="E37" s="26" t="inlineStr">
        <is>
          <t>Año 3</t>
        </is>
      </c>
      <c r="F37" s="26" t="inlineStr">
        <is>
          <t>Año 4</t>
        </is>
      </c>
      <c r="G37" s="26" t="inlineStr">
        <is>
          <t>Año 5</t>
        </is>
      </c>
      <c r="H37" s="26" t="inlineStr">
        <is>
          <t>Año 6</t>
        </is>
      </c>
      <c r="I37" s="26" t="inlineStr">
        <is>
          <t>Año 7</t>
        </is>
      </c>
      <c r="J37" s="26" t="inlineStr">
        <is>
          <t>Año 8</t>
        </is>
      </c>
      <c r="K37" s="26" t="inlineStr">
        <is>
          <t>Año 9</t>
        </is>
      </c>
      <c r="L37" s="27" t="inlineStr">
        <is>
          <t>Año 10</t>
        </is>
      </c>
    </row>
    <row r="38" ht="14.25" customHeight="1" s="1">
      <c r="A38" s="28" t="inlineStr">
        <is>
          <t>Costos variables</t>
        </is>
      </c>
      <c r="B38" s="29" t="n"/>
      <c r="C38" s="38">
        <f>C15</f>
        <v/>
      </c>
      <c r="D38" s="38">
        <f>D15</f>
        <v/>
      </c>
      <c r="E38" s="38">
        <f>E15</f>
        <v/>
      </c>
      <c r="F38" s="38">
        <f>F15</f>
        <v/>
      </c>
      <c r="G38" s="38">
        <f>G15</f>
        <v/>
      </c>
      <c r="H38" s="38">
        <f>H15</f>
        <v/>
      </c>
      <c r="I38" s="38">
        <f>I15</f>
        <v/>
      </c>
      <c r="J38" s="38">
        <f>J15</f>
        <v/>
      </c>
      <c r="K38" s="38">
        <f>K15</f>
        <v/>
      </c>
      <c r="L38" s="39">
        <f>L15</f>
        <v/>
      </c>
    </row>
    <row r="39" ht="15.75" customHeight="1" s="1">
      <c r="A39" s="40" t="inlineStr">
        <is>
          <t>Total de costos variables</t>
        </is>
      </c>
      <c r="B39" s="41" t="n"/>
      <c r="C39" s="36">
        <f>C38</f>
        <v/>
      </c>
      <c r="D39" s="36">
        <f>D38</f>
        <v/>
      </c>
      <c r="E39" s="36">
        <f>E38</f>
        <v/>
      </c>
      <c r="F39" s="36">
        <f>F38</f>
        <v/>
      </c>
      <c r="G39" s="36">
        <f>G38</f>
        <v/>
      </c>
      <c r="H39" s="36">
        <f>H38</f>
        <v/>
      </c>
      <c r="I39" s="36">
        <f>I38</f>
        <v/>
      </c>
      <c r="J39" s="36">
        <f>J38</f>
        <v/>
      </c>
      <c r="K39" s="36">
        <f>K38</f>
        <v/>
      </c>
      <c r="L39" s="37">
        <f>L38</f>
        <v/>
      </c>
    </row>
    <row r="40" ht="14.25" customHeight="1" s="1">
      <c r="B40" s="21" t="n"/>
    </row>
    <row r="41" ht="14.25" customHeight="1" s="1">
      <c r="A41" s="22" t="inlineStr">
        <is>
          <t xml:space="preserve">3. Costos  fijos </t>
        </is>
      </c>
      <c r="B41" s="24" t="n"/>
    </row>
    <row r="42" ht="15.75" customHeight="1" s="1">
      <c r="A42" s="23" t="inlineStr">
        <is>
          <t>Calendario de los costos fijos</t>
        </is>
      </c>
      <c r="B42" s="24" t="n"/>
    </row>
    <row r="43" ht="14.25" customHeight="1" s="1">
      <c r="A43" s="161" t="inlineStr">
        <is>
          <t>Concepto</t>
        </is>
      </c>
      <c r="B43" s="26" t="inlineStr">
        <is>
          <t>Año 0</t>
        </is>
      </c>
      <c r="C43" s="26" t="inlineStr">
        <is>
          <t>Año 1</t>
        </is>
      </c>
      <c r="D43" s="26" t="inlineStr">
        <is>
          <t>Año 2</t>
        </is>
      </c>
      <c r="E43" s="26" t="inlineStr">
        <is>
          <t>Año 3</t>
        </is>
      </c>
      <c r="F43" s="26" t="inlineStr">
        <is>
          <t>Año 4</t>
        </is>
      </c>
      <c r="G43" s="26" t="inlineStr">
        <is>
          <t>Año 5</t>
        </is>
      </c>
      <c r="H43" s="26" t="inlineStr">
        <is>
          <t>Año 6</t>
        </is>
      </c>
      <c r="I43" s="26" t="inlineStr">
        <is>
          <t>Año 7</t>
        </is>
      </c>
      <c r="J43" s="26" t="inlineStr">
        <is>
          <t>Año 8</t>
        </is>
      </c>
      <c r="K43" s="26" t="inlineStr">
        <is>
          <t>Año 9</t>
        </is>
      </c>
      <c r="L43" s="27" t="inlineStr">
        <is>
          <t>Año 10</t>
        </is>
      </c>
    </row>
    <row r="44" ht="14.25" customHeight="1" s="1">
      <c r="A44" s="28" t="inlineStr">
        <is>
          <t>Costos fijos de producción</t>
        </is>
      </c>
      <c r="B44" s="29" t="n"/>
      <c r="C44" s="38">
        <f>C16</f>
        <v/>
      </c>
      <c r="D44" s="38">
        <f>D16</f>
        <v/>
      </c>
      <c r="E44" s="38">
        <f>E16</f>
        <v/>
      </c>
      <c r="F44" s="38">
        <f>F16</f>
        <v/>
      </c>
      <c r="G44" s="38">
        <f>G16</f>
        <v/>
      </c>
      <c r="H44" s="38">
        <f>H16</f>
        <v/>
      </c>
      <c r="I44" s="38">
        <f>I16</f>
        <v/>
      </c>
      <c r="J44" s="38">
        <f>J16</f>
        <v/>
      </c>
      <c r="K44" s="38">
        <f>K16</f>
        <v/>
      </c>
      <c r="L44" s="39">
        <f>L16</f>
        <v/>
      </c>
    </row>
    <row r="45" ht="14.25" customHeight="1" s="1">
      <c r="A45" s="28" t="inlineStr">
        <is>
          <t>Gastos administrativos</t>
        </is>
      </c>
      <c r="B45" s="29" t="n"/>
      <c r="C45" s="38">
        <f>C17</f>
        <v/>
      </c>
      <c r="D45" s="38">
        <f>D17</f>
        <v/>
      </c>
      <c r="E45" s="38">
        <f>E17</f>
        <v/>
      </c>
      <c r="F45" s="38">
        <f>F17</f>
        <v/>
      </c>
      <c r="G45" s="38">
        <f>G17</f>
        <v/>
      </c>
      <c r="H45" s="38">
        <f>H17</f>
        <v/>
      </c>
      <c r="I45" s="38">
        <f>I17</f>
        <v/>
      </c>
      <c r="J45" s="38">
        <f>J17</f>
        <v/>
      </c>
      <c r="K45" s="38">
        <f>K17</f>
        <v/>
      </c>
      <c r="L45" s="39">
        <f>L17</f>
        <v/>
      </c>
    </row>
    <row r="46" ht="15.75" customHeight="1" s="1">
      <c r="A46" s="40" t="inlineStr">
        <is>
          <t>Total de costos fijos</t>
        </is>
      </c>
      <c r="B46" s="41" t="n"/>
      <c r="C46" s="36">
        <f>SUM(C44:C45)</f>
        <v/>
      </c>
      <c r="D46" s="36">
        <f>SUM(D44:D45)</f>
        <v/>
      </c>
      <c r="E46" s="36">
        <f>SUM(E44:E45)</f>
        <v/>
      </c>
      <c r="F46" s="36">
        <f>SUM(F44:F45)</f>
        <v/>
      </c>
      <c r="G46" s="36">
        <f>SUM(G44:G45)</f>
        <v/>
      </c>
      <c r="H46" s="36">
        <f>SUM(H44:H45)</f>
        <v/>
      </c>
      <c r="I46" s="36">
        <f>SUM(I44:I45)</f>
        <v/>
      </c>
      <c r="J46" s="36">
        <f>SUM(J44:J45)</f>
        <v/>
      </c>
      <c r="K46" s="36">
        <f>SUM(K44:K45)</f>
        <v/>
      </c>
      <c r="L46" s="37">
        <f>SUM(L44:L45)</f>
        <v/>
      </c>
    </row>
    <row r="47" ht="14.25" customHeight="1" s="1">
      <c r="B47" s="21" t="n"/>
    </row>
    <row r="48" ht="14.25" customHeight="1" s="1">
      <c r="A48" s="22" t="inlineStr">
        <is>
          <t>4. Capital de trabajo</t>
        </is>
      </c>
      <c r="B48" s="42" t="n"/>
      <c r="C48" s="43" t="n"/>
      <c r="D48" s="43" t="n"/>
      <c r="E48" s="43" t="n"/>
      <c r="F48" s="43" t="n"/>
      <c r="G48" s="43" t="n"/>
      <c r="H48" s="43" t="n"/>
    </row>
    <row r="49" ht="14.25" customHeight="1" s="1">
      <c r="A49" s="44" t="inlineStr">
        <is>
          <t>Capital de trabajo</t>
        </is>
      </c>
      <c r="B49" s="42" t="n"/>
      <c r="C49" s="43" t="n"/>
      <c r="D49" s="43" t="n"/>
      <c r="E49" s="43" t="n"/>
      <c r="F49" s="43" t="n"/>
      <c r="G49" s="43" t="n"/>
      <c r="H49" s="43" t="n"/>
    </row>
    <row r="50" ht="15.75" customHeight="1" s="1">
      <c r="A50" s="160" t="inlineStr">
        <is>
          <t>Necesidad de Efectivo</t>
        </is>
      </c>
    </row>
    <row r="51" ht="14.25" customHeight="1" s="1">
      <c r="A51" s="161" t="inlineStr">
        <is>
          <t>Concepto</t>
        </is>
      </c>
      <c r="B51" s="26" t="inlineStr">
        <is>
          <t>Año 0</t>
        </is>
      </c>
      <c r="C51" s="26" t="inlineStr">
        <is>
          <t>Año 1</t>
        </is>
      </c>
      <c r="D51" s="26" t="inlineStr">
        <is>
          <t>Año 2</t>
        </is>
      </c>
      <c r="E51" s="26" t="inlineStr">
        <is>
          <t>Año 3</t>
        </is>
      </c>
      <c r="F51" s="26" t="inlineStr">
        <is>
          <t>Año 4</t>
        </is>
      </c>
      <c r="G51" s="26" t="inlineStr">
        <is>
          <t>Año 5</t>
        </is>
      </c>
      <c r="H51" s="26" t="inlineStr">
        <is>
          <t>Año 6</t>
        </is>
      </c>
      <c r="I51" s="26" t="inlineStr">
        <is>
          <t>Año 7</t>
        </is>
      </c>
      <c r="J51" s="26" t="inlineStr">
        <is>
          <t>Año 8</t>
        </is>
      </c>
      <c r="K51" s="26" t="inlineStr">
        <is>
          <t>Año 9</t>
        </is>
      </c>
      <c r="L51" s="27" t="inlineStr">
        <is>
          <t>Año 10</t>
        </is>
      </c>
    </row>
    <row r="52" ht="14.25" customHeight="1" s="1">
      <c r="A52" s="28" t="inlineStr">
        <is>
          <t>Capital de trabajo</t>
        </is>
      </c>
      <c r="B52" s="45" t="n"/>
      <c r="C52" s="38">
        <f>C13+B52</f>
        <v/>
      </c>
      <c r="D52" s="38">
        <f>D13+C52</f>
        <v/>
      </c>
      <c r="E52" s="38">
        <f>E13+D52</f>
        <v/>
      </c>
      <c r="F52" s="38">
        <f>F13+E52</f>
        <v/>
      </c>
      <c r="G52" s="38">
        <f>G13+F52</f>
        <v/>
      </c>
      <c r="H52" s="38">
        <f>H13+G52</f>
        <v/>
      </c>
      <c r="I52" s="38">
        <f>I13+H52</f>
        <v/>
      </c>
      <c r="J52" s="38">
        <f>J13+I52</f>
        <v/>
      </c>
      <c r="K52" s="38">
        <f>K13+J52</f>
        <v/>
      </c>
      <c r="L52" s="38">
        <f>L13+K52</f>
        <v/>
      </c>
    </row>
    <row r="53" ht="15.75" customHeight="1" s="1">
      <c r="A53" s="34" t="inlineStr">
        <is>
          <t>Efectivo requerido en caja</t>
        </is>
      </c>
      <c r="B53" s="46" t="n"/>
      <c r="C53" s="36">
        <f>SUM(C52:C52)</f>
        <v/>
      </c>
      <c r="D53" s="36">
        <f>SUM(D52:D52)</f>
        <v/>
      </c>
      <c r="E53" s="36">
        <f>SUM(E52:E52)</f>
        <v/>
      </c>
      <c r="F53" s="36">
        <f>SUM(F52:F52)</f>
        <v/>
      </c>
      <c r="G53" s="36">
        <f>SUM(G52:G52)</f>
        <v/>
      </c>
      <c r="H53" s="36">
        <f>SUM(H52:H52)</f>
        <v/>
      </c>
      <c r="I53" s="36">
        <f>SUM(I52:I52)</f>
        <v/>
      </c>
      <c r="J53" s="36">
        <f>SUM(J52:J52)</f>
        <v/>
      </c>
      <c r="K53" s="36">
        <f>SUM(K52:K52)</f>
        <v/>
      </c>
      <c r="L53" s="37">
        <f>SUM(L52:L52)</f>
        <v/>
      </c>
    </row>
    <row r="54" ht="14.25" customHeight="1" s="1">
      <c r="A54" s="43" t="n"/>
      <c r="B54" s="42" t="n"/>
      <c r="C54" s="43" t="n"/>
      <c r="D54" s="43" t="n"/>
      <c r="E54" s="43" t="n"/>
      <c r="F54" s="43" t="n"/>
      <c r="G54" s="43" t="n"/>
      <c r="H54" s="43" t="n"/>
    </row>
    <row r="55" ht="15.75" customHeight="1" s="1">
      <c r="A55" s="160" t="inlineStr">
        <is>
          <t>Cálculo del Capital de Trabajo</t>
        </is>
      </c>
    </row>
    <row r="56" ht="14.25" customHeight="1" s="1">
      <c r="A56" s="161" t="inlineStr">
        <is>
          <t>Concepto</t>
        </is>
      </c>
      <c r="B56" s="26" t="inlineStr">
        <is>
          <t>Cobertura</t>
        </is>
      </c>
      <c r="C56" s="26" t="inlineStr">
        <is>
          <t>Año 1</t>
        </is>
      </c>
      <c r="D56" s="26" t="inlineStr">
        <is>
          <t>Año 2</t>
        </is>
      </c>
      <c r="E56" s="26" t="inlineStr">
        <is>
          <t>Año 3</t>
        </is>
      </c>
      <c r="F56" s="26" t="inlineStr">
        <is>
          <t>Año 4</t>
        </is>
      </c>
      <c r="G56" s="26" t="inlineStr">
        <is>
          <t>Año 5</t>
        </is>
      </c>
      <c r="H56" s="26" t="inlineStr">
        <is>
          <t>Año 6</t>
        </is>
      </c>
      <c r="I56" s="26" t="inlineStr">
        <is>
          <t>Año 7</t>
        </is>
      </c>
      <c r="J56" s="26" t="inlineStr">
        <is>
          <t>Año 8</t>
        </is>
      </c>
      <c r="K56" s="26" t="inlineStr">
        <is>
          <t>Año 9</t>
        </is>
      </c>
      <c r="L56" s="27" t="inlineStr">
        <is>
          <t>Año 10</t>
        </is>
      </c>
    </row>
    <row r="57" ht="14.25" customHeight="1" s="1">
      <c r="A57" s="47" t="inlineStr">
        <is>
          <t>Activo circulante</t>
        </is>
      </c>
      <c r="B57" s="48" t="n"/>
      <c r="C57" s="49">
        <f>C58</f>
        <v/>
      </c>
      <c r="D57" s="49">
        <f>D58</f>
        <v/>
      </c>
      <c r="E57" s="49">
        <f>E58</f>
        <v/>
      </c>
      <c r="F57" s="49">
        <f>F58</f>
        <v/>
      </c>
      <c r="G57" s="49">
        <f>G58</f>
        <v/>
      </c>
      <c r="H57" s="49">
        <f>H58</f>
        <v/>
      </c>
      <c r="I57" s="49">
        <f>I58</f>
        <v/>
      </c>
      <c r="J57" s="49">
        <f>J58</f>
        <v/>
      </c>
      <c r="K57" s="49">
        <f>K58</f>
        <v/>
      </c>
      <c r="L57" s="50">
        <f>L58</f>
        <v/>
      </c>
    </row>
    <row r="58" ht="14.25" customHeight="1" s="1">
      <c r="A58" s="28" t="inlineStr">
        <is>
          <t xml:space="preserve">     Efectivo </t>
        </is>
      </c>
      <c r="B58" s="45" t="n"/>
      <c r="C58" s="38">
        <f>C53</f>
        <v/>
      </c>
      <c r="D58" s="38">
        <f>D53</f>
        <v/>
      </c>
      <c r="E58" s="38">
        <f>E53</f>
        <v/>
      </c>
      <c r="F58" s="38">
        <f>F53</f>
        <v/>
      </c>
      <c r="G58" s="38">
        <f>G53</f>
        <v/>
      </c>
      <c r="H58" s="38">
        <f>H53</f>
        <v/>
      </c>
      <c r="I58" s="38">
        <f>I53</f>
        <v/>
      </c>
      <c r="J58" s="38">
        <f>J53</f>
        <v/>
      </c>
      <c r="K58" s="38">
        <f>K53</f>
        <v/>
      </c>
      <c r="L58" s="39">
        <f>L53</f>
        <v/>
      </c>
    </row>
    <row r="59" ht="14.25" customHeight="1" s="1">
      <c r="A59" s="47" t="inlineStr">
        <is>
          <t>Pasivo circulante</t>
        </is>
      </c>
      <c r="B59" s="48" t="n"/>
      <c r="C59" s="49">
        <f>SUM(C60:C61)</f>
        <v/>
      </c>
      <c r="D59" s="49">
        <f>SUM(D60:D61)</f>
        <v/>
      </c>
      <c r="E59" s="49">
        <f>SUM(E60:E61)</f>
        <v/>
      </c>
      <c r="F59" s="49">
        <f>SUM(F60:F61)</f>
        <v/>
      </c>
      <c r="G59" s="49">
        <f>SUM(G60:G61)</f>
        <v/>
      </c>
      <c r="H59" s="49">
        <f>SUM(H60:H61)</f>
        <v/>
      </c>
      <c r="I59" s="49">
        <f>SUM(I60:I61)</f>
        <v/>
      </c>
      <c r="J59" s="49">
        <f>SUM(J60:J61)</f>
        <v/>
      </c>
      <c r="K59" s="49">
        <f>SUM(K60:K61)</f>
        <v/>
      </c>
      <c r="L59" s="50">
        <f>SUM(L60:L61)</f>
        <v/>
      </c>
    </row>
    <row r="60" ht="14.25" customHeight="1" s="1">
      <c r="A60" s="28" t="inlineStr">
        <is>
          <t xml:space="preserve">     Cuentas por pagar</t>
        </is>
      </c>
      <c r="B60" s="45" t="n"/>
      <c r="C60" s="38" t="n">
        <v>0</v>
      </c>
      <c r="D60" s="38" t="n">
        <v>0</v>
      </c>
      <c r="E60" s="38" t="n">
        <v>0</v>
      </c>
      <c r="F60" s="38" t="n">
        <v>0</v>
      </c>
      <c r="G60" s="38" t="n">
        <v>0</v>
      </c>
      <c r="H60" s="38" t="n">
        <v>0</v>
      </c>
      <c r="I60" s="38" t="n">
        <v>0</v>
      </c>
      <c r="J60" s="38" t="n">
        <v>0</v>
      </c>
      <c r="K60" s="38" t="n">
        <v>0</v>
      </c>
      <c r="L60" s="39" t="n">
        <v>0</v>
      </c>
    </row>
    <row r="61" ht="14.25" customHeight="1" s="1">
      <c r="A61" s="28" t="inlineStr">
        <is>
          <t xml:space="preserve">     Proveedores</t>
        </is>
      </c>
      <c r="B61" s="45" t="n"/>
      <c r="C61" s="38" t="n">
        <v>0</v>
      </c>
      <c r="D61" s="38" t="n">
        <v>0</v>
      </c>
      <c r="E61" s="38" t="n">
        <v>0</v>
      </c>
      <c r="F61" s="38" t="n">
        <v>0</v>
      </c>
      <c r="G61" s="38" t="n">
        <v>0</v>
      </c>
      <c r="H61" s="38" t="n">
        <v>0</v>
      </c>
      <c r="I61" s="38" t="n">
        <v>0</v>
      </c>
      <c r="J61" s="38" t="n">
        <v>0</v>
      </c>
      <c r="K61" s="38" t="n">
        <v>0</v>
      </c>
      <c r="L61" s="39" t="n">
        <v>0</v>
      </c>
    </row>
    <row r="62" ht="14.25" customHeight="1" s="1">
      <c r="A62" s="51" t="inlineStr">
        <is>
          <t>Capital de Trabajo (Ac - Pc)</t>
        </is>
      </c>
      <c r="B62" s="52" t="n"/>
      <c r="C62" s="53">
        <f>C57-C59</f>
        <v/>
      </c>
      <c r="D62" s="53">
        <f>D57-D59</f>
        <v/>
      </c>
      <c r="E62" s="53">
        <f>E57-E59</f>
        <v/>
      </c>
      <c r="F62" s="53">
        <f>F57-F59</f>
        <v/>
      </c>
      <c r="G62" s="53">
        <f>G57-G59</f>
        <v/>
      </c>
      <c r="H62" s="53">
        <f>H57-H59</f>
        <v/>
      </c>
      <c r="I62" s="53">
        <f>I57-I59</f>
        <v/>
      </c>
      <c r="J62" s="53">
        <f>J57-J59</f>
        <v/>
      </c>
      <c r="K62" s="53">
        <f>K57-K59</f>
        <v/>
      </c>
      <c r="L62" s="54">
        <f>L57-L59</f>
        <v/>
      </c>
    </row>
    <row r="63" ht="15.75" customHeight="1" s="1">
      <c r="A63" s="34" t="inlineStr">
        <is>
          <t>Incremento Capital Trabajo</t>
        </is>
      </c>
      <c r="B63" s="36">
        <f>C62-B62</f>
        <v/>
      </c>
      <c r="C63" s="36">
        <f>D62-C62</f>
        <v/>
      </c>
      <c r="D63" s="36">
        <f>E62-D62</f>
        <v/>
      </c>
      <c r="E63" s="36">
        <f>F62-E62</f>
        <v/>
      </c>
      <c r="F63" s="36">
        <f>G62-F62</f>
        <v/>
      </c>
      <c r="G63" s="36">
        <f>H62-G62</f>
        <v/>
      </c>
      <c r="H63" s="36">
        <f>I62-H62</f>
        <v/>
      </c>
      <c r="I63" s="36">
        <f>J62-I62</f>
        <v/>
      </c>
      <c r="J63" s="36">
        <f>K62-J62</f>
        <v/>
      </c>
      <c r="K63" s="36">
        <f>L62-K62</f>
        <v/>
      </c>
      <c r="L63" s="37">
        <f>M62-L62</f>
        <v/>
      </c>
    </row>
    <row r="64" ht="14.25" customHeight="1" s="1">
      <c r="B64" s="24" t="n"/>
    </row>
    <row r="65" ht="14.25" customHeight="1" s="1">
      <c r="A65" s="22" t="inlineStr">
        <is>
          <t>5. Inversiones</t>
        </is>
      </c>
      <c r="B65" s="24" t="n"/>
    </row>
    <row r="66" ht="15.75" customHeight="1" s="1">
      <c r="A66" s="23" t="inlineStr">
        <is>
          <t>Calendario de inversiones</t>
        </is>
      </c>
      <c r="B66" s="24" t="n"/>
    </row>
    <row r="67" ht="14.25" customHeight="1" s="1">
      <c r="A67" s="161" t="inlineStr">
        <is>
          <t>Concepto</t>
        </is>
      </c>
      <c r="B67" s="26" t="inlineStr">
        <is>
          <t>Año 0</t>
        </is>
      </c>
      <c r="C67" s="26" t="inlineStr">
        <is>
          <t>Año 1</t>
        </is>
      </c>
      <c r="D67" s="26" t="inlineStr">
        <is>
          <t>Año 2</t>
        </is>
      </c>
      <c r="E67" s="26" t="inlineStr">
        <is>
          <t>Año 3</t>
        </is>
      </c>
      <c r="F67" s="26" t="inlineStr">
        <is>
          <t>Año 4</t>
        </is>
      </c>
      <c r="G67" s="26" t="inlineStr">
        <is>
          <t>Año 5</t>
        </is>
      </c>
      <c r="H67" s="26" t="inlineStr">
        <is>
          <t>Año 6</t>
        </is>
      </c>
      <c r="I67" s="26" t="inlineStr">
        <is>
          <t>Año 7</t>
        </is>
      </c>
      <c r="J67" s="26" t="inlineStr">
        <is>
          <t>Año 8</t>
        </is>
      </c>
      <c r="K67" s="26" t="inlineStr">
        <is>
          <t>Año 9</t>
        </is>
      </c>
      <c r="L67" s="27" t="inlineStr">
        <is>
          <t>Año 10</t>
        </is>
      </c>
    </row>
    <row r="68" ht="14.25" customHeight="1" s="1">
      <c r="A68" s="47" t="inlineStr">
        <is>
          <t>Activos Fijos</t>
        </is>
      </c>
      <c r="B68" s="55" t="n"/>
      <c r="C68" s="55" t="n"/>
      <c r="D68" s="55" t="n"/>
      <c r="E68" s="55" t="n"/>
      <c r="F68" s="55" t="n"/>
      <c r="G68" s="55" t="n"/>
      <c r="H68" s="55" t="n"/>
      <c r="I68" s="55" t="n"/>
      <c r="J68" s="55" t="n"/>
      <c r="K68" s="55" t="n"/>
      <c r="L68" s="56" t="n"/>
    </row>
    <row r="69" ht="14.25" customHeight="1" s="1">
      <c r="A69" s="28" t="inlineStr">
        <is>
          <t xml:space="preserve">   Inversiones a 20 años</t>
        </is>
      </c>
      <c r="B69" s="57">
        <f>100000*$P$5</f>
        <v/>
      </c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6" t="n"/>
    </row>
    <row r="70" ht="14.25" customHeight="1" s="1">
      <c r="A70" s="28" t="inlineStr">
        <is>
          <t xml:space="preserve">  Inversiones a 10 años</t>
        </is>
      </c>
      <c r="B70" s="57">
        <f>(3000000+200000+450000+50000)*$P$5</f>
        <v/>
      </c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6" t="n"/>
    </row>
    <row r="71" ht="14.25" customHeight="1" s="1">
      <c r="A71" s="28" t="inlineStr">
        <is>
          <t xml:space="preserve">  Inversiones a 5 años</t>
        </is>
      </c>
      <c r="B71" s="57">
        <f>(300000+100000)*$P$5</f>
        <v/>
      </c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6" t="n"/>
    </row>
    <row r="72" ht="14.25" customHeight="1" s="1">
      <c r="A72" s="28" t="inlineStr">
        <is>
          <t xml:space="preserve">  Inversion terrenos</t>
        </is>
      </c>
      <c r="B72" s="57">
        <f>750000*$P$5</f>
        <v/>
      </c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6" t="n"/>
    </row>
    <row r="73" ht="14.25" customHeight="1" s="1">
      <c r="A73" s="47" t="inlineStr">
        <is>
          <t>Gastos Pre-operativos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6" t="n"/>
    </row>
    <row r="74" ht="14.25" customHeight="1" s="1">
      <c r="A74" s="28" t="inlineStr">
        <is>
          <t xml:space="preserve">  Gastos puesta en marcha</t>
        </is>
      </c>
      <c r="B74" s="57" t="n">
        <v>0</v>
      </c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6" t="n"/>
    </row>
    <row r="75" ht="14.25" customHeight="1" s="1">
      <c r="A75" s="47" t="inlineStr">
        <is>
          <t>Capital de trabajo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6" t="n"/>
    </row>
    <row r="76" ht="14.25" customHeight="1" s="1">
      <c r="A76" s="28" t="inlineStr">
        <is>
          <t xml:space="preserve">   Capital de trabajo</t>
        </is>
      </c>
      <c r="B76" s="57">
        <f>B63</f>
        <v/>
      </c>
      <c r="C76" s="57">
        <f>C63</f>
        <v/>
      </c>
      <c r="D76" s="57">
        <f>D63</f>
        <v/>
      </c>
      <c r="E76" s="57">
        <f>E63</f>
        <v/>
      </c>
      <c r="F76" s="57">
        <f>F63</f>
        <v/>
      </c>
      <c r="G76" s="57">
        <f>G63</f>
        <v/>
      </c>
      <c r="H76" s="57">
        <f>H63</f>
        <v/>
      </c>
      <c r="I76" s="57">
        <f>I63</f>
        <v/>
      </c>
      <c r="J76" s="57">
        <f>J63</f>
        <v/>
      </c>
      <c r="K76" s="57">
        <f>K63</f>
        <v/>
      </c>
      <c r="L76" s="58">
        <f>L63</f>
        <v/>
      </c>
    </row>
    <row r="77" ht="15.75" customHeight="1" s="1">
      <c r="A77" s="40" t="inlineStr">
        <is>
          <t>Total Inversiones</t>
        </is>
      </c>
      <c r="B77" s="59">
        <f>SUM(B68:B76)</f>
        <v/>
      </c>
      <c r="C77" s="59">
        <f>SUM(C68:C76)</f>
        <v/>
      </c>
      <c r="D77" s="59">
        <f>SUM(D68:D76)</f>
        <v/>
      </c>
      <c r="E77" s="59">
        <f>SUM(E68:E76)</f>
        <v/>
      </c>
      <c r="F77" s="59">
        <f>SUM(F68:F76)</f>
        <v/>
      </c>
      <c r="G77" s="59">
        <f>SUM(G68:G76)</f>
        <v/>
      </c>
      <c r="H77" s="59">
        <f>SUM(H68:H76)</f>
        <v/>
      </c>
      <c r="I77" s="59">
        <f>SUM(I68:I76)</f>
        <v/>
      </c>
      <c r="J77" s="59">
        <f>SUM(J68:J76)</f>
        <v/>
      </c>
      <c r="K77" s="59">
        <f>SUM(K68:K76)</f>
        <v/>
      </c>
      <c r="L77" s="60">
        <f>SUM(L68:L76)</f>
        <v/>
      </c>
    </row>
    <row r="78" ht="14.25" customHeight="1" s="1">
      <c r="B78" s="21" t="n"/>
    </row>
    <row r="79" ht="14.25" customHeight="1" s="1">
      <c r="A79" s="22" t="inlineStr">
        <is>
          <t>6.  Depreciaciones y Amortizaciones</t>
        </is>
      </c>
      <c r="B79" s="24" t="n"/>
    </row>
    <row r="80" ht="15.75" customHeight="1" s="1">
      <c r="A80" s="23" t="inlineStr">
        <is>
          <t>Calendario de Depreciaciones y Amortizaciones</t>
        </is>
      </c>
      <c r="B80" s="24" t="n"/>
    </row>
    <row r="81" ht="14.25" customHeight="1" s="1">
      <c r="A81" s="161" t="inlineStr">
        <is>
          <t>Concepto</t>
        </is>
      </c>
      <c r="B81" s="26" t="inlineStr">
        <is>
          <t>Año 0</t>
        </is>
      </c>
      <c r="C81" s="26" t="inlineStr">
        <is>
          <t>Año 1</t>
        </is>
      </c>
      <c r="D81" s="26" t="inlineStr">
        <is>
          <t>Año 2</t>
        </is>
      </c>
      <c r="E81" s="26" t="inlineStr">
        <is>
          <t>Año 3</t>
        </is>
      </c>
      <c r="F81" s="26" t="inlineStr">
        <is>
          <t>Año 4</t>
        </is>
      </c>
      <c r="G81" s="26" t="inlineStr">
        <is>
          <t>Año 5</t>
        </is>
      </c>
      <c r="H81" s="26" t="inlineStr">
        <is>
          <t>Año 6</t>
        </is>
      </c>
      <c r="I81" s="26" t="inlineStr">
        <is>
          <t>Año 7</t>
        </is>
      </c>
      <c r="J81" s="26" t="inlineStr">
        <is>
          <t>Año 8</t>
        </is>
      </c>
      <c r="K81" s="26" t="inlineStr">
        <is>
          <t>Año 9</t>
        </is>
      </c>
      <c r="L81" s="27" t="inlineStr">
        <is>
          <t>Año 10</t>
        </is>
      </c>
      <c r="R81" s="61" t="inlineStr">
        <is>
          <t>Inversión</t>
        </is>
      </c>
      <c r="S81" s="62" t="inlineStr">
        <is>
          <t>Valor Activo</t>
        </is>
      </c>
      <c r="T81" s="62" t="inlineStr">
        <is>
          <t>Valor residual</t>
        </is>
      </c>
      <c r="U81" s="62" t="inlineStr">
        <is>
          <t>Vida útil</t>
        </is>
      </c>
      <c r="V81" s="62" t="inlineStr">
        <is>
          <t>Dep. Anual</t>
        </is>
      </c>
    </row>
    <row r="82" ht="14.25" customHeight="1" s="1">
      <c r="A82" s="28" t="inlineStr">
        <is>
          <t>Inversiones a 20 años</t>
        </is>
      </c>
      <c r="B82" s="55" t="n"/>
      <c r="C82" s="57">
        <f>$V$82</f>
        <v/>
      </c>
      <c r="D82" s="57">
        <f>$V$82</f>
        <v/>
      </c>
      <c r="E82" s="57">
        <f>$V$82</f>
        <v/>
      </c>
      <c r="F82" s="57">
        <f>$V$82</f>
        <v/>
      </c>
      <c r="G82" s="57">
        <f>$V$82</f>
        <v/>
      </c>
      <c r="H82" s="57">
        <f>$V$82</f>
        <v/>
      </c>
      <c r="I82" s="57">
        <f>$V$82</f>
        <v/>
      </c>
      <c r="J82" s="57">
        <f>$V$82</f>
        <v/>
      </c>
      <c r="K82" s="57">
        <f>$V$82</f>
        <v/>
      </c>
      <c r="L82" s="57">
        <f>$V$82</f>
        <v/>
      </c>
      <c r="R82" s="63" t="inlineStr">
        <is>
          <t>Edificio</t>
        </is>
      </c>
      <c r="S82" s="15">
        <f>B69</f>
        <v/>
      </c>
      <c r="T82" s="64" t="n">
        <v>50000</v>
      </c>
      <c r="U82" s="65" t="n">
        <v>20</v>
      </c>
      <c r="V82" s="15">
        <f>(S82-T82)/U82</f>
        <v/>
      </c>
    </row>
    <row r="83" ht="14.25" customHeight="1" s="1">
      <c r="A83" s="28" t="inlineStr">
        <is>
          <t>Inversiones a 10 años</t>
        </is>
      </c>
      <c r="B83" s="55" t="n"/>
      <c r="C83" s="57">
        <f>$V$83+$V$84</f>
        <v/>
      </c>
      <c r="D83" s="57">
        <f>$V$83+$V$84</f>
        <v/>
      </c>
      <c r="E83" s="57">
        <f>$V$83+$V$84</f>
        <v/>
      </c>
      <c r="F83" s="57">
        <f>$V$83+$V$84</f>
        <v/>
      </c>
      <c r="G83" s="57">
        <f>$V$83+$V$84</f>
        <v/>
      </c>
      <c r="H83" s="57">
        <f>$V$83+$V$84</f>
        <v/>
      </c>
      <c r="I83" s="57">
        <f>$V$83+$V$84</f>
        <v/>
      </c>
      <c r="J83" s="57">
        <f>$V$83+$V$84</f>
        <v/>
      </c>
      <c r="K83" s="57">
        <f>$V$83+$V$84</f>
        <v/>
      </c>
      <c r="L83" s="57">
        <f>$V$83+$V$84</f>
        <v/>
      </c>
      <c r="R83" s="63" t="inlineStr">
        <is>
          <t>Estanque y canales</t>
        </is>
      </c>
      <c r="S83" s="15">
        <f>3000000*$P$5</f>
        <v/>
      </c>
      <c r="T83" s="64" t="n">
        <v>1000000</v>
      </c>
      <c r="U83" s="66" t="n">
        <v>10</v>
      </c>
      <c r="V83" s="15">
        <f>(S83-T83)/U83</f>
        <v/>
      </c>
    </row>
    <row r="84" ht="14.25" customHeight="1" s="1">
      <c r="A84" s="28" t="inlineStr">
        <is>
          <t>Inversiones a 5 años</t>
        </is>
      </c>
      <c r="B84" s="55" t="n"/>
      <c r="C84" s="57">
        <f>$V$85</f>
        <v/>
      </c>
      <c r="D84" s="57">
        <f>$V$85</f>
        <v/>
      </c>
      <c r="E84" s="57">
        <f>$V$85</f>
        <v/>
      </c>
      <c r="F84" s="57">
        <f>$V$85</f>
        <v/>
      </c>
      <c r="G84" s="57">
        <f>$V$85</f>
        <v/>
      </c>
      <c r="H84" s="57" t="n">
        <v>0</v>
      </c>
      <c r="I84" s="57" t="n">
        <v>0</v>
      </c>
      <c r="J84" s="57" t="n">
        <v>0</v>
      </c>
      <c r="K84" s="57" t="n">
        <v>0</v>
      </c>
      <c r="L84" s="57" t="n">
        <v>0</v>
      </c>
      <c r="R84" s="63" t="inlineStr">
        <is>
          <t>Maq &amp; Equipo</t>
        </is>
      </c>
      <c r="S84" s="67">
        <f>B70-S83</f>
        <v/>
      </c>
      <c r="T84" s="63" t="n">
        <v>0</v>
      </c>
      <c r="U84" s="65" t="n">
        <v>10</v>
      </c>
      <c r="V84" s="15">
        <f>(S84-T84)/U84</f>
        <v/>
      </c>
    </row>
    <row r="85" ht="14.25" customHeight="1" s="1">
      <c r="A85" s="68" t="inlineStr">
        <is>
          <t>Total Depreciación</t>
        </is>
      </c>
      <c r="B85" s="69" t="n"/>
      <c r="C85" s="70">
        <f>SUM(C82:C84)</f>
        <v/>
      </c>
      <c r="D85" s="70">
        <f>SUM(D82:D84)</f>
        <v/>
      </c>
      <c r="E85" s="70">
        <f>SUM(E82:E84)</f>
        <v/>
      </c>
      <c r="F85" s="70">
        <f>SUM(F82:F84)</f>
        <v/>
      </c>
      <c r="G85" s="70">
        <f>SUM(G82:G84)</f>
        <v/>
      </c>
      <c r="H85" s="70">
        <f>SUM(H82:H84)</f>
        <v/>
      </c>
      <c r="I85" s="70">
        <f>SUM(I82:I84)</f>
        <v/>
      </c>
      <c r="J85" s="70">
        <f>SUM(J82:J84)</f>
        <v/>
      </c>
      <c r="K85" s="70">
        <f>SUM(K82:K84)</f>
        <v/>
      </c>
      <c r="L85" s="70">
        <f>SUM(L82:L84)</f>
        <v/>
      </c>
      <c r="R85" s="63" t="inlineStr">
        <is>
          <t>Vehículos y embarcaciones</t>
        </is>
      </c>
      <c r="S85" s="15">
        <f>B71</f>
        <v/>
      </c>
      <c r="T85" s="64" t="n">
        <v>0</v>
      </c>
      <c r="U85" s="66" t="n">
        <v>5</v>
      </c>
      <c r="V85" s="15">
        <f>(S85-T85)/U85</f>
        <v/>
      </c>
    </row>
    <row r="86" ht="14.25" customHeight="1" s="1">
      <c r="A86" s="71" t="n"/>
      <c r="B86" s="55" t="n"/>
      <c r="C86" s="55" t="n"/>
      <c r="D86" s="55" t="n"/>
      <c r="E86" s="55" t="n"/>
      <c r="F86" s="55" t="n"/>
      <c r="G86" s="55" t="n"/>
      <c r="H86" s="55" t="n"/>
      <c r="I86" s="55" t="n"/>
      <c r="J86" s="55" t="n"/>
      <c r="K86" s="55" t="n"/>
      <c r="L86" s="56" t="n"/>
      <c r="S86" s="72">
        <f>SUM(S82:S85)</f>
        <v/>
      </c>
    </row>
    <row r="87" ht="14.25" customHeight="1" s="1">
      <c r="A87" s="28" t="inlineStr">
        <is>
          <t>Amortización pre-operativos</t>
        </is>
      </c>
      <c r="B87" s="55" t="n"/>
      <c r="C87" s="57">
        <f>$B$74/10</f>
        <v/>
      </c>
      <c r="D87" s="57">
        <f>$B$74/10</f>
        <v/>
      </c>
      <c r="E87" s="57">
        <f>$B$74/10</f>
        <v/>
      </c>
      <c r="F87" s="57">
        <f>$B$74/10</f>
        <v/>
      </c>
      <c r="G87" s="57">
        <f>$B$74/10</f>
        <v/>
      </c>
      <c r="H87" s="57">
        <f>$B$74/10</f>
        <v/>
      </c>
      <c r="I87" s="57">
        <f>$B$74/10</f>
        <v/>
      </c>
      <c r="J87" s="57">
        <f>$B$74/10</f>
        <v/>
      </c>
      <c r="K87" s="57">
        <f>$B$74/10</f>
        <v/>
      </c>
      <c r="L87" s="73">
        <f>$B$74/10</f>
        <v/>
      </c>
      <c r="O87" s="74" t="n"/>
    </row>
    <row r="88" ht="15.75" customHeight="1" s="1">
      <c r="A88" s="40" t="inlineStr">
        <is>
          <t>Total Amortización</t>
        </is>
      </c>
      <c r="B88" s="75" t="n"/>
      <c r="C88" s="59">
        <f>SUM(C87)</f>
        <v/>
      </c>
      <c r="D88" s="59">
        <f>SUM(D87)</f>
        <v/>
      </c>
      <c r="E88" s="59">
        <f>SUM(E87)</f>
        <v/>
      </c>
      <c r="F88" s="59">
        <f>SUM(F87)</f>
        <v/>
      </c>
      <c r="G88" s="59">
        <f>SUM(G87)</f>
        <v/>
      </c>
      <c r="H88" s="59">
        <f>SUM(H87)</f>
        <v/>
      </c>
      <c r="I88" s="59">
        <f>SUM(I87)</f>
        <v/>
      </c>
      <c r="J88" s="59">
        <f>SUM(J87)</f>
        <v/>
      </c>
      <c r="K88" s="59">
        <f>SUM(K87)</f>
        <v/>
      </c>
      <c r="L88" s="60">
        <f>SUM(L87)</f>
        <v/>
      </c>
      <c r="O88" s="74" t="n"/>
    </row>
    <row r="89" ht="14.25" customHeight="1" s="1">
      <c r="B89" s="21" t="n"/>
    </row>
    <row r="90" ht="14.25" customHeight="1" s="1">
      <c r="A90" s="22" t="inlineStr">
        <is>
          <t>7. Valor de desecho del proyecto</t>
        </is>
      </c>
      <c r="B90" s="24" t="n"/>
    </row>
    <row r="91" ht="15.75" customHeight="1" s="1">
      <c r="A91" s="23" t="inlineStr">
        <is>
          <t>Clalculo del valor de desecho del proyecto (método contable)</t>
        </is>
      </c>
      <c r="B91" s="24" t="n"/>
    </row>
    <row r="92" ht="14.25" customHeight="1" s="1">
      <c r="A92" s="161" t="inlineStr">
        <is>
          <t>Concepto</t>
        </is>
      </c>
      <c r="B92" s="162" t="inlineStr">
        <is>
          <t>Valor del</t>
        </is>
      </c>
      <c r="C92" s="162" t="inlineStr">
        <is>
          <t>Depreciación por periodo</t>
        </is>
      </c>
      <c r="D92" s="170" t="n"/>
      <c r="E92" s="170" t="n"/>
      <c r="F92" s="170" t="n"/>
      <c r="G92" s="170" t="n"/>
      <c r="H92" s="170" t="n"/>
      <c r="I92" s="170" t="n"/>
      <c r="J92" s="170" t="n"/>
      <c r="K92" s="170" t="n"/>
      <c r="L92" s="171" t="n"/>
      <c r="M92" s="77" t="inlineStr">
        <is>
          <t>Valor de</t>
        </is>
      </c>
    </row>
    <row r="93" ht="14.25" customHeight="1" s="1">
      <c r="A93" s="172" t="n"/>
      <c r="B93" s="62" t="inlineStr">
        <is>
          <t>Activo</t>
        </is>
      </c>
      <c r="C93" s="78" t="inlineStr">
        <is>
          <t>Año 1</t>
        </is>
      </c>
      <c r="D93" s="78" t="inlineStr">
        <is>
          <t>Año 2</t>
        </is>
      </c>
      <c r="E93" s="78" t="inlineStr">
        <is>
          <t>Año 3</t>
        </is>
      </c>
      <c r="F93" s="78" t="inlineStr">
        <is>
          <t>Año 4</t>
        </is>
      </c>
      <c r="G93" s="78" t="inlineStr">
        <is>
          <t>Año 5</t>
        </is>
      </c>
      <c r="H93" s="78" t="inlineStr">
        <is>
          <t>Año 6</t>
        </is>
      </c>
      <c r="I93" s="78" t="inlineStr">
        <is>
          <t>Año 7</t>
        </is>
      </c>
      <c r="J93" s="78" t="inlineStr">
        <is>
          <t>Año 8</t>
        </is>
      </c>
      <c r="K93" s="78" t="inlineStr">
        <is>
          <t>Año 9</t>
        </is>
      </c>
      <c r="L93" s="78" t="inlineStr">
        <is>
          <t>Año 10</t>
        </is>
      </c>
      <c r="M93" s="79" t="inlineStr">
        <is>
          <t>Desecho</t>
        </is>
      </c>
    </row>
    <row r="94" ht="14.25" customHeight="1" s="1">
      <c r="A94" s="28" t="inlineStr">
        <is>
          <t>Inversiones a 20 años</t>
        </is>
      </c>
      <c r="B94" s="57">
        <f>B69</f>
        <v/>
      </c>
      <c r="C94" s="57">
        <f>C82</f>
        <v/>
      </c>
      <c r="D94" s="57">
        <f>D82</f>
        <v/>
      </c>
      <c r="E94" s="57">
        <f>E82</f>
        <v/>
      </c>
      <c r="F94" s="57">
        <f>F82</f>
        <v/>
      </c>
      <c r="G94" s="57">
        <f>G82</f>
        <v/>
      </c>
      <c r="H94" s="57">
        <f>H82</f>
        <v/>
      </c>
      <c r="I94" s="57">
        <f>I82</f>
        <v/>
      </c>
      <c r="J94" s="57">
        <f>J82</f>
        <v/>
      </c>
      <c r="K94" s="57">
        <f>K82</f>
        <v/>
      </c>
      <c r="L94" s="57">
        <f>L82</f>
        <v/>
      </c>
      <c r="M94" s="73">
        <f>B94-SUM(C94:L94)</f>
        <v/>
      </c>
    </row>
    <row r="95" ht="14.25" customHeight="1" s="1">
      <c r="A95" s="28" t="inlineStr">
        <is>
          <t>Inversiones a 10 años</t>
        </is>
      </c>
      <c r="B95" s="57">
        <f>B70</f>
        <v/>
      </c>
      <c r="C95" s="57">
        <f>C83</f>
        <v/>
      </c>
      <c r="D95" s="57">
        <f>D83</f>
        <v/>
      </c>
      <c r="E95" s="57">
        <f>E83</f>
        <v/>
      </c>
      <c r="F95" s="57">
        <f>F83</f>
        <v/>
      </c>
      <c r="G95" s="57">
        <f>G83</f>
        <v/>
      </c>
      <c r="H95" s="57">
        <f>H83</f>
        <v/>
      </c>
      <c r="I95" s="57">
        <f>I83</f>
        <v/>
      </c>
      <c r="J95" s="57">
        <f>J83</f>
        <v/>
      </c>
      <c r="K95" s="57">
        <f>K83</f>
        <v/>
      </c>
      <c r="L95" s="57">
        <f>L83</f>
        <v/>
      </c>
      <c r="M95" s="73">
        <f>B95-SUM(C95:L95)</f>
        <v/>
      </c>
    </row>
    <row r="96" ht="14.25" customHeight="1" s="1">
      <c r="A96" s="28" t="inlineStr">
        <is>
          <t>Inversiones a 5 años</t>
        </is>
      </c>
      <c r="B96" s="57">
        <f>B71</f>
        <v/>
      </c>
      <c r="C96" s="57">
        <f>C84</f>
        <v/>
      </c>
      <c r="D96" s="57">
        <f>D84</f>
        <v/>
      </c>
      <c r="E96" s="57">
        <f>E84</f>
        <v/>
      </c>
      <c r="F96" s="57">
        <f>F84</f>
        <v/>
      </c>
      <c r="G96" s="57">
        <f>G84</f>
        <v/>
      </c>
      <c r="H96" s="57">
        <f>H84</f>
        <v/>
      </c>
      <c r="I96" s="57">
        <f>I84</f>
        <v/>
      </c>
      <c r="J96" s="57">
        <f>J84</f>
        <v/>
      </c>
      <c r="K96" s="57">
        <f>K84</f>
        <v/>
      </c>
      <c r="L96" s="57">
        <f>L84</f>
        <v/>
      </c>
      <c r="M96" s="73">
        <f>B96-SUM(C96:L96)</f>
        <v/>
      </c>
    </row>
    <row r="97" ht="15.75" customHeight="1" s="1">
      <c r="A97" s="80" t="inlineStr">
        <is>
          <t>Amortización pre-operativos</t>
        </is>
      </c>
      <c r="B97" s="81">
        <f>B74</f>
        <v/>
      </c>
      <c r="C97" s="81">
        <f>C87</f>
        <v/>
      </c>
      <c r="D97" s="81">
        <f>D87</f>
        <v/>
      </c>
      <c r="E97" s="81">
        <f>E87</f>
        <v/>
      </c>
      <c r="F97" s="81">
        <f>F87</f>
        <v/>
      </c>
      <c r="G97" s="81">
        <f>G87</f>
        <v/>
      </c>
      <c r="H97" s="81">
        <f>H87</f>
        <v/>
      </c>
      <c r="I97" s="81">
        <f>I87</f>
        <v/>
      </c>
      <c r="J97" s="81">
        <f>J87</f>
        <v/>
      </c>
      <c r="K97" s="81">
        <f>K87</f>
        <v/>
      </c>
      <c r="L97" s="81">
        <f>L87</f>
        <v/>
      </c>
      <c r="M97" s="82">
        <f>B97-SUM(C97:L97)</f>
        <v/>
      </c>
    </row>
    <row r="98" ht="15.75" customHeight="1" s="1">
      <c r="A98" s="163" t="inlineStr">
        <is>
          <t>Valor de desecho total</t>
        </is>
      </c>
      <c r="B98" s="173" t="n"/>
      <c r="C98" s="173" t="n"/>
      <c r="D98" s="173" t="n"/>
      <c r="E98" s="173" t="n"/>
      <c r="F98" s="173" t="n"/>
      <c r="G98" s="173" t="n"/>
      <c r="H98" s="173" t="n"/>
      <c r="I98" s="173" t="n"/>
      <c r="J98" s="173" t="n"/>
      <c r="K98" s="173" t="n"/>
      <c r="L98" s="174" t="n"/>
      <c r="M98" s="83">
        <f>SUM(M94:M97)</f>
        <v/>
      </c>
    </row>
    <row r="99" ht="14.25" customHeight="1" s="1">
      <c r="B99" s="21" t="n"/>
    </row>
    <row r="100" ht="14.25" customHeight="1" s="1">
      <c r="A100" s="22" t="inlineStr">
        <is>
          <t>8. Financiamiento</t>
        </is>
      </c>
      <c r="B100" s="24" t="n"/>
    </row>
    <row r="101" ht="15.75" customHeight="1" s="1">
      <c r="A101" s="44" t="inlineStr">
        <is>
          <t>Cálculo del Financiamiento</t>
        </is>
      </c>
      <c r="B101" s="42" t="n"/>
      <c r="C101" s="43" t="n"/>
      <c r="D101" s="43" t="n"/>
      <c r="E101" s="43" t="n"/>
    </row>
    <row r="102" ht="14.25" customHeight="1" s="1">
      <c r="A102" s="84" t="inlineStr">
        <is>
          <t>Financiamiento bancario (valor)</t>
        </is>
      </c>
      <c r="B102" s="85">
        <f>B77*E102</f>
        <v/>
      </c>
      <c r="C102" s="86" t="n"/>
      <c r="D102" s="43" t="n"/>
      <c r="E102" s="87" t="n">
        <v>0.5</v>
      </c>
    </row>
    <row r="103" ht="14.25" customHeight="1" s="1">
      <c r="A103" s="28" t="inlineStr">
        <is>
          <t>Financiamiento bancario (tasa)</t>
        </is>
      </c>
      <c r="B103" s="88">
        <f>B22</f>
        <v/>
      </c>
      <c r="C103" s="89" t="n"/>
      <c r="D103" s="43" t="n"/>
      <c r="E103" s="43" t="n"/>
    </row>
    <row r="104" ht="14.25" customHeight="1" s="1">
      <c r="A104" s="28" t="inlineStr">
        <is>
          <t>Financiamiento bancario (periodos)</t>
        </is>
      </c>
      <c r="B104" s="90" t="n">
        <v>7</v>
      </c>
      <c r="C104" s="91" t="inlineStr">
        <is>
          <t>años</t>
        </is>
      </c>
      <c r="D104" s="43" t="n"/>
      <c r="E104" s="43" t="n"/>
    </row>
    <row r="105" ht="15.75" customHeight="1" s="1">
      <c r="A105" s="92" t="inlineStr">
        <is>
          <t>Modalidad</t>
        </is>
      </c>
      <c r="B105" s="159" t="inlineStr">
        <is>
          <t>Pagos exactos</t>
        </is>
      </c>
      <c r="C105" s="175" t="n"/>
      <c r="D105" s="43" t="n"/>
      <c r="E105" s="43" t="n"/>
    </row>
    <row r="106" ht="15.75" customHeight="1" s="1">
      <c r="A106" s="43" t="n"/>
      <c r="B106" s="42" t="n"/>
      <c r="C106" s="43" t="n"/>
      <c r="D106" s="43" t="n"/>
      <c r="E106" s="43" t="n"/>
    </row>
    <row r="107" ht="14.25" customHeight="1" s="1">
      <c r="A107" s="161" t="inlineStr">
        <is>
          <t>Concepto</t>
        </is>
      </c>
      <c r="B107" s="26" t="inlineStr">
        <is>
          <t>Año 0</t>
        </is>
      </c>
      <c r="C107" s="26" t="inlineStr">
        <is>
          <t>Año 1</t>
        </is>
      </c>
      <c r="D107" s="26" t="inlineStr">
        <is>
          <t>Año 2</t>
        </is>
      </c>
      <c r="E107" s="26" t="inlineStr">
        <is>
          <t>Año 3</t>
        </is>
      </c>
      <c r="F107" s="26" t="inlineStr">
        <is>
          <t>Año 4</t>
        </is>
      </c>
      <c r="G107" s="26" t="inlineStr">
        <is>
          <t>Año 5</t>
        </is>
      </c>
      <c r="H107" s="26" t="inlineStr">
        <is>
          <t>Año 6</t>
        </is>
      </c>
      <c r="I107" s="26" t="inlineStr">
        <is>
          <t>Año 7</t>
        </is>
      </c>
    </row>
    <row r="108" ht="14.25" customHeight="1" s="1">
      <c r="A108" s="28" t="inlineStr">
        <is>
          <t xml:space="preserve">Saldo crédito </t>
        </is>
      </c>
      <c r="B108" s="57">
        <f>B102</f>
        <v/>
      </c>
      <c r="C108" s="57">
        <f>B108-C111</f>
        <v/>
      </c>
      <c r="D108" s="57">
        <f>C108-D111</f>
        <v/>
      </c>
      <c r="E108" s="57">
        <f>D108-E111</f>
        <v/>
      </c>
      <c r="F108" s="57">
        <f>E108-F111</f>
        <v/>
      </c>
      <c r="G108" s="57">
        <f>F108-G111</f>
        <v/>
      </c>
      <c r="H108" s="57">
        <f>G108-H111</f>
        <v/>
      </c>
      <c r="I108" s="57">
        <f>H108-I111</f>
        <v/>
      </c>
    </row>
    <row r="109" ht="14.25" customHeight="1" s="1">
      <c r="A109" s="28" t="inlineStr">
        <is>
          <t>Cuota mensual (anualidad)</t>
        </is>
      </c>
      <c r="B109" s="55" t="n"/>
      <c r="C109" s="57">
        <f>C110</f>
        <v/>
      </c>
      <c r="D109" s="57">
        <f>D110</f>
        <v/>
      </c>
      <c r="E109" s="57">
        <f>PMT($B$103,5,-$B$102)</f>
        <v/>
      </c>
      <c r="F109" s="57">
        <f>PMT($B$103,5,-$B$102)</f>
        <v/>
      </c>
      <c r="G109" s="57">
        <f>PMT($B$103,5,-$B$102)</f>
        <v/>
      </c>
      <c r="H109" s="57">
        <f>PMT($B$103,5,-$B$102)</f>
        <v/>
      </c>
      <c r="I109" s="57">
        <f>PMT($B$103,5,-$B$102)</f>
        <v/>
      </c>
    </row>
    <row r="110" ht="14.25" customHeight="1" s="1">
      <c r="A110" s="28" t="inlineStr">
        <is>
          <t>Intereses</t>
        </is>
      </c>
      <c r="B110" s="55" t="n"/>
      <c r="C110" s="57">
        <f>B108*$B$103</f>
        <v/>
      </c>
      <c r="D110" s="57">
        <f>C108*$B$103</f>
        <v/>
      </c>
      <c r="E110" s="57">
        <f>D108*$B$103</f>
        <v/>
      </c>
      <c r="F110" s="57">
        <f>E108*$B$103</f>
        <v/>
      </c>
      <c r="G110" s="57">
        <f>F108*$B$103</f>
        <v/>
      </c>
      <c r="H110" s="57">
        <f>G108*$B$103</f>
        <v/>
      </c>
      <c r="I110" s="57">
        <f>H108*$B$103</f>
        <v/>
      </c>
    </row>
    <row r="111" ht="15.75" customHeight="1" s="1">
      <c r="A111" s="92" t="inlineStr">
        <is>
          <t>Abono a capital (amortización)</t>
        </is>
      </c>
      <c r="B111" s="93" t="n"/>
      <c r="C111" s="81">
        <f>C109-C110</f>
        <v/>
      </c>
      <c r="D111" s="81">
        <f>D109-D110</f>
        <v/>
      </c>
      <c r="E111" s="81">
        <f>E109-E110</f>
        <v/>
      </c>
      <c r="F111" s="81">
        <f>F109-F110</f>
        <v/>
      </c>
      <c r="G111" s="81">
        <f>G109-G110</f>
        <v/>
      </c>
      <c r="H111" s="81">
        <f>H109-H110</f>
        <v/>
      </c>
      <c r="I111" s="81">
        <f>I109-I110</f>
        <v/>
      </c>
    </row>
    <row r="112" ht="14.25" customHeight="1" s="1">
      <c r="B112" s="21" t="n"/>
    </row>
    <row r="113" ht="14.25" customHeight="1" s="1">
      <c r="A113" s="22" t="inlineStr">
        <is>
          <t>9.Flujo de caja del proyecto</t>
        </is>
      </c>
      <c r="B113" s="24" t="n"/>
    </row>
    <row r="114" ht="15.75" customHeight="1" s="1">
      <c r="A114" s="4" t="inlineStr">
        <is>
          <t>Flujo de caja del proyecto (con) Financiamiento)</t>
        </is>
      </c>
      <c r="B114" s="24" t="n"/>
    </row>
    <row r="115" ht="14.25" customHeight="1" s="1">
      <c r="A115" s="161" t="inlineStr">
        <is>
          <t>Concepto</t>
        </is>
      </c>
      <c r="B115" s="26" t="inlineStr">
        <is>
          <t>Año 0</t>
        </is>
      </c>
      <c r="C115" s="26" t="inlineStr">
        <is>
          <t>Año 1</t>
        </is>
      </c>
      <c r="D115" s="26" t="inlineStr">
        <is>
          <t>Año 2</t>
        </is>
      </c>
      <c r="E115" s="26" t="inlineStr">
        <is>
          <t>Año 3</t>
        </is>
      </c>
      <c r="F115" s="26" t="inlineStr">
        <is>
          <t>Año 4</t>
        </is>
      </c>
      <c r="G115" s="26" t="inlineStr">
        <is>
          <t>Año 5</t>
        </is>
      </c>
      <c r="H115" s="26" t="inlineStr">
        <is>
          <t>Año 6</t>
        </is>
      </c>
      <c r="I115" s="26" t="inlineStr">
        <is>
          <t>Año 7</t>
        </is>
      </c>
      <c r="J115" s="26" t="inlineStr">
        <is>
          <t>Año 8</t>
        </is>
      </c>
      <c r="K115" s="26" t="inlineStr">
        <is>
          <t>Año 9</t>
        </is>
      </c>
      <c r="L115" s="27" t="inlineStr">
        <is>
          <t>Año 10</t>
        </is>
      </c>
    </row>
    <row r="116" ht="14.25" customHeight="1" s="1">
      <c r="A116" s="94" t="inlineStr">
        <is>
          <t>+ Ingreso por ventas</t>
        </is>
      </c>
      <c r="B116" s="95" t="n"/>
      <c r="C116" s="96">
        <f>C33</f>
        <v/>
      </c>
      <c r="D116" s="96">
        <f>D33</f>
        <v/>
      </c>
      <c r="E116" s="96">
        <f>E33</f>
        <v/>
      </c>
      <c r="F116" s="96">
        <f>F33</f>
        <v/>
      </c>
      <c r="G116" s="96">
        <f>G33</f>
        <v/>
      </c>
      <c r="H116" s="96">
        <f>H33</f>
        <v/>
      </c>
      <c r="I116" s="96">
        <f>I33</f>
        <v/>
      </c>
      <c r="J116" s="96">
        <f>J33</f>
        <v/>
      </c>
      <c r="K116" s="96">
        <f>K33</f>
        <v/>
      </c>
      <c r="L116" s="97">
        <f>L33</f>
        <v/>
      </c>
    </row>
    <row r="117" ht="14.25" customHeight="1" s="1">
      <c r="A117" s="98" t="inlineStr">
        <is>
          <t>Ingreso por venta del terreno</t>
        </is>
      </c>
      <c r="B117" s="95" t="n"/>
      <c r="C117" s="95" t="n"/>
      <c r="D117" s="95" t="n"/>
      <c r="E117" s="95" t="n"/>
      <c r="F117" s="95" t="n"/>
      <c r="G117" s="95" t="n"/>
      <c r="H117" s="95" t="n"/>
      <c r="I117" s="95" t="n"/>
      <c r="J117" s="95" t="n"/>
      <c r="K117" s="95" t="n"/>
      <c r="L117" s="97">
        <f>B19</f>
        <v/>
      </c>
    </row>
    <row r="118" ht="14.25" customHeight="1" s="1">
      <c r="A118" s="94" t="inlineStr">
        <is>
          <t>- Egresos deducibles de impuestos</t>
        </is>
      </c>
      <c r="B118" s="95" t="n"/>
      <c r="C118" s="96">
        <f>SUM(C119:C121)</f>
        <v/>
      </c>
      <c r="D118" s="96">
        <f>SUM(D119:D121)</f>
        <v/>
      </c>
      <c r="E118" s="96">
        <f>SUM(E119:E121)</f>
        <v/>
      </c>
      <c r="F118" s="96">
        <f>SUM(F119:F121)</f>
        <v/>
      </c>
      <c r="G118" s="96">
        <f>SUM(G119:G121)</f>
        <v/>
      </c>
      <c r="H118" s="96">
        <f>SUM(H119:H121)</f>
        <v/>
      </c>
      <c r="I118" s="96">
        <f>SUM(I119:I121)</f>
        <v/>
      </c>
      <c r="J118" s="96">
        <f>SUM(J119:J121)</f>
        <v/>
      </c>
      <c r="K118" s="96">
        <f>SUM(K119:K121)</f>
        <v/>
      </c>
      <c r="L118" s="97">
        <f>SUM(L119:L121)</f>
        <v/>
      </c>
    </row>
    <row r="119" ht="14.25" customHeight="1" s="1">
      <c r="A119" s="99" t="inlineStr">
        <is>
          <t xml:space="preserve">     Costos variables</t>
        </is>
      </c>
      <c r="B119" s="100" t="n"/>
      <c r="C119" s="15">
        <f>C39</f>
        <v/>
      </c>
      <c r="D119" s="15">
        <f>D39</f>
        <v/>
      </c>
      <c r="E119" s="15">
        <f>E39</f>
        <v/>
      </c>
      <c r="F119" s="15">
        <f>F39</f>
        <v/>
      </c>
      <c r="G119" s="15">
        <f>G39</f>
        <v/>
      </c>
      <c r="H119" s="15">
        <f>H39</f>
        <v/>
      </c>
      <c r="I119" s="15">
        <f>I39</f>
        <v/>
      </c>
      <c r="J119" s="15">
        <f>J39</f>
        <v/>
      </c>
      <c r="K119" s="15">
        <f>K39</f>
        <v/>
      </c>
      <c r="L119" s="101">
        <f>L39</f>
        <v/>
      </c>
    </row>
    <row r="120" ht="14.25" customHeight="1" s="1">
      <c r="A120" s="99" t="inlineStr">
        <is>
          <t xml:space="preserve">     Costos Fijos</t>
        </is>
      </c>
      <c r="B120" s="100" t="n"/>
      <c r="C120" s="15">
        <f>C46</f>
        <v/>
      </c>
      <c r="D120" s="15">
        <f>D46</f>
        <v/>
      </c>
      <c r="E120" s="15">
        <f>E46</f>
        <v/>
      </c>
      <c r="F120" s="15">
        <f>F46</f>
        <v/>
      </c>
      <c r="G120" s="15">
        <f>G46</f>
        <v/>
      </c>
      <c r="H120" s="15">
        <f>H46</f>
        <v/>
      </c>
      <c r="I120" s="15">
        <f>I46</f>
        <v/>
      </c>
      <c r="J120" s="15">
        <f>J46</f>
        <v/>
      </c>
      <c r="K120" s="15">
        <f>K46</f>
        <v/>
      </c>
      <c r="L120" s="101">
        <f>L46</f>
        <v/>
      </c>
    </row>
    <row r="121" ht="14.25" customHeight="1" s="1">
      <c r="A121" s="99" t="inlineStr">
        <is>
          <t xml:space="preserve">     Gastos financieros</t>
        </is>
      </c>
      <c r="B121" s="100" t="n"/>
      <c r="C121" s="15">
        <f>C110</f>
        <v/>
      </c>
      <c r="D121" s="15">
        <f>D110</f>
        <v/>
      </c>
      <c r="E121" s="15">
        <f>E110</f>
        <v/>
      </c>
      <c r="F121" s="15">
        <f>F110</f>
        <v/>
      </c>
      <c r="G121" s="15">
        <f>G110</f>
        <v/>
      </c>
      <c r="H121" s="15">
        <f>H110</f>
        <v/>
      </c>
      <c r="I121" s="15">
        <f>I110</f>
        <v/>
      </c>
      <c r="J121" s="15">
        <f>J110</f>
        <v/>
      </c>
      <c r="K121" s="15">
        <f>K110</f>
        <v/>
      </c>
      <c r="L121" s="101">
        <f>L110</f>
        <v/>
      </c>
    </row>
    <row r="122" ht="14.25" customHeight="1" s="1">
      <c r="A122" s="94" t="inlineStr">
        <is>
          <t>- Gastos no desembolsables</t>
        </is>
      </c>
      <c r="B122" s="95" t="n"/>
      <c r="C122" s="96">
        <f>SUM(C123:C124)</f>
        <v/>
      </c>
      <c r="D122" s="96">
        <f>SUM(D123:D124)</f>
        <v/>
      </c>
      <c r="E122" s="96">
        <f>SUM(E123:E124)</f>
        <v/>
      </c>
      <c r="F122" s="96">
        <f>SUM(F123:F124)</f>
        <v/>
      </c>
      <c r="G122" s="96">
        <f>SUM(G123:G124)</f>
        <v/>
      </c>
      <c r="H122" s="96">
        <f>SUM(H123:H124)</f>
        <v/>
      </c>
      <c r="I122" s="96">
        <f>SUM(I123:I124)</f>
        <v/>
      </c>
      <c r="J122" s="96">
        <f>SUM(J123:J124)</f>
        <v/>
      </c>
      <c r="K122" s="96">
        <f>SUM(K123:K124)</f>
        <v/>
      </c>
      <c r="L122" s="97">
        <f>SUM(L123:L124)</f>
        <v/>
      </c>
    </row>
    <row r="123" ht="14.25" customHeight="1" s="1">
      <c r="A123" s="99" t="inlineStr">
        <is>
          <t xml:space="preserve">     Depreciación de activos</t>
        </is>
      </c>
      <c r="B123" s="100" t="n"/>
      <c r="C123" s="15">
        <f>C85</f>
        <v/>
      </c>
      <c r="D123" s="15">
        <f>D85</f>
        <v/>
      </c>
      <c r="E123" s="15">
        <f>E85</f>
        <v/>
      </c>
      <c r="F123" s="15">
        <f>F85</f>
        <v/>
      </c>
      <c r="G123" s="15">
        <f>G85</f>
        <v/>
      </c>
      <c r="H123" s="15">
        <f>H85</f>
        <v/>
      </c>
      <c r="I123" s="15">
        <f>I85</f>
        <v/>
      </c>
      <c r="J123" s="15">
        <f>J85</f>
        <v/>
      </c>
      <c r="K123" s="15">
        <f>K85</f>
        <v/>
      </c>
      <c r="L123" s="101">
        <f>L85</f>
        <v/>
      </c>
    </row>
    <row r="124" ht="14.25" customHeight="1" s="1">
      <c r="A124" s="99" t="inlineStr">
        <is>
          <t xml:space="preserve">     Amortización de pre-operativos</t>
        </is>
      </c>
      <c r="B124" s="100" t="n"/>
      <c r="C124" s="15">
        <f>C87</f>
        <v/>
      </c>
      <c r="D124" s="15">
        <f>D87</f>
        <v/>
      </c>
      <c r="E124" s="15">
        <f>E87</f>
        <v/>
      </c>
      <c r="F124" s="15">
        <f>F87</f>
        <v/>
      </c>
      <c r="G124" s="15">
        <f>G87</f>
        <v/>
      </c>
      <c r="H124" s="15">
        <f>H87</f>
        <v/>
      </c>
      <c r="I124" s="15">
        <f>I87</f>
        <v/>
      </c>
      <c r="J124" s="15">
        <f>J87</f>
        <v/>
      </c>
      <c r="K124" s="15">
        <f>K87</f>
        <v/>
      </c>
      <c r="L124" s="101">
        <f>L87</f>
        <v/>
      </c>
    </row>
    <row r="125" ht="14.25" customHeight="1" s="1">
      <c r="A125" s="94" t="inlineStr">
        <is>
          <t>= Utilidad antes de impuestos</t>
        </is>
      </c>
      <c r="B125" s="95" t="n"/>
      <c r="C125" s="96">
        <f>C116+C117-C118-C122</f>
        <v/>
      </c>
      <c r="D125" s="96">
        <f>D116+D117-D118-D122</f>
        <v/>
      </c>
      <c r="E125" s="96">
        <f>E116+E117-E118-E122</f>
        <v/>
      </c>
      <c r="F125" s="96">
        <f>F116+F117-F118-F122</f>
        <v/>
      </c>
      <c r="G125" s="96">
        <f>G116+G117-G118-G122</f>
        <v/>
      </c>
      <c r="H125" s="96">
        <f>H116+H117-H118-H122</f>
        <v/>
      </c>
      <c r="I125" s="96">
        <f>I116+I117-I118-I122</f>
        <v/>
      </c>
      <c r="J125" s="96">
        <f>J116+J117-J118-J122</f>
        <v/>
      </c>
      <c r="K125" s="96">
        <f>K116+K117-K118-K122</f>
        <v/>
      </c>
      <c r="L125" s="96">
        <f>L116+L117-L118-L122</f>
        <v/>
      </c>
    </row>
    <row r="126" ht="14.25" customHeight="1" s="1">
      <c r="A126" s="99" t="inlineStr">
        <is>
          <t>- Impuestos (30%)</t>
        </is>
      </c>
      <c r="B126" s="100" t="n"/>
      <c r="C126" s="10">
        <f>C125*$B$26</f>
        <v/>
      </c>
      <c r="D126" s="15">
        <f>D125*$B$26</f>
        <v/>
      </c>
      <c r="E126" s="15">
        <f>E125*$B$26</f>
        <v/>
      </c>
      <c r="F126" s="15">
        <f>F125*$B$26</f>
        <v/>
      </c>
      <c r="G126" s="15">
        <f>G125*$B$26</f>
        <v/>
      </c>
      <c r="H126" s="15">
        <f>H125*$B$26</f>
        <v/>
      </c>
      <c r="I126" s="15">
        <f>I125*$B$26</f>
        <v/>
      </c>
      <c r="J126" s="15">
        <f>J125*$B$26</f>
        <v/>
      </c>
      <c r="K126" s="15">
        <f>K125*$B$26</f>
        <v/>
      </c>
      <c r="L126" s="101">
        <f>L125*$B$26</f>
        <v/>
      </c>
    </row>
    <row r="127" ht="14.25" customHeight="1" s="1">
      <c r="A127" s="94" t="inlineStr">
        <is>
          <t>= Utilidad después de impuestos</t>
        </is>
      </c>
      <c r="B127" s="95" t="n"/>
      <c r="C127" s="96">
        <f>C125-C126</f>
        <v/>
      </c>
      <c r="D127" s="96">
        <f>D125-D126</f>
        <v/>
      </c>
      <c r="E127" s="96">
        <f>E125-E126</f>
        <v/>
      </c>
      <c r="F127" s="96">
        <f>F125-F126</f>
        <v/>
      </c>
      <c r="G127" s="96">
        <f>G125-G126</f>
        <v/>
      </c>
      <c r="H127" s="96">
        <f>H125-H126</f>
        <v/>
      </c>
      <c r="I127" s="96">
        <f>I125-I126</f>
        <v/>
      </c>
      <c r="J127" s="96">
        <f>J125-J126</f>
        <v/>
      </c>
      <c r="K127" s="96">
        <f>K125-K126</f>
        <v/>
      </c>
      <c r="L127" s="97">
        <f>L125-L126</f>
        <v/>
      </c>
    </row>
    <row r="128" ht="14.25" customHeight="1" s="1">
      <c r="A128" s="98" t="inlineStr">
        <is>
          <t>+ Gastos no desembolsables</t>
        </is>
      </c>
      <c r="B128" s="95" t="n"/>
      <c r="C128" s="96">
        <f>SUM(C129:C130)</f>
        <v/>
      </c>
      <c r="D128" s="96">
        <f>SUM(D129:D130)</f>
        <v/>
      </c>
      <c r="E128" s="96">
        <f>SUM(E129:E130)</f>
        <v/>
      </c>
      <c r="F128" s="96">
        <f>SUM(F129:F130)</f>
        <v/>
      </c>
      <c r="G128" s="96">
        <f>SUM(G129:G130)</f>
        <v/>
      </c>
      <c r="H128" s="96">
        <f>SUM(H129:H130)</f>
        <v/>
      </c>
      <c r="I128" s="96">
        <f>SUM(I129:I130)</f>
        <v/>
      </c>
      <c r="J128" s="96">
        <f>SUM(J129:J130)</f>
        <v/>
      </c>
      <c r="K128" s="96">
        <f>SUM(K129:K130)</f>
        <v/>
      </c>
      <c r="L128" s="97">
        <f>SUM(L129:L130)</f>
        <v/>
      </c>
    </row>
    <row r="129" ht="14.25" customHeight="1" s="1">
      <c r="A129" s="99" t="inlineStr">
        <is>
          <t xml:space="preserve">     Depreciación de activos</t>
        </is>
      </c>
      <c r="B129" s="100" t="n"/>
      <c r="C129" s="15">
        <f>C123</f>
        <v/>
      </c>
      <c r="D129" s="15">
        <f>D123</f>
        <v/>
      </c>
      <c r="E129" s="15">
        <f>E123</f>
        <v/>
      </c>
      <c r="F129" s="15">
        <f>F123</f>
        <v/>
      </c>
      <c r="G129" s="15">
        <f>G123</f>
        <v/>
      </c>
      <c r="H129" s="15">
        <f>H123</f>
        <v/>
      </c>
      <c r="I129" s="15">
        <f>I123</f>
        <v/>
      </c>
      <c r="J129" s="15">
        <f>J123</f>
        <v/>
      </c>
      <c r="K129" s="15">
        <f>K123</f>
        <v/>
      </c>
      <c r="L129" s="101">
        <f>L123</f>
        <v/>
      </c>
    </row>
    <row r="130" ht="14.25" customHeight="1" s="1">
      <c r="A130" s="99" t="inlineStr">
        <is>
          <t xml:space="preserve">     Amortización de pre-operativos</t>
        </is>
      </c>
      <c r="B130" s="100" t="n"/>
      <c r="C130" s="15">
        <f>C124</f>
        <v/>
      </c>
      <c r="D130" s="15">
        <f>D124</f>
        <v/>
      </c>
      <c r="E130" s="15">
        <f>E124</f>
        <v/>
      </c>
      <c r="F130" s="15">
        <f>F124</f>
        <v/>
      </c>
      <c r="G130" s="15">
        <f>G124</f>
        <v/>
      </c>
      <c r="H130" s="15">
        <f>H124</f>
        <v/>
      </c>
      <c r="I130" s="15">
        <f>I124</f>
        <v/>
      </c>
      <c r="J130" s="15">
        <f>J124</f>
        <v/>
      </c>
      <c r="K130" s="15">
        <f>K124</f>
        <v/>
      </c>
      <c r="L130" s="101">
        <f>L124</f>
        <v/>
      </c>
    </row>
    <row r="131" ht="14.25" customHeight="1" s="1">
      <c r="A131" s="94" t="inlineStr">
        <is>
          <t>+ Ingresos no sujetos a impuestos</t>
        </is>
      </c>
      <c r="B131" s="96">
        <f>SUM(B132:B134)</f>
        <v/>
      </c>
      <c r="C131" s="96">
        <f>SUM(C132:C134)</f>
        <v/>
      </c>
      <c r="D131" s="96">
        <f>SUM(D132:D134)</f>
        <v/>
      </c>
      <c r="E131" s="96">
        <f>SUM(E132:E134)</f>
        <v/>
      </c>
      <c r="F131" s="96">
        <f>SUM(F132:F134)</f>
        <v/>
      </c>
      <c r="G131" s="96">
        <f>SUM(G132:G134)</f>
        <v/>
      </c>
      <c r="H131" s="96">
        <f>SUM(H132:H134)</f>
        <v/>
      </c>
      <c r="I131" s="96">
        <f>SUM(I132:I134)</f>
        <v/>
      </c>
      <c r="J131" s="96">
        <f>SUM(J132:J134)</f>
        <v/>
      </c>
      <c r="K131" s="96">
        <f>SUM(K132:K134)</f>
        <v/>
      </c>
      <c r="L131" s="97">
        <f>SUM(L132:L134)</f>
        <v/>
      </c>
    </row>
    <row r="132" ht="14.25" customHeight="1" s="1">
      <c r="A132" s="99" t="inlineStr">
        <is>
          <t xml:space="preserve">     Valor de desecho</t>
        </is>
      </c>
      <c r="B132" s="100" t="n"/>
      <c r="C132" s="100" t="n"/>
      <c r="D132" s="100" t="n"/>
      <c r="E132" s="100" t="n"/>
      <c r="F132" s="100" t="n"/>
      <c r="G132" s="100" t="n"/>
      <c r="H132" s="100" t="n"/>
      <c r="I132" s="100" t="n"/>
      <c r="J132" s="100" t="n"/>
      <c r="K132" s="100" t="n"/>
      <c r="L132" s="101">
        <f>M98</f>
        <v/>
      </c>
    </row>
    <row r="133" ht="14.25" customHeight="1" s="1">
      <c r="A133" s="99" t="inlineStr">
        <is>
          <t xml:space="preserve">     Recuperación del capital de trabajo</t>
        </is>
      </c>
      <c r="B133" s="100" t="n"/>
      <c r="C133" s="100" t="n"/>
      <c r="D133" s="100" t="n"/>
      <c r="E133" s="100" t="n"/>
      <c r="F133" s="100" t="n"/>
      <c r="G133" s="100" t="n"/>
      <c r="H133" s="100" t="n"/>
      <c r="I133" s="100" t="n"/>
      <c r="J133" s="100" t="n"/>
      <c r="K133" s="100" t="n"/>
      <c r="L133" s="101">
        <f>-L77</f>
        <v/>
      </c>
    </row>
    <row r="134" ht="14.25" customHeight="1" s="1">
      <c r="A134" s="99" t="inlineStr">
        <is>
          <t xml:space="preserve">     Préstamo bancario</t>
        </is>
      </c>
      <c r="B134" s="15">
        <f>B102</f>
        <v/>
      </c>
      <c r="C134" s="100" t="n"/>
      <c r="D134" s="100" t="n"/>
      <c r="E134" s="100" t="n"/>
      <c r="F134" s="100" t="n"/>
      <c r="G134" s="100" t="n"/>
      <c r="H134" s="100" t="n"/>
      <c r="I134" s="100" t="n"/>
      <c r="J134" s="100" t="n"/>
      <c r="K134" s="100" t="n"/>
      <c r="L134" s="102" t="n"/>
    </row>
    <row r="135" ht="14.25" customHeight="1" s="1">
      <c r="A135" s="94" t="inlineStr">
        <is>
          <t>- Egresos no deducibles de impuestos</t>
        </is>
      </c>
      <c r="B135" s="96">
        <f>SUM(B136:B139)</f>
        <v/>
      </c>
      <c r="C135" s="96">
        <f>SUM(C136:C139)</f>
        <v/>
      </c>
      <c r="D135" s="96">
        <f>SUM(D136:D139)</f>
        <v/>
      </c>
      <c r="E135" s="96">
        <f>SUM(E136:E139)</f>
        <v/>
      </c>
      <c r="F135" s="96">
        <f>SUM(F136:F139)</f>
        <v/>
      </c>
      <c r="G135" s="96">
        <f>SUM(G136:G139)</f>
        <v/>
      </c>
      <c r="H135" s="96">
        <f>SUM(H136:H139)</f>
        <v/>
      </c>
      <c r="I135" s="96">
        <f>SUM(I136:I139)</f>
        <v/>
      </c>
      <c r="J135" s="96">
        <f>SUM(J136:J139)</f>
        <v/>
      </c>
      <c r="K135" s="96">
        <f>SUM(K136:K139)</f>
        <v/>
      </c>
      <c r="L135" s="103" t="n"/>
    </row>
    <row r="136" ht="14.25" customHeight="1" s="1">
      <c r="A136" s="99" t="inlineStr">
        <is>
          <t xml:space="preserve">     Activos (inv. 20 años, 10 años, 5 años, terreno)</t>
        </is>
      </c>
      <c r="B136" s="96">
        <f>SUM(B69:B72)</f>
        <v/>
      </c>
      <c r="C136" s="95" t="n"/>
      <c r="D136" s="95" t="n"/>
      <c r="E136" s="95" t="n"/>
      <c r="F136" s="95" t="n"/>
      <c r="G136" s="96">
        <f>G69</f>
        <v/>
      </c>
      <c r="H136" s="95" t="n"/>
      <c r="I136" s="95" t="n"/>
      <c r="J136" s="95" t="n"/>
      <c r="K136" s="95" t="n"/>
      <c r="L136" s="103" t="n"/>
    </row>
    <row r="137" ht="14.25" customHeight="1" s="1">
      <c r="A137" s="99" t="inlineStr">
        <is>
          <t xml:space="preserve">     Gastos de puesta en marcha (pre-operativos)</t>
        </is>
      </c>
      <c r="B137" s="15">
        <f>B74</f>
        <v/>
      </c>
      <c r="C137" s="100" t="n"/>
      <c r="D137" s="100" t="n"/>
      <c r="E137" s="100" t="n"/>
      <c r="F137" s="100" t="n"/>
      <c r="G137" s="100" t="n"/>
      <c r="H137" s="100" t="n"/>
      <c r="I137" s="100" t="n"/>
      <c r="J137" s="100" t="n"/>
      <c r="K137" s="100" t="n"/>
      <c r="L137" s="102" t="n"/>
    </row>
    <row r="138" ht="14.25" customHeight="1" s="1">
      <c r="A138" s="99" t="inlineStr">
        <is>
          <t xml:space="preserve">     Inversión en capital de trabajo</t>
        </is>
      </c>
      <c r="B138" s="15">
        <f>B76</f>
        <v/>
      </c>
      <c r="C138" s="15">
        <f>C76</f>
        <v/>
      </c>
      <c r="D138" s="15">
        <f>D76</f>
        <v/>
      </c>
      <c r="E138" s="15">
        <f>E76</f>
        <v/>
      </c>
      <c r="F138" s="15">
        <f>F76</f>
        <v/>
      </c>
      <c r="G138" s="15">
        <f>G76</f>
        <v/>
      </c>
      <c r="H138" s="15">
        <f>H76</f>
        <v/>
      </c>
      <c r="I138" s="15">
        <f>I76</f>
        <v/>
      </c>
      <c r="J138" s="15">
        <f>J76</f>
        <v/>
      </c>
      <c r="K138" s="15">
        <f>K76</f>
        <v/>
      </c>
      <c r="L138" s="101">
        <f>-L76</f>
        <v/>
      </c>
    </row>
    <row r="139" ht="14.25" customHeight="1" s="1">
      <c r="A139" s="99" t="inlineStr">
        <is>
          <t xml:space="preserve">     Pago préstamo bancario</t>
        </is>
      </c>
      <c r="B139" s="100" t="n"/>
      <c r="C139" s="15">
        <f>C111</f>
        <v/>
      </c>
      <c r="D139" s="15">
        <f>D111</f>
        <v/>
      </c>
      <c r="E139" s="15">
        <f>E111</f>
        <v/>
      </c>
      <c r="F139" s="15">
        <f>F111</f>
        <v/>
      </c>
      <c r="G139" s="15">
        <f>G111</f>
        <v/>
      </c>
      <c r="H139" s="15">
        <f>H111</f>
        <v/>
      </c>
      <c r="I139" s="15">
        <f>I111</f>
        <v/>
      </c>
      <c r="J139" s="15">
        <f>J111</f>
        <v/>
      </c>
      <c r="K139" s="15">
        <f>K111</f>
        <v/>
      </c>
      <c r="L139" s="101">
        <f>L111</f>
        <v/>
      </c>
    </row>
    <row r="140" ht="14.25" customHeight="1" s="1">
      <c r="A140" s="104" t="inlineStr">
        <is>
          <t>= Flujo de caja</t>
        </is>
      </c>
      <c r="B140" s="53">
        <f>B127+B128+B131-B135</f>
        <v/>
      </c>
      <c r="C140" s="53">
        <f>C127+C128+C131-C135</f>
        <v/>
      </c>
      <c r="D140" s="53">
        <f>D127+D128+D131-D135</f>
        <v/>
      </c>
      <c r="E140" s="53">
        <f>E127+E128+E131-E135</f>
        <v/>
      </c>
      <c r="F140" s="53">
        <f>F127+F128+F131-F135</f>
        <v/>
      </c>
      <c r="G140" s="53">
        <f>G127+G128+G131-G135</f>
        <v/>
      </c>
      <c r="H140" s="53">
        <f>H127+H128+H131-H135</f>
        <v/>
      </c>
      <c r="I140" s="53">
        <f>I127+I128+I131-I135</f>
        <v/>
      </c>
      <c r="J140" s="53">
        <f>J127+J128+J131-J135</f>
        <v/>
      </c>
      <c r="K140" s="53">
        <f>K127+K128+K131-K135</f>
        <v/>
      </c>
      <c r="L140" s="53">
        <f>L127+L128+L131-L135</f>
        <v/>
      </c>
    </row>
    <row r="141" ht="14.25" customHeight="1" s="1">
      <c r="A141" s="105" t="inlineStr">
        <is>
          <t>Flujo de caja acumulado (PRI)</t>
        </is>
      </c>
    </row>
    <row r="142" ht="14.25" customHeight="1" s="1">
      <c r="A142" s="145" t="inlineStr">
        <is>
          <t xml:space="preserve">     Flujo acumulado</t>
        </is>
      </c>
      <c r="B142" s="53">
        <f>B140</f>
        <v/>
      </c>
      <c r="C142" s="53">
        <f>B142+C140</f>
        <v/>
      </c>
      <c r="D142" s="53">
        <f>C142+D140</f>
        <v/>
      </c>
      <c r="E142" s="53">
        <f>D142+E140</f>
        <v/>
      </c>
      <c r="F142" s="53">
        <f>E142+F140</f>
        <v/>
      </c>
      <c r="G142" s="53">
        <f>F142+G140</f>
        <v/>
      </c>
      <c r="H142" s="53">
        <f>G142+H140</f>
        <v/>
      </c>
      <c r="I142" s="53">
        <f>H142+I140</f>
        <v/>
      </c>
      <c r="J142" s="53">
        <f>I142+J140</f>
        <v/>
      </c>
      <c r="K142" s="53">
        <f>J142+K140</f>
        <v/>
      </c>
      <c r="L142" s="53">
        <f>K142+L140</f>
        <v/>
      </c>
    </row>
    <row r="143" ht="14.25" customHeight="1" s="1">
      <c r="A143" s="105" t="inlineStr">
        <is>
          <t>Flujo descontado acumulado (PRID)</t>
        </is>
      </c>
    </row>
    <row r="144" ht="14.25" customHeight="1" s="1">
      <c r="A144" s="145" t="inlineStr">
        <is>
          <t xml:space="preserve">     Flujo desc. acumulado</t>
        </is>
      </c>
      <c r="B144" s="53">
        <f>B140</f>
        <v/>
      </c>
      <c r="C144" s="53">
        <f>B144+C140/(1+E150)^1</f>
        <v/>
      </c>
      <c r="D144" s="53">
        <f>C144+D140/(1+E150)^2</f>
        <v/>
      </c>
      <c r="E144" s="53">
        <f>D144+E140/(1+E150)^3</f>
        <v/>
      </c>
      <c r="F144" s="53">
        <f>E144+F140/(1+E150)^4</f>
        <v/>
      </c>
      <c r="G144" s="53">
        <f>F144+G140/(1+E150)^5</f>
        <v/>
      </c>
      <c r="H144" s="53">
        <f>G144+H140/(1+E150)^6</f>
        <v/>
      </c>
      <c r="I144" s="53">
        <f>H144+I140/(1+E150)^7</f>
        <v/>
      </c>
      <c r="J144" s="53">
        <f>I144+J140/(1+E150)^8</f>
        <v/>
      </c>
      <c r="K144" s="53">
        <f>J144+K140/(1+E150)^9</f>
        <v/>
      </c>
      <c r="L144" s="53">
        <f>K144+L140/(1+E150)^10</f>
        <v/>
      </c>
    </row>
    <row r="145" ht="14.25" customHeight="1" s="1">
      <c r="B145" s="21" t="n"/>
      <c r="F145" s="106" t="n"/>
    </row>
    <row r="146" ht="14.25" customHeight="1" s="1">
      <c r="A146" s="22" t="inlineStr">
        <is>
          <t>10. Costo del capital</t>
        </is>
      </c>
    </row>
    <row r="147" ht="14.25" customHeight="1" s="1">
      <c r="B147" s="107" t="inlineStr">
        <is>
          <t>Participación ($)</t>
        </is>
      </c>
      <c r="C147" s="107" t="inlineStr">
        <is>
          <t>Participación (%)</t>
        </is>
      </c>
      <c r="D147" s="107" t="inlineStr">
        <is>
          <t>Costo</t>
        </is>
      </c>
      <c r="E147" s="107" t="inlineStr">
        <is>
          <t>Costo promedio</t>
        </is>
      </c>
    </row>
    <row r="148" ht="14.25" customHeight="1" s="1">
      <c r="A148" s="4" t="inlineStr">
        <is>
          <t>Préstamo bancario</t>
        </is>
      </c>
      <c r="B148" s="147">
        <f>B102</f>
        <v/>
      </c>
      <c r="C148" s="149">
        <f>E102</f>
        <v/>
      </c>
      <c r="D148" s="149">
        <f>B103*(1-B26)</f>
        <v/>
      </c>
      <c r="E148" s="149">
        <f>C148*D148</f>
        <v/>
      </c>
    </row>
    <row r="149" ht="18" customHeight="1" s="1">
      <c r="A149" s="4" t="inlineStr">
        <is>
          <t>Fondos propios</t>
        </is>
      </c>
      <c r="B149" s="148">
        <f>B77-B148</f>
        <v/>
      </c>
      <c r="C149" s="150">
        <f>100%-C148</f>
        <v/>
      </c>
      <c r="D149" s="149">
        <f>B25</f>
        <v/>
      </c>
      <c r="E149" s="150">
        <f>C149*D149</f>
        <v/>
      </c>
    </row>
    <row r="150" ht="14.25" customHeight="1" s="1">
      <c r="B150" s="147">
        <f>SUM(B148:B149)</f>
        <v/>
      </c>
      <c r="C150" s="149">
        <f>SUM(C148:C149)</f>
        <v/>
      </c>
      <c r="D150" s="108" t="n"/>
      <c r="E150" s="149">
        <f>SUM(E148:E149)</f>
        <v/>
      </c>
    </row>
    <row r="152" ht="14.25" customHeight="1" s="1">
      <c r="A152" s="22" t="inlineStr">
        <is>
          <t>11. Indicadores financieros</t>
        </is>
      </c>
    </row>
    <row r="153" ht="14.25" customHeight="1" s="1">
      <c r="A153" s="109" t="inlineStr">
        <is>
          <t>VAN(WACC) =</t>
        </is>
      </c>
      <c r="B153" s="110">
        <f>RiskOutput("VAN - Francés")+NPV(E150,C140:L140)+B140</f>
        <v/>
      </c>
    </row>
    <row r="154" ht="14.25" customHeight="1" s="1">
      <c r="A154" s="109" t="inlineStr">
        <is>
          <t>TIR =</t>
        </is>
      </c>
      <c r="B154" s="151">
        <f>RiskOutput("TIR - Francés")+IRR(B140:L140)</f>
        <v/>
      </c>
    </row>
    <row r="155" ht="14.25" customHeight="1" s="1">
      <c r="A155" s="109" t="inlineStr">
        <is>
          <t>PRI =</t>
        </is>
      </c>
      <c r="B155" s="112">
        <f>IFERROR(MATCH(1,INDEX((C142:L142&gt;=0)*1,0),0),"&gt;10")</f>
        <v/>
      </c>
    </row>
    <row r="156" ht="14.25" customHeight="1" s="1">
      <c r="A156" s="109" t="inlineStr">
        <is>
          <t>PRID =</t>
        </is>
      </c>
      <c r="B156" s="112">
        <f>IFERROR(MATCH(1,INDEX((C144:L144&gt;=0)*1,0),0),"&gt;10")</f>
        <v/>
      </c>
    </row>
    <row r="157" ht="14.25" customHeight="1" s="1">
      <c r="A157" s="109" t="inlineStr">
        <is>
          <t>ID =</t>
        </is>
      </c>
      <c r="B157" s="142">
        <f>(NPV(E150,C140:L140)+B140+ABS(B140))/ABS(B140)</f>
        <v/>
      </c>
    </row>
    <row r="158" ht="14.25" customHeight="1" s="1">
      <c r="B158" s="21" t="n"/>
    </row>
    <row r="159" ht="14.25" customHeight="1" s="1">
      <c r="B159" s="21" t="n"/>
    </row>
    <row r="160" ht="14.25" customHeight="1" s="1">
      <c r="A160" s="105" t="n"/>
      <c r="B160" s="113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</row>
    <row r="161" ht="14.25" customHeight="1" s="1">
      <c r="A161" s="105" t="n"/>
      <c r="B161" s="121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</row>
    <row r="162" ht="14.25" customHeight="1" s="1">
      <c r="A162" s="105" t="n"/>
      <c r="B162" s="121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</row>
    <row r="163" ht="14.25" customHeight="1" s="1">
      <c r="A163" s="105" t="n"/>
      <c r="B163" s="121" t="n"/>
      <c r="C163" s="115" t="n"/>
      <c r="D163" s="115" t="n"/>
      <c r="E163" s="115" t="n"/>
      <c r="F163" s="115" t="n"/>
      <c r="G163" s="115" t="n"/>
      <c r="H163" s="115" t="n"/>
      <c r="I163" s="115" t="n"/>
      <c r="J163" s="115" t="n"/>
      <c r="K163" s="115" t="n"/>
      <c r="L163" s="115" t="n"/>
    </row>
    <row r="164" ht="14.25" customHeight="1" s="1">
      <c r="B164" s="21" t="n"/>
    </row>
    <row r="165" ht="14.25" customHeight="1" s="1">
      <c r="B165" s="21" t="n"/>
    </row>
    <row r="166" ht="14.25" customHeight="1" s="1">
      <c r="B166" s="21" t="n"/>
    </row>
  </sheetData>
  <mergeCells count="9">
    <mergeCell ref="A50:H50"/>
    <mergeCell ref="N9:Q11"/>
    <mergeCell ref="A55:H55"/>
    <mergeCell ref="A98:L98"/>
    <mergeCell ref="A92:A93"/>
    <mergeCell ref="N3:Q3"/>
    <mergeCell ref="C92:L92"/>
    <mergeCell ref="D3:I3"/>
    <mergeCell ref="B105:C105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00B050"/>
    <outlinePr summaryBelow="1" summaryRight="1"/>
    <pageSetUpPr/>
  </sheetPr>
  <dimension ref="A1:V166"/>
  <sheetViews>
    <sheetView workbookViewId="0">
      <selection activeCell="A1" sqref="A1"/>
    </sheetView>
  </sheetViews>
  <sheetFormatPr baseColWidth="10" defaultColWidth="8.6640625" defaultRowHeight="14.4"/>
  <cols>
    <col width="42.44140625" customWidth="1" style="1" min="1" max="1"/>
    <col width="15.5546875" customWidth="1" style="1" min="2" max="2"/>
    <col width="16.109375" customWidth="1" style="1" min="3" max="3"/>
    <col width="15.44140625" customWidth="1" style="1" min="4" max="8"/>
    <col width="15.5546875" customWidth="1" style="1" min="9" max="11"/>
    <col width="15.44140625" customWidth="1" style="1" min="12" max="12"/>
    <col width="13.5546875" customWidth="1" style="1" min="13" max="13"/>
    <col width="28" customWidth="1" style="1" min="14" max="14"/>
    <col width="13" customWidth="1" style="1" min="15" max="15"/>
    <col width="16" customWidth="1" style="1" min="16" max="16"/>
    <col width="18" customWidth="1" style="1" min="17" max="17"/>
    <col width="25.109375" customWidth="1" style="1" min="18" max="18"/>
    <col width="11.6640625" customWidth="1" style="1" min="19" max="19"/>
    <col width="13.44140625" customWidth="1" style="1" min="20" max="20"/>
    <col width="8.44140625" customWidth="1" style="1" min="21" max="21"/>
    <col width="10.6640625" customWidth="1" style="1" min="22" max="22"/>
  </cols>
  <sheetData>
    <row r="1" ht="15" customHeight="1" s="1">
      <c r="A1" s="2" t="inlineStr">
        <is>
          <t>Camaronera Industrial</t>
        </is>
      </c>
    </row>
    <row r="3" ht="14.25" customHeight="1" s="1">
      <c r="A3" s="3" t="inlineStr">
        <is>
          <t>Variables</t>
        </is>
      </c>
      <c r="D3" s="176" t="inlineStr">
        <is>
          <t>VARIABLES ESTOCASTICAS @RISK  -&gt;  ver columnas N:Q</t>
        </is>
      </c>
      <c r="N3" s="177" t="inlineStr">
        <is>
          <t>VARIABLES ESTOCÁSTICAS (@RISK)</t>
        </is>
      </c>
    </row>
    <row r="4" ht="14.25" customHeight="1" s="1">
      <c r="A4" s="4" t="inlineStr">
        <is>
          <t>Horizonte de evaluación (años)</t>
        </is>
      </c>
      <c r="B4" s="4" t="n">
        <v>10</v>
      </c>
      <c r="N4" s="178" t="inlineStr">
        <is>
          <t>Variable de entrada</t>
        </is>
      </c>
      <c r="O4" s="178" t="inlineStr">
        <is>
          <t>Distribución</t>
        </is>
      </c>
      <c r="P4" s="178" t="inlineStr">
        <is>
          <t>Valor (@RISK)</t>
        </is>
      </c>
      <c r="Q4" s="178" t="inlineStr">
        <is>
          <t>Rango (caso)</t>
        </is>
      </c>
    </row>
    <row r="5" ht="14.25" customHeight="1" s="1">
      <c r="A5" s="4" t="inlineStr">
        <is>
          <t>Devaluación</t>
        </is>
      </c>
      <c r="B5" s="5" t="n">
        <v>0.05</v>
      </c>
      <c r="N5" s="179" t="inlineStr">
        <is>
          <t>Inversión total (factor)</t>
        </is>
      </c>
      <c r="O5" s="180" t="inlineStr">
        <is>
          <t>Uniforme</t>
        </is>
      </c>
      <c r="P5" s="181">
        <f>RiskUniform(0.95,1.1,RiskStatic(1),RiskName("Factor de inversión"))</f>
        <v/>
      </c>
      <c r="Q5" s="180" t="inlineStr">
        <is>
          <t>-5% / +10%</t>
        </is>
      </c>
    </row>
    <row r="6" ht="14.25" customHeight="1" s="1">
      <c r="A6" s="4" t="inlineStr">
        <is>
          <t>Inflación</t>
        </is>
      </c>
      <c r="B6" s="5" t="n">
        <v>0.07000000000000001</v>
      </c>
      <c r="N6" s="179" t="inlineStr">
        <is>
          <t>Precio de venta FOB año 1 ($/Lb)</t>
        </is>
      </c>
      <c r="O6" s="180" t="inlineStr">
        <is>
          <t>Triangular</t>
        </is>
      </c>
      <c r="P6" s="182">
        <f>RiskTriang(2.6,3,3.5,RiskStatic(3),RiskName("Precio de venta FOB"))</f>
        <v/>
      </c>
      <c r="Q6" s="180" t="inlineStr">
        <is>
          <t>2.60 / 3.00 / 3.50</t>
        </is>
      </c>
    </row>
    <row r="7" ht="14.25" customHeight="1" s="1">
      <c r="B7" s="6" t="inlineStr">
        <is>
          <t>Año 0</t>
        </is>
      </c>
      <c r="C7" s="6" t="inlineStr">
        <is>
          <t>Año 1</t>
        </is>
      </c>
      <c r="D7" s="6" t="inlineStr">
        <is>
          <t>Año 2</t>
        </is>
      </c>
      <c r="E7" s="6" t="inlineStr">
        <is>
          <t>Año 3</t>
        </is>
      </c>
      <c r="F7" s="6" t="inlineStr">
        <is>
          <t>Año 4</t>
        </is>
      </c>
      <c r="G7" s="6" t="inlineStr">
        <is>
          <t>Año 5</t>
        </is>
      </c>
      <c r="H7" s="6" t="inlineStr">
        <is>
          <t>Año 6</t>
        </is>
      </c>
      <c r="I7" s="6" t="inlineStr">
        <is>
          <t>Año 7</t>
        </is>
      </c>
      <c r="J7" s="6" t="inlineStr">
        <is>
          <t>Año 8</t>
        </is>
      </c>
      <c r="K7" s="6" t="inlineStr">
        <is>
          <t>Año 9</t>
        </is>
      </c>
      <c r="L7" s="6" t="inlineStr">
        <is>
          <t>Año 10</t>
        </is>
      </c>
      <c r="N7" s="179" t="inlineStr">
        <is>
          <t>Producción neta (factor)</t>
        </is>
      </c>
      <c r="O7" s="180" t="inlineStr">
        <is>
          <t>Triangular</t>
        </is>
      </c>
      <c r="P7" s="181">
        <f>RiskTriang(0.8,1,1.1,RiskStatic(1),RiskName("Factor de producción"))</f>
        <v/>
      </c>
      <c r="Q7" s="180" t="inlineStr">
        <is>
          <t>80% / 100% / 110%</t>
        </is>
      </c>
    </row>
    <row r="8" ht="14.25" customHeight="1" s="1">
      <c r="A8" s="4" t="inlineStr">
        <is>
          <t>Área en producción (Ha)</t>
        </is>
      </c>
      <c r="B8" s="7" t="n"/>
      <c r="C8" s="8" t="n">
        <v>750</v>
      </c>
      <c r="D8" s="8" t="n">
        <v>900</v>
      </c>
      <c r="E8" s="8" t="n">
        <v>900</v>
      </c>
      <c r="F8" s="8" t="n">
        <v>900</v>
      </c>
      <c r="G8" s="8" t="n">
        <v>900</v>
      </c>
      <c r="H8" s="8" t="n">
        <v>900</v>
      </c>
      <c r="I8" s="8" t="n">
        <v>900</v>
      </c>
      <c r="J8" s="8" t="n">
        <v>900</v>
      </c>
      <c r="K8" s="8" t="n">
        <v>900</v>
      </c>
      <c r="L8" s="8" t="n">
        <v>900</v>
      </c>
    </row>
    <row r="9" ht="14.25" customHeight="1" s="1">
      <c r="A9" s="4" t="inlineStr">
        <is>
          <t>Producción neta (Lb/Ha/año)</t>
        </is>
      </c>
      <c r="B9" s="7" t="n"/>
      <c r="C9" s="9">
        <f>1225*$P$7</f>
        <v/>
      </c>
      <c r="D9" s="9">
        <f>1470*$P$7</f>
        <v/>
      </c>
      <c r="E9" s="9">
        <f>1715*$P$7</f>
        <v/>
      </c>
      <c r="F9" s="9">
        <f>1960*$P$7</f>
        <v/>
      </c>
      <c r="G9" s="9">
        <f>2205*$P$7</f>
        <v/>
      </c>
      <c r="H9" s="9">
        <f>2205*$P$7</f>
        <v/>
      </c>
      <c r="I9" s="9">
        <f>2205*$P$7</f>
        <v/>
      </c>
      <c r="J9" s="9">
        <f>2205*$P$7</f>
        <v/>
      </c>
      <c r="K9" s="9">
        <f>2205*$P$7</f>
        <v/>
      </c>
      <c r="L9" s="9">
        <f>2205*$P$7</f>
        <v/>
      </c>
      <c r="N9" s="183" t="inlineStr">
        <is>
          <t>Celdas amarillas = variables de incertidumbre del caso. VAN (B153) y TIR (B154) son salidas RiskOutput. Ejecute la simulacion con @RISK (Iniciar simulacion).</t>
        </is>
      </c>
    </row>
    <row r="10" ht="14.25" customHeight="1" s="1">
      <c r="A10" s="4" t="inlineStr">
        <is>
          <t>Producción neta total (Lb/año)</t>
        </is>
      </c>
      <c r="B10" s="7" t="n"/>
      <c r="C10" s="9">
        <f>C9*C8</f>
        <v/>
      </c>
      <c r="D10" s="9">
        <f>D9*D8</f>
        <v/>
      </c>
      <c r="E10" s="9">
        <f>E9*E8</f>
        <v/>
      </c>
      <c r="F10" s="9">
        <f>F9*F8</f>
        <v/>
      </c>
      <c r="G10" s="9">
        <f>G9*G8</f>
        <v/>
      </c>
      <c r="H10" s="9">
        <f>H9*H8</f>
        <v/>
      </c>
      <c r="I10" s="9">
        <f>I9*I8</f>
        <v/>
      </c>
      <c r="J10" s="9">
        <f>J9*J8</f>
        <v/>
      </c>
      <c r="K10" s="9">
        <f>K9*K8</f>
        <v/>
      </c>
      <c r="L10" s="9">
        <f>L9*L8</f>
        <v/>
      </c>
    </row>
    <row r="11" ht="14.25" customHeight="1" s="1">
      <c r="A11" s="4" t="inlineStr">
        <is>
          <t>Tasa de cambio</t>
        </is>
      </c>
      <c r="B11" s="7" t="n"/>
      <c r="C11" s="10" t="n">
        <v>1</v>
      </c>
      <c r="D11" s="10">
        <f>C11+(C11*$B$5)</f>
        <v/>
      </c>
      <c r="E11" s="10">
        <f>D11+(D11*$B$5)</f>
        <v/>
      </c>
      <c r="F11" s="10">
        <f>E11+(E11*$B$5)</f>
        <v/>
      </c>
      <c r="G11" s="10">
        <f>F11+(F11*$B$5)</f>
        <v/>
      </c>
      <c r="H11" s="10">
        <f>G11+(G11*$B$5)</f>
        <v/>
      </c>
      <c r="I11" s="10">
        <f>H11+(H11*$B$5)</f>
        <v/>
      </c>
      <c r="J11" s="10">
        <f>I11+(I11*$B$5)</f>
        <v/>
      </c>
      <c r="K11" s="10">
        <f>J11+(J11*$B$5)</f>
        <v/>
      </c>
      <c r="L11" s="10">
        <f>K11+(K11*$B$5)</f>
        <v/>
      </c>
    </row>
    <row r="12" ht="14.25" customHeight="1" s="1">
      <c r="A12" s="4" t="inlineStr">
        <is>
          <t>Precio de venta FOB ($/Lb)</t>
        </is>
      </c>
      <c r="B12" s="7" t="n"/>
      <c r="C12" s="11">
        <f>$P$6</f>
        <v/>
      </c>
      <c r="D12" s="11">
        <f>C12+(C12*$B$6)</f>
        <v/>
      </c>
      <c r="E12" s="11">
        <f>D12+(D12*$B$6)</f>
        <v/>
      </c>
      <c r="F12" s="11">
        <f>E12+(E12*$B$6)</f>
        <v/>
      </c>
      <c r="G12" s="11">
        <f>F12+(F12*$B$6)</f>
        <v/>
      </c>
      <c r="H12" s="11">
        <f>G12+(G12*$B$6)</f>
        <v/>
      </c>
      <c r="I12" s="11">
        <f>H12+(H12*$B$6)</f>
        <v/>
      </c>
      <c r="J12" s="11">
        <f>I12+(I12*$B$6)</f>
        <v/>
      </c>
      <c r="K12" s="11">
        <f>J12+(J12*$B$6)</f>
        <v/>
      </c>
      <c r="L12" s="11">
        <f>K12+(K12*$B$6)</f>
        <v/>
      </c>
    </row>
    <row r="13" ht="14.25" customHeight="1" s="1">
      <c r="A13" s="4" t="inlineStr">
        <is>
          <t>Capital de trabajo</t>
        </is>
      </c>
      <c r="B13" s="12" t="n"/>
      <c r="C13" s="13" t="n">
        <v>450000</v>
      </c>
      <c r="D13" s="13" t="n">
        <v>250000</v>
      </c>
      <c r="E13" s="13" t="n">
        <v>250000</v>
      </c>
      <c r="F13" s="13" t="n">
        <v>250000</v>
      </c>
      <c r="G13" s="13" t="n">
        <v>250000</v>
      </c>
      <c r="H13" s="13" t="n">
        <v>250000</v>
      </c>
      <c r="I13" s="13" t="n">
        <v>0</v>
      </c>
      <c r="J13" s="13" t="n">
        <v>0</v>
      </c>
      <c r="K13" s="13" t="n">
        <v>0</v>
      </c>
      <c r="L13" s="13" t="n">
        <v>0</v>
      </c>
    </row>
    <row r="14" ht="14.25" customHeight="1" s="1">
      <c r="A14" s="4" t="inlineStr">
        <is>
          <t>Costos variables ($1.45 x Lb)</t>
        </is>
      </c>
      <c r="B14" s="12" t="n"/>
      <c r="C14" s="11">
        <f>1.45</f>
        <v/>
      </c>
      <c r="D14" s="11">
        <f>C14+(C14*$B$6)</f>
        <v/>
      </c>
      <c r="E14" s="11">
        <f>D14+(D14*$B$6)</f>
        <v/>
      </c>
      <c r="F14" s="11">
        <f>E14+(E14*$B$6)</f>
        <v/>
      </c>
      <c r="G14" s="11">
        <f>F14+(F14*$B$6)</f>
        <v/>
      </c>
      <c r="H14" s="11">
        <f>G14+(G14*$B$6)</f>
        <v/>
      </c>
      <c r="I14" s="11">
        <f>H14+(H14*$B$6)</f>
        <v/>
      </c>
      <c r="J14" s="11">
        <f>I14+(I14*$B$6)</f>
        <v/>
      </c>
      <c r="K14" s="11">
        <f>J14+(J14*$B$6)</f>
        <v/>
      </c>
      <c r="L14" s="11">
        <f>K14+(K14*$B$6)</f>
        <v/>
      </c>
    </row>
    <row r="15" ht="14.25" customHeight="1" s="1">
      <c r="A15" s="4" t="inlineStr">
        <is>
          <t>Costos variables anuales</t>
        </is>
      </c>
      <c r="B15" s="14" t="n"/>
      <c r="C15" s="15">
        <f>C14*C10</f>
        <v/>
      </c>
      <c r="D15" s="15">
        <f>D14*D10</f>
        <v/>
      </c>
      <c r="E15" s="15">
        <f>E14*E10</f>
        <v/>
      </c>
      <c r="F15" s="15">
        <f>F14*F10</f>
        <v/>
      </c>
      <c r="G15" s="15">
        <f>G14*G10</f>
        <v/>
      </c>
      <c r="H15" s="15">
        <f>H14*H10</f>
        <v/>
      </c>
      <c r="I15" s="15">
        <f>I14*I10</f>
        <v/>
      </c>
      <c r="J15" s="15">
        <f>J14*J10</f>
        <v/>
      </c>
      <c r="K15" s="15">
        <f>K14*K10</f>
        <v/>
      </c>
      <c r="L15" s="15">
        <f>L14*L10</f>
        <v/>
      </c>
    </row>
    <row r="16" ht="14.25" customHeight="1" s="1">
      <c r="A16" s="4" t="inlineStr">
        <is>
          <t>Costos fijos de producción</t>
        </is>
      </c>
      <c r="B16" s="14" t="n"/>
      <c r="C16" s="15" t="n">
        <v>50000</v>
      </c>
      <c r="D16" s="15">
        <f>C16+(C16*$B$6)</f>
        <v/>
      </c>
      <c r="E16" s="15">
        <f>D16+(D16*$B$6)</f>
        <v/>
      </c>
      <c r="F16" s="15">
        <f>E16+(E16*$B$6)</f>
        <v/>
      </c>
      <c r="G16" s="15">
        <f>F16+(F16*$B$6)</f>
        <v/>
      </c>
      <c r="H16" s="15">
        <f>G16+(G16*$B$6)</f>
        <v/>
      </c>
      <c r="I16" s="15">
        <f>H16+(H16*$B$6)</f>
        <v/>
      </c>
      <c r="J16" s="15">
        <f>I16+(I16*$B$6)</f>
        <v/>
      </c>
      <c r="K16" s="15">
        <f>J16+(J16*$B$6)</f>
        <v/>
      </c>
      <c r="L16" s="15">
        <f>K16+(K16*$B$6)</f>
        <v/>
      </c>
    </row>
    <row r="17" ht="14.25" customHeight="1" s="1">
      <c r="A17" s="4" t="inlineStr">
        <is>
          <t>Gastos administrativos</t>
        </is>
      </c>
      <c r="B17" s="14" t="n"/>
      <c r="C17" s="15" t="n">
        <v>200000</v>
      </c>
      <c r="D17" s="15">
        <f>C17+(C17*$B$6)</f>
        <v/>
      </c>
      <c r="E17" s="15">
        <f>D17+(D17*$B$6)</f>
        <v/>
      </c>
      <c r="F17" s="15">
        <f>E17+(E17*$B$6)</f>
        <v/>
      </c>
      <c r="G17" s="15">
        <f>F17+(F17*$B$6)</f>
        <v/>
      </c>
      <c r="H17" s="15">
        <f>G17+(G17*$B$6)</f>
        <v/>
      </c>
      <c r="I17" s="15">
        <f>H17+(H17*$B$6)</f>
        <v/>
      </c>
      <c r="J17" s="15">
        <f>I17+(I17*$B$6)</f>
        <v/>
      </c>
      <c r="K17" s="15">
        <f>J17+(J17*$B$6)</f>
        <v/>
      </c>
      <c r="L17" s="15">
        <f>K17+(K17*$B$6)</f>
        <v/>
      </c>
    </row>
    <row r="18" ht="14.25" customHeight="1" s="1">
      <c r="K18" s="16" t="n"/>
    </row>
    <row r="19" ht="14.25" customHeight="1" s="1">
      <c r="A19" s="4" t="inlineStr">
        <is>
          <t>Valor residual del terreno</t>
        </is>
      </c>
      <c r="B19" s="17" t="n">
        <v>1250000</v>
      </c>
      <c r="K19" s="16" t="n"/>
    </row>
    <row r="20" ht="14.25" customHeight="1" s="1">
      <c r="A20" s="4" t="inlineStr">
        <is>
          <t>Valor residual de estanques y canales</t>
        </is>
      </c>
      <c r="B20" s="17" t="n">
        <v>1000000</v>
      </c>
      <c r="K20" s="16" t="n"/>
    </row>
    <row r="21" ht="14.25" customHeight="1" s="1">
      <c r="A21" s="4" t="inlineStr">
        <is>
          <t>Valor residual de edificios</t>
        </is>
      </c>
      <c r="B21" s="18" t="n">
        <v>50000</v>
      </c>
      <c r="K21" s="16" t="n"/>
    </row>
    <row r="22" ht="14.25" customHeight="1" s="1">
      <c r="A22" s="4" t="inlineStr">
        <is>
          <t>Tasa de fiananciamiento bancario</t>
        </is>
      </c>
      <c r="B22" s="5" t="n">
        <v>0.1</v>
      </c>
    </row>
    <row r="23" ht="14.25" customHeight="1" s="1">
      <c r="A23" s="4" t="inlineStr">
        <is>
          <t>Plazo del financiamiento bancario (años)</t>
        </is>
      </c>
      <c r="B23" s="19" t="n">
        <v>7</v>
      </c>
    </row>
    <row r="24" ht="14.25" customHeight="1" s="1">
      <c r="A24" s="4" t="inlineStr">
        <is>
          <t>Plazo del financiamiento bancario (valor)</t>
        </is>
      </c>
      <c r="B24" s="20">
        <f>5400000*0.5</f>
        <v/>
      </c>
    </row>
    <row r="25" ht="14.25" customHeight="1" s="1">
      <c r="A25" s="4" t="inlineStr">
        <is>
          <t>Tasa de corte</t>
        </is>
      </c>
      <c r="B25" s="5" t="n">
        <v>0.19</v>
      </c>
    </row>
    <row r="26" ht="14.25" customHeight="1" s="1">
      <c r="A26" s="4" t="inlineStr">
        <is>
          <t>Tasa de ISR</t>
        </is>
      </c>
      <c r="B26" s="5" t="n">
        <v>0.3</v>
      </c>
    </row>
    <row r="27" ht="14.25" customHeight="1" s="1">
      <c r="B27" s="21" t="n"/>
    </row>
    <row r="28" ht="14.25" customHeight="1" s="1">
      <c r="A28" s="22" t="inlineStr">
        <is>
          <t>1. Ingresos del proyecto</t>
        </is>
      </c>
      <c r="B28" s="21" t="n"/>
    </row>
    <row r="29" ht="15.75" customHeight="1" s="1">
      <c r="A29" s="23" t="inlineStr">
        <is>
          <t>Calendario de ingresos (venta del producto)</t>
        </is>
      </c>
      <c r="B29" s="24" t="n"/>
    </row>
    <row r="30" ht="14.25" customHeight="1" s="1">
      <c r="A30" s="161" t="inlineStr">
        <is>
          <t>Concepto</t>
        </is>
      </c>
      <c r="B30" s="26" t="inlineStr">
        <is>
          <t>Año 0</t>
        </is>
      </c>
      <c r="C30" s="26" t="inlineStr">
        <is>
          <t>Año 1</t>
        </is>
      </c>
      <c r="D30" s="26" t="inlineStr">
        <is>
          <t>Año 2</t>
        </is>
      </c>
      <c r="E30" s="26" t="inlineStr">
        <is>
          <t>Año 3</t>
        </is>
      </c>
      <c r="F30" s="26" t="inlineStr">
        <is>
          <t>Año 4</t>
        </is>
      </c>
      <c r="G30" s="26" t="inlineStr">
        <is>
          <t>Año 5</t>
        </is>
      </c>
      <c r="H30" s="26" t="inlineStr">
        <is>
          <t>Año 6</t>
        </is>
      </c>
      <c r="I30" s="26" t="inlineStr">
        <is>
          <t>Año 7</t>
        </is>
      </c>
      <c r="J30" s="26" t="inlineStr">
        <is>
          <t>Año 8</t>
        </is>
      </c>
      <c r="K30" s="26" t="inlineStr">
        <is>
          <t>Año 9</t>
        </is>
      </c>
      <c r="L30" s="27" t="inlineStr">
        <is>
          <t>Año 10</t>
        </is>
      </c>
    </row>
    <row r="31" ht="14.25" customHeight="1" s="1">
      <c r="A31" s="28" t="inlineStr">
        <is>
          <t>Cantidad de camarón (Lb)</t>
        </is>
      </c>
      <c r="B31" s="29" t="n"/>
      <c r="C31" s="30">
        <f>C10</f>
        <v/>
      </c>
      <c r="D31" s="30">
        <f>D10</f>
        <v/>
      </c>
      <c r="E31" s="30">
        <f>E10</f>
        <v/>
      </c>
      <c r="F31" s="30">
        <f>F10</f>
        <v/>
      </c>
      <c r="G31" s="30">
        <f>G10</f>
        <v/>
      </c>
      <c r="H31" s="30">
        <f>H10</f>
        <v/>
      </c>
      <c r="I31" s="30">
        <f>I10</f>
        <v/>
      </c>
      <c r="J31" s="30">
        <f>J10</f>
        <v/>
      </c>
      <c r="K31" s="30">
        <f>K10</f>
        <v/>
      </c>
      <c r="L31" s="31">
        <f>L10</f>
        <v/>
      </c>
    </row>
    <row r="32" ht="14.25" customHeight="1" s="1">
      <c r="A32" s="28" t="inlineStr">
        <is>
          <t>Precio unitario de venta ($/Lb)</t>
        </is>
      </c>
      <c r="B32" s="29" t="n"/>
      <c r="C32" s="32">
        <f>C12</f>
        <v/>
      </c>
      <c r="D32" s="32">
        <f>D12</f>
        <v/>
      </c>
      <c r="E32" s="32">
        <f>E12</f>
        <v/>
      </c>
      <c r="F32" s="32">
        <f>F12</f>
        <v/>
      </c>
      <c r="G32" s="32">
        <f>G12</f>
        <v/>
      </c>
      <c r="H32" s="32">
        <f>H12</f>
        <v/>
      </c>
      <c r="I32" s="32">
        <f>I12</f>
        <v/>
      </c>
      <c r="J32" s="32">
        <f>J12</f>
        <v/>
      </c>
      <c r="K32" s="32">
        <f>K12</f>
        <v/>
      </c>
      <c r="L32" s="33">
        <f>L12</f>
        <v/>
      </c>
    </row>
    <row r="33" ht="15.75" customHeight="1" s="1">
      <c r="A33" s="34" t="inlineStr">
        <is>
          <t>Ingresos</t>
        </is>
      </c>
      <c r="B33" s="35" t="n"/>
      <c r="C33" s="36">
        <f>C32*C31</f>
        <v/>
      </c>
      <c r="D33" s="36">
        <f>D32*D31</f>
        <v/>
      </c>
      <c r="E33" s="36">
        <f>E32*E31</f>
        <v/>
      </c>
      <c r="F33" s="36">
        <f>F32*F31</f>
        <v/>
      </c>
      <c r="G33" s="36">
        <f>G32*G31</f>
        <v/>
      </c>
      <c r="H33" s="36">
        <f>H32*H31</f>
        <v/>
      </c>
      <c r="I33" s="36">
        <f>I32*I31</f>
        <v/>
      </c>
      <c r="J33" s="36">
        <f>J32*J31</f>
        <v/>
      </c>
      <c r="K33" s="36">
        <f>K32*K31</f>
        <v/>
      </c>
      <c r="L33" s="37">
        <f>L32*L31</f>
        <v/>
      </c>
    </row>
    <row r="34" ht="14.25" customHeight="1" s="1">
      <c r="B34" s="21" t="n"/>
    </row>
    <row r="35" ht="14.25" customHeight="1" s="1">
      <c r="A35" s="22" t="inlineStr">
        <is>
          <t>2. Costos variables</t>
        </is>
      </c>
      <c r="B35" s="24" t="n"/>
    </row>
    <row r="36" ht="15.75" customHeight="1" s="1">
      <c r="A36" s="23" t="inlineStr">
        <is>
          <t>Calendario de costos variables</t>
        </is>
      </c>
      <c r="B36" s="24" t="n"/>
    </row>
    <row r="37" ht="14.25" customHeight="1" s="1">
      <c r="A37" s="161" t="inlineStr">
        <is>
          <t>Concepto</t>
        </is>
      </c>
      <c r="B37" s="26" t="inlineStr">
        <is>
          <t>Año 0</t>
        </is>
      </c>
      <c r="C37" s="26" t="inlineStr">
        <is>
          <t>Año 1</t>
        </is>
      </c>
      <c r="D37" s="26" t="inlineStr">
        <is>
          <t>Año 2</t>
        </is>
      </c>
      <c r="E37" s="26" t="inlineStr">
        <is>
          <t>Año 3</t>
        </is>
      </c>
      <c r="F37" s="26" t="inlineStr">
        <is>
          <t>Año 4</t>
        </is>
      </c>
      <c r="G37" s="26" t="inlineStr">
        <is>
          <t>Año 5</t>
        </is>
      </c>
      <c r="H37" s="26" t="inlineStr">
        <is>
          <t>Año 6</t>
        </is>
      </c>
      <c r="I37" s="26" t="inlineStr">
        <is>
          <t>Año 7</t>
        </is>
      </c>
      <c r="J37" s="26" t="inlineStr">
        <is>
          <t>Año 8</t>
        </is>
      </c>
      <c r="K37" s="26" t="inlineStr">
        <is>
          <t>Año 9</t>
        </is>
      </c>
      <c r="L37" s="27" t="inlineStr">
        <is>
          <t>Año 10</t>
        </is>
      </c>
    </row>
    <row r="38" ht="14.25" customHeight="1" s="1">
      <c r="A38" s="28" t="inlineStr">
        <is>
          <t>Costos variables</t>
        </is>
      </c>
      <c r="B38" s="29" t="n"/>
      <c r="C38" s="38">
        <f>C15</f>
        <v/>
      </c>
      <c r="D38" s="38">
        <f>D15</f>
        <v/>
      </c>
      <c r="E38" s="38">
        <f>E15</f>
        <v/>
      </c>
      <c r="F38" s="38">
        <f>F15</f>
        <v/>
      </c>
      <c r="G38" s="38">
        <f>G15</f>
        <v/>
      </c>
      <c r="H38" s="38">
        <f>H15</f>
        <v/>
      </c>
      <c r="I38" s="38">
        <f>I15</f>
        <v/>
      </c>
      <c r="J38" s="38">
        <f>J15</f>
        <v/>
      </c>
      <c r="K38" s="38">
        <f>K15</f>
        <v/>
      </c>
      <c r="L38" s="39">
        <f>L15</f>
        <v/>
      </c>
    </row>
    <row r="39" ht="15.75" customHeight="1" s="1">
      <c r="A39" s="40" t="inlineStr">
        <is>
          <t>Total de costos variables</t>
        </is>
      </c>
      <c r="B39" s="41" t="n"/>
      <c r="C39" s="36">
        <f>C38</f>
        <v/>
      </c>
      <c r="D39" s="36">
        <f>D38</f>
        <v/>
      </c>
      <c r="E39" s="36">
        <f>E38</f>
        <v/>
      </c>
      <c r="F39" s="36">
        <f>F38</f>
        <v/>
      </c>
      <c r="G39" s="36">
        <f>G38</f>
        <v/>
      </c>
      <c r="H39" s="36">
        <f>H38</f>
        <v/>
      </c>
      <c r="I39" s="36">
        <f>I38</f>
        <v/>
      </c>
      <c r="J39" s="36">
        <f>J38</f>
        <v/>
      </c>
      <c r="K39" s="36">
        <f>K38</f>
        <v/>
      </c>
      <c r="L39" s="37">
        <f>L38</f>
        <v/>
      </c>
    </row>
    <row r="40" ht="14.25" customHeight="1" s="1">
      <c r="B40" s="21" t="n"/>
    </row>
    <row r="41" ht="14.25" customHeight="1" s="1">
      <c r="A41" s="22" t="inlineStr">
        <is>
          <t xml:space="preserve">3. Costos  fijos </t>
        </is>
      </c>
      <c r="B41" s="24" t="n"/>
    </row>
    <row r="42" ht="15.75" customHeight="1" s="1">
      <c r="A42" s="23" t="inlineStr">
        <is>
          <t>Calendario de los costos fijos</t>
        </is>
      </c>
      <c r="B42" s="24" t="n"/>
    </row>
    <row r="43" ht="14.25" customHeight="1" s="1">
      <c r="A43" s="161" t="inlineStr">
        <is>
          <t>Concepto</t>
        </is>
      </c>
      <c r="B43" s="26" t="inlineStr">
        <is>
          <t>Año 0</t>
        </is>
      </c>
      <c r="C43" s="26" t="inlineStr">
        <is>
          <t>Año 1</t>
        </is>
      </c>
      <c r="D43" s="26" t="inlineStr">
        <is>
          <t>Año 2</t>
        </is>
      </c>
      <c r="E43" s="26" t="inlineStr">
        <is>
          <t>Año 3</t>
        </is>
      </c>
      <c r="F43" s="26" t="inlineStr">
        <is>
          <t>Año 4</t>
        </is>
      </c>
      <c r="G43" s="26" t="inlineStr">
        <is>
          <t>Año 5</t>
        </is>
      </c>
      <c r="H43" s="26" t="inlineStr">
        <is>
          <t>Año 6</t>
        </is>
      </c>
      <c r="I43" s="26" t="inlineStr">
        <is>
          <t>Año 7</t>
        </is>
      </c>
      <c r="J43" s="26" t="inlineStr">
        <is>
          <t>Año 8</t>
        </is>
      </c>
      <c r="K43" s="26" t="inlineStr">
        <is>
          <t>Año 9</t>
        </is>
      </c>
      <c r="L43" s="27" t="inlineStr">
        <is>
          <t>Año 10</t>
        </is>
      </c>
    </row>
    <row r="44" ht="14.25" customHeight="1" s="1">
      <c r="A44" s="28" t="inlineStr">
        <is>
          <t>Costos fijos de producción</t>
        </is>
      </c>
      <c r="B44" s="29" t="n"/>
      <c r="C44" s="38">
        <f>C16</f>
        <v/>
      </c>
      <c r="D44" s="38">
        <f>D16</f>
        <v/>
      </c>
      <c r="E44" s="38">
        <f>E16</f>
        <v/>
      </c>
      <c r="F44" s="38">
        <f>F16</f>
        <v/>
      </c>
      <c r="G44" s="38">
        <f>G16</f>
        <v/>
      </c>
      <c r="H44" s="38">
        <f>H16</f>
        <v/>
      </c>
      <c r="I44" s="38">
        <f>I16</f>
        <v/>
      </c>
      <c r="J44" s="38">
        <f>J16</f>
        <v/>
      </c>
      <c r="K44" s="38">
        <f>K16</f>
        <v/>
      </c>
      <c r="L44" s="39">
        <f>L16</f>
        <v/>
      </c>
    </row>
    <row r="45" ht="14.25" customHeight="1" s="1">
      <c r="A45" s="28" t="inlineStr">
        <is>
          <t>Gastos administrativos</t>
        </is>
      </c>
      <c r="B45" s="29" t="n"/>
      <c r="C45" s="38">
        <f>C17</f>
        <v/>
      </c>
      <c r="D45" s="38">
        <f>D17</f>
        <v/>
      </c>
      <c r="E45" s="38">
        <f>E17</f>
        <v/>
      </c>
      <c r="F45" s="38">
        <f>F17</f>
        <v/>
      </c>
      <c r="G45" s="38">
        <f>G17</f>
        <v/>
      </c>
      <c r="H45" s="38">
        <f>H17</f>
        <v/>
      </c>
      <c r="I45" s="38">
        <f>I17</f>
        <v/>
      </c>
      <c r="J45" s="38">
        <f>J17</f>
        <v/>
      </c>
      <c r="K45" s="38">
        <f>K17</f>
        <v/>
      </c>
      <c r="L45" s="39">
        <f>L17</f>
        <v/>
      </c>
    </row>
    <row r="46" ht="15.75" customHeight="1" s="1">
      <c r="A46" s="40" t="inlineStr">
        <is>
          <t>Total de costos fijos</t>
        </is>
      </c>
      <c r="B46" s="41" t="n"/>
      <c r="C46" s="36">
        <f>SUM(C44:C45)</f>
        <v/>
      </c>
      <c r="D46" s="36">
        <f>SUM(D44:D45)</f>
        <v/>
      </c>
      <c r="E46" s="36">
        <f>SUM(E44:E45)</f>
        <v/>
      </c>
      <c r="F46" s="36">
        <f>SUM(F44:F45)</f>
        <v/>
      </c>
      <c r="G46" s="36">
        <f>SUM(G44:G45)</f>
        <v/>
      </c>
      <c r="H46" s="36">
        <f>SUM(H44:H45)</f>
        <v/>
      </c>
      <c r="I46" s="36">
        <f>SUM(I44:I45)</f>
        <v/>
      </c>
      <c r="J46" s="36">
        <f>SUM(J44:J45)</f>
        <v/>
      </c>
      <c r="K46" s="36">
        <f>SUM(K44:K45)</f>
        <v/>
      </c>
      <c r="L46" s="37">
        <f>SUM(L44:L45)</f>
        <v/>
      </c>
    </row>
    <row r="47" ht="14.25" customHeight="1" s="1">
      <c r="B47" s="21" t="n"/>
    </row>
    <row r="48" ht="14.25" customHeight="1" s="1">
      <c r="A48" s="22" t="inlineStr">
        <is>
          <t>4. Capital de trabajo</t>
        </is>
      </c>
      <c r="B48" s="42" t="n"/>
      <c r="C48" s="43" t="n"/>
      <c r="D48" s="43" t="n"/>
      <c r="E48" s="43" t="n"/>
      <c r="F48" s="43" t="n"/>
      <c r="G48" s="43" t="n"/>
      <c r="H48" s="43" t="n"/>
    </row>
    <row r="49" ht="14.25" customHeight="1" s="1">
      <c r="A49" s="44" t="inlineStr">
        <is>
          <t>Capital de trabajo</t>
        </is>
      </c>
      <c r="B49" s="42" t="n"/>
      <c r="C49" s="43" t="n"/>
      <c r="D49" s="43" t="n"/>
      <c r="E49" s="43" t="n"/>
      <c r="F49" s="43" t="n"/>
      <c r="G49" s="43" t="n"/>
      <c r="H49" s="43" t="n"/>
    </row>
    <row r="50" ht="15.75" customHeight="1" s="1">
      <c r="A50" s="160" t="inlineStr">
        <is>
          <t>Necesidad de Efectivo</t>
        </is>
      </c>
    </row>
    <row r="51" ht="14.25" customHeight="1" s="1">
      <c r="A51" s="161" t="inlineStr">
        <is>
          <t>Concepto</t>
        </is>
      </c>
      <c r="B51" s="26" t="inlineStr">
        <is>
          <t>Año 0</t>
        </is>
      </c>
      <c r="C51" s="26" t="inlineStr">
        <is>
          <t>Año 1</t>
        </is>
      </c>
      <c r="D51" s="26" t="inlineStr">
        <is>
          <t>Año 2</t>
        </is>
      </c>
      <c r="E51" s="26" t="inlineStr">
        <is>
          <t>Año 3</t>
        </is>
      </c>
      <c r="F51" s="26" t="inlineStr">
        <is>
          <t>Año 4</t>
        </is>
      </c>
      <c r="G51" s="26" t="inlineStr">
        <is>
          <t>Año 5</t>
        </is>
      </c>
      <c r="H51" s="26" t="inlineStr">
        <is>
          <t>Año 6</t>
        </is>
      </c>
      <c r="I51" s="26" t="inlineStr">
        <is>
          <t>Año 7</t>
        </is>
      </c>
      <c r="J51" s="26" t="inlineStr">
        <is>
          <t>Año 8</t>
        </is>
      </c>
      <c r="K51" s="26" t="inlineStr">
        <is>
          <t>Año 9</t>
        </is>
      </c>
      <c r="L51" s="27" t="inlineStr">
        <is>
          <t>Año 10</t>
        </is>
      </c>
    </row>
    <row r="52" ht="14.25" customHeight="1" s="1">
      <c r="A52" s="28" t="inlineStr">
        <is>
          <t>Capital de trabajo</t>
        </is>
      </c>
      <c r="B52" s="45" t="n"/>
      <c r="C52" s="38">
        <f>C13+B52</f>
        <v/>
      </c>
      <c r="D52" s="38">
        <f>D13+C52</f>
        <v/>
      </c>
      <c r="E52" s="38">
        <f>E13+D52</f>
        <v/>
      </c>
      <c r="F52" s="38">
        <f>F13+E52</f>
        <v/>
      </c>
      <c r="G52" s="38">
        <f>G13+F52</f>
        <v/>
      </c>
      <c r="H52" s="38">
        <f>H13+G52</f>
        <v/>
      </c>
      <c r="I52" s="38">
        <f>I13+H52</f>
        <v/>
      </c>
      <c r="J52" s="38">
        <f>J13+I52</f>
        <v/>
      </c>
      <c r="K52" s="38">
        <f>K13+J52</f>
        <v/>
      </c>
      <c r="L52" s="38">
        <f>L13+K52</f>
        <v/>
      </c>
    </row>
    <row r="53" ht="15.75" customHeight="1" s="1">
      <c r="A53" s="34" t="inlineStr">
        <is>
          <t>Efectivo requerido en caja</t>
        </is>
      </c>
      <c r="B53" s="46" t="n"/>
      <c r="C53" s="36">
        <f>SUM(C52:C52)</f>
        <v/>
      </c>
      <c r="D53" s="36">
        <f>SUM(D52:D52)</f>
        <v/>
      </c>
      <c r="E53" s="36">
        <f>SUM(E52:E52)</f>
        <v/>
      </c>
      <c r="F53" s="36">
        <f>SUM(F52:F52)</f>
        <v/>
      </c>
      <c r="G53" s="36">
        <f>SUM(G52:G52)</f>
        <v/>
      </c>
      <c r="H53" s="36">
        <f>SUM(H52:H52)</f>
        <v/>
      </c>
      <c r="I53" s="36">
        <f>SUM(I52:I52)</f>
        <v/>
      </c>
      <c r="J53" s="36">
        <f>SUM(J52:J52)</f>
        <v/>
      </c>
      <c r="K53" s="36">
        <f>SUM(K52:K52)</f>
        <v/>
      </c>
      <c r="L53" s="37">
        <f>SUM(L52:L52)</f>
        <v/>
      </c>
    </row>
    <row r="54" ht="14.25" customHeight="1" s="1">
      <c r="A54" s="43" t="n"/>
      <c r="B54" s="42" t="n"/>
      <c r="C54" s="43" t="n"/>
      <c r="D54" s="43" t="n"/>
      <c r="E54" s="43" t="n"/>
      <c r="F54" s="43" t="n"/>
      <c r="G54" s="43" t="n"/>
      <c r="H54" s="43" t="n"/>
    </row>
    <row r="55" ht="15.75" customHeight="1" s="1">
      <c r="A55" s="160" t="inlineStr">
        <is>
          <t>Cálculo del Capital de Trabajo</t>
        </is>
      </c>
    </row>
    <row r="56" ht="14.25" customHeight="1" s="1">
      <c r="A56" s="161" t="inlineStr">
        <is>
          <t>Concepto</t>
        </is>
      </c>
      <c r="B56" s="26" t="inlineStr">
        <is>
          <t>Cobertura</t>
        </is>
      </c>
      <c r="C56" s="26" t="inlineStr">
        <is>
          <t>Año 1</t>
        </is>
      </c>
      <c r="D56" s="26" t="inlineStr">
        <is>
          <t>Año 2</t>
        </is>
      </c>
      <c r="E56" s="26" t="inlineStr">
        <is>
          <t>Año 3</t>
        </is>
      </c>
      <c r="F56" s="26" t="inlineStr">
        <is>
          <t>Año 4</t>
        </is>
      </c>
      <c r="G56" s="26" t="inlineStr">
        <is>
          <t>Año 5</t>
        </is>
      </c>
      <c r="H56" s="26" t="inlineStr">
        <is>
          <t>Año 6</t>
        </is>
      </c>
      <c r="I56" s="26" t="inlineStr">
        <is>
          <t>Año 7</t>
        </is>
      </c>
      <c r="J56" s="26" t="inlineStr">
        <is>
          <t>Año 8</t>
        </is>
      </c>
      <c r="K56" s="26" t="inlineStr">
        <is>
          <t>Año 9</t>
        </is>
      </c>
      <c r="L56" s="27" t="inlineStr">
        <is>
          <t>Año 10</t>
        </is>
      </c>
    </row>
    <row r="57" ht="14.25" customHeight="1" s="1">
      <c r="A57" s="47" t="inlineStr">
        <is>
          <t>Activo circulante</t>
        </is>
      </c>
      <c r="B57" s="48" t="n"/>
      <c r="C57" s="49">
        <f>C58</f>
        <v/>
      </c>
      <c r="D57" s="49">
        <f>D58</f>
        <v/>
      </c>
      <c r="E57" s="49">
        <f>E58</f>
        <v/>
      </c>
      <c r="F57" s="49">
        <f>F58</f>
        <v/>
      </c>
      <c r="G57" s="49">
        <f>G58</f>
        <v/>
      </c>
      <c r="H57" s="49">
        <f>H58</f>
        <v/>
      </c>
      <c r="I57" s="49">
        <f>I58</f>
        <v/>
      </c>
      <c r="J57" s="49">
        <f>J58</f>
        <v/>
      </c>
      <c r="K57" s="49">
        <f>K58</f>
        <v/>
      </c>
      <c r="L57" s="50">
        <f>L58</f>
        <v/>
      </c>
    </row>
    <row r="58" ht="14.25" customHeight="1" s="1">
      <c r="A58" s="28" t="inlineStr">
        <is>
          <t xml:space="preserve">     Efectivo </t>
        </is>
      </c>
      <c r="B58" s="45" t="n"/>
      <c r="C58" s="38">
        <f>C53</f>
        <v/>
      </c>
      <c r="D58" s="38">
        <f>D53</f>
        <v/>
      </c>
      <c r="E58" s="38">
        <f>E53</f>
        <v/>
      </c>
      <c r="F58" s="38">
        <f>F53</f>
        <v/>
      </c>
      <c r="G58" s="38">
        <f>G53</f>
        <v/>
      </c>
      <c r="H58" s="38">
        <f>H53</f>
        <v/>
      </c>
      <c r="I58" s="38">
        <f>I53</f>
        <v/>
      </c>
      <c r="J58" s="38">
        <f>J53</f>
        <v/>
      </c>
      <c r="K58" s="38">
        <f>K53</f>
        <v/>
      </c>
      <c r="L58" s="39">
        <f>L53</f>
        <v/>
      </c>
    </row>
    <row r="59" ht="14.25" customHeight="1" s="1">
      <c r="A59" s="47" t="inlineStr">
        <is>
          <t>Pasivo circulante</t>
        </is>
      </c>
      <c r="B59" s="48" t="n"/>
      <c r="C59" s="49">
        <f>SUM(C60:C61)</f>
        <v/>
      </c>
      <c r="D59" s="49">
        <f>SUM(D60:D61)</f>
        <v/>
      </c>
      <c r="E59" s="49">
        <f>SUM(E60:E61)</f>
        <v/>
      </c>
      <c r="F59" s="49">
        <f>SUM(F60:F61)</f>
        <v/>
      </c>
      <c r="G59" s="49">
        <f>SUM(G60:G61)</f>
        <v/>
      </c>
      <c r="H59" s="49">
        <f>SUM(H60:H61)</f>
        <v/>
      </c>
      <c r="I59" s="49">
        <f>SUM(I60:I61)</f>
        <v/>
      </c>
      <c r="J59" s="49">
        <f>SUM(J60:J61)</f>
        <v/>
      </c>
      <c r="K59" s="49">
        <f>SUM(K60:K61)</f>
        <v/>
      </c>
      <c r="L59" s="50">
        <f>SUM(L60:L61)</f>
        <v/>
      </c>
    </row>
    <row r="60" ht="14.25" customHeight="1" s="1">
      <c r="A60" s="28" t="inlineStr">
        <is>
          <t xml:space="preserve">     Cuentas por pagar</t>
        </is>
      </c>
      <c r="B60" s="45" t="n"/>
      <c r="C60" s="38" t="n">
        <v>0</v>
      </c>
      <c r="D60" s="38" t="n">
        <v>0</v>
      </c>
      <c r="E60" s="38" t="n">
        <v>0</v>
      </c>
      <c r="F60" s="38" t="n">
        <v>0</v>
      </c>
      <c r="G60" s="38" t="n">
        <v>0</v>
      </c>
      <c r="H60" s="38" t="n">
        <v>0</v>
      </c>
      <c r="I60" s="38" t="n">
        <v>0</v>
      </c>
      <c r="J60" s="38" t="n">
        <v>0</v>
      </c>
      <c r="K60" s="38" t="n">
        <v>0</v>
      </c>
      <c r="L60" s="39" t="n">
        <v>0</v>
      </c>
    </row>
    <row r="61" ht="14.25" customHeight="1" s="1">
      <c r="A61" s="28" t="inlineStr">
        <is>
          <t xml:space="preserve">     Proveedores</t>
        </is>
      </c>
      <c r="B61" s="45" t="n"/>
      <c r="C61" s="38" t="n">
        <v>0</v>
      </c>
      <c r="D61" s="38" t="n">
        <v>0</v>
      </c>
      <c r="E61" s="38" t="n">
        <v>0</v>
      </c>
      <c r="F61" s="38" t="n">
        <v>0</v>
      </c>
      <c r="G61" s="38" t="n">
        <v>0</v>
      </c>
      <c r="H61" s="38" t="n">
        <v>0</v>
      </c>
      <c r="I61" s="38" t="n">
        <v>0</v>
      </c>
      <c r="J61" s="38" t="n">
        <v>0</v>
      </c>
      <c r="K61" s="38" t="n">
        <v>0</v>
      </c>
      <c r="L61" s="39" t="n">
        <v>0</v>
      </c>
    </row>
    <row r="62" ht="14.25" customHeight="1" s="1">
      <c r="A62" s="51" t="inlineStr">
        <is>
          <t>Capital de Trabajo (Ac - Pc)</t>
        </is>
      </c>
      <c r="B62" s="52" t="n"/>
      <c r="C62" s="53">
        <f>C57-C59</f>
        <v/>
      </c>
      <c r="D62" s="53">
        <f>D57-D59</f>
        <v/>
      </c>
      <c r="E62" s="53">
        <f>E57-E59</f>
        <v/>
      </c>
      <c r="F62" s="53">
        <f>F57-F59</f>
        <v/>
      </c>
      <c r="G62" s="53">
        <f>G57-G59</f>
        <v/>
      </c>
      <c r="H62" s="53">
        <f>H57-H59</f>
        <v/>
      </c>
      <c r="I62" s="53">
        <f>I57-I59</f>
        <v/>
      </c>
      <c r="J62" s="53">
        <f>J57-J59</f>
        <v/>
      </c>
      <c r="K62" s="53">
        <f>K57-K59</f>
        <v/>
      </c>
      <c r="L62" s="54">
        <f>L57-L59</f>
        <v/>
      </c>
    </row>
    <row r="63" ht="15.75" customHeight="1" s="1">
      <c r="A63" s="34" t="inlineStr">
        <is>
          <t>Incremento Capital Trabajo</t>
        </is>
      </c>
      <c r="B63" s="36">
        <f>C62-B62</f>
        <v/>
      </c>
      <c r="C63" s="36">
        <f>D62-C62</f>
        <v/>
      </c>
      <c r="D63" s="36">
        <f>E62-D62</f>
        <v/>
      </c>
      <c r="E63" s="36">
        <f>F62-E62</f>
        <v/>
      </c>
      <c r="F63" s="36">
        <f>G62-F62</f>
        <v/>
      </c>
      <c r="G63" s="36">
        <f>H62-G62</f>
        <v/>
      </c>
      <c r="H63" s="36">
        <f>I62-H62</f>
        <v/>
      </c>
      <c r="I63" s="36">
        <f>J62-I62</f>
        <v/>
      </c>
      <c r="J63" s="36">
        <f>K62-J62</f>
        <v/>
      </c>
      <c r="K63" s="36">
        <f>L62-K62</f>
        <v/>
      </c>
      <c r="L63" s="37">
        <f>M62-L62</f>
        <v/>
      </c>
    </row>
    <row r="64" ht="14.25" customHeight="1" s="1">
      <c r="B64" s="24" t="n"/>
    </row>
    <row r="65" ht="14.25" customHeight="1" s="1">
      <c r="A65" s="22" t="inlineStr">
        <is>
          <t>5. Inversiones</t>
        </is>
      </c>
      <c r="B65" s="24" t="n"/>
    </row>
    <row r="66" ht="15.75" customHeight="1" s="1">
      <c r="A66" s="23" t="inlineStr">
        <is>
          <t>Calendario de inversiones</t>
        </is>
      </c>
      <c r="B66" s="24" t="n"/>
    </row>
    <row r="67" ht="14.25" customHeight="1" s="1">
      <c r="A67" s="161" t="inlineStr">
        <is>
          <t>Concepto</t>
        </is>
      </c>
      <c r="B67" s="26" t="inlineStr">
        <is>
          <t>Año 0</t>
        </is>
      </c>
      <c r="C67" s="26" t="inlineStr">
        <is>
          <t>Año 1</t>
        </is>
      </c>
      <c r="D67" s="26" t="inlineStr">
        <is>
          <t>Año 2</t>
        </is>
      </c>
      <c r="E67" s="26" t="inlineStr">
        <is>
          <t>Año 3</t>
        </is>
      </c>
      <c r="F67" s="26" t="inlineStr">
        <is>
          <t>Año 4</t>
        </is>
      </c>
      <c r="G67" s="26" t="inlineStr">
        <is>
          <t>Año 5</t>
        </is>
      </c>
      <c r="H67" s="26" t="inlineStr">
        <is>
          <t>Año 6</t>
        </is>
      </c>
      <c r="I67" s="26" t="inlineStr">
        <is>
          <t>Año 7</t>
        </is>
      </c>
      <c r="J67" s="26" t="inlineStr">
        <is>
          <t>Año 8</t>
        </is>
      </c>
      <c r="K67" s="26" t="inlineStr">
        <is>
          <t>Año 9</t>
        </is>
      </c>
      <c r="L67" s="27" t="inlineStr">
        <is>
          <t>Año 10</t>
        </is>
      </c>
    </row>
    <row r="68" ht="14.25" customHeight="1" s="1">
      <c r="A68" s="47" t="inlineStr">
        <is>
          <t>Activos Fijos</t>
        </is>
      </c>
      <c r="B68" s="55" t="n"/>
      <c r="C68" s="55" t="n"/>
      <c r="D68" s="55" t="n"/>
      <c r="E68" s="55" t="n"/>
      <c r="F68" s="55" t="n"/>
      <c r="G68" s="55" t="n"/>
      <c r="H68" s="55" t="n"/>
      <c r="I68" s="55" t="n"/>
      <c r="J68" s="55" t="n"/>
      <c r="K68" s="55" t="n"/>
      <c r="L68" s="56" t="n"/>
    </row>
    <row r="69" ht="14.25" customHeight="1" s="1">
      <c r="A69" s="28" t="inlineStr">
        <is>
          <t xml:space="preserve">   Inversiones a 20 años</t>
        </is>
      </c>
      <c r="B69" s="57">
        <f>100000*$P$5</f>
        <v/>
      </c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6" t="n"/>
    </row>
    <row r="70" ht="14.25" customHeight="1" s="1">
      <c r="A70" s="28" t="inlineStr">
        <is>
          <t xml:space="preserve">  Inversiones a 10 años</t>
        </is>
      </c>
      <c r="B70" s="57">
        <f>(3000000+200000+450000+50000)*$P$5</f>
        <v/>
      </c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6" t="n"/>
    </row>
    <row r="71" ht="14.25" customHeight="1" s="1">
      <c r="A71" s="28" t="inlineStr">
        <is>
          <t xml:space="preserve">  Inversiones a 5 años</t>
        </is>
      </c>
      <c r="B71" s="57">
        <f>(300000+100000)*$P$5</f>
        <v/>
      </c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6" t="n"/>
    </row>
    <row r="72" ht="14.25" customHeight="1" s="1">
      <c r="A72" s="28" t="inlineStr">
        <is>
          <t xml:space="preserve">  Inversion terrenos</t>
        </is>
      </c>
      <c r="B72" s="57">
        <f>750000*$P$5</f>
        <v/>
      </c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6" t="n"/>
    </row>
    <row r="73" ht="14.25" customHeight="1" s="1">
      <c r="A73" s="47" t="inlineStr">
        <is>
          <t>Gastos Pre-operativos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6" t="n"/>
    </row>
    <row r="74" ht="14.25" customHeight="1" s="1">
      <c r="A74" s="28" t="inlineStr">
        <is>
          <t xml:space="preserve">  Gastos puesta en marcha</t>
        </is>
      </c>
      <c r="B74" s="57" t="n">
        <v>0</v>
      </c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6" t="n"/>
    </row>
    <row r="75" ht="14.25" customHeight="1" s="1">
      <c r="A75" s="47" t="inlineStr">
        <is>
          <t>Capital de trabajo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6" t="n"/>
    </row>
    <row r="76" ht="14.25" customHeight="1" s="1">
      <c r="A76" s="28" t="inlineStr">
        <is>
          <t xml:space="preserve">   Capital de trabajo</t>
        </is>
      </c>
      <c r="B76" s="57">
        <f>B63</f>
        <v/>
      </c>
      <c r="C76" s="57">
        <f>C63</f>
        <v/>
      </c>
      <c r="D76" s="57">
        <f>D63</f>
        <v/>
      </c>
      <c r="E76" s="57">
        <f>E63</f>
        <v/>
      </c>
      <c r="F76" s="57">
        <f>F63</f>
        <v/>
      </c>
      <c r="G76" s="57">
        <f>G63</f>
        <v/>
      </c>
      <c r="H76" s="57">
        <f>H63</f>
        <v/>
      </c>
      <c r="I76" s="57">
        <f>I63</f>
        <v/>
      </c>
      <c r="J76" s="57">
        <f>J63</f>
        <v/>
      </c>
      <c r="K76" s="57">
        <f>K63</f>
        <v/>
      </c>
      <c r="L76" s="58">
        <f>L63</f>
        <v/>
      </c>
    </row>
    <row r="77" ht="15.75" customHeight="1" s="1">
      <c r="A77" s="40" t="inlineStr">
        <is>
          <t>Total Inversiones</t>
        </is>
      </c>
      <c r="B77" s="59">
        <f>SUM(B68:B76)</f>
        <v/>
      </c>
      <c r="C77" s="59">
        <f>SUM(C68:C76)</f>
        <v/>
      </c>
      <c r="D77" s="59">
        <f>SUM(D68:D76)</f>
        <v/>
      </c>
      <c r="E77" s="59">
        <f>SUM(E68:E76)</f>
        <v/>
      </c>
      <c r="F77" s="59">
        <f>SUM(F68:F76)</f>
        <v/>
      </c>
      <c r="G77" s="59">
        <f>SUM(G68:G76)</f>
        <v/>
      </c>
      <c r="H77" s="59">
        <f>SUM(H68:H76)</f>
        <v/>
      </c>
      <c r="I77" s="59">
        <f>SUM(I68:I76)</f>
        <v/>
      </c>
      <c r="J77" s="59">
        <f>SUM(J68:J76)</f>
        <v/>
      </c>
      <c r="K77" s="59">
        <f>SUM(K68:K76)</f>
        <v/>
      </c>
      <c r="L77" s="60">
        <f>SUM(L68:L76)</f>
        <v/>
      </c>
    </row>
    <row r="78" ht="14.25" customHeight="1" s="1">
      <c r="B78" s="21" t="n"/>
    </row>
    <row r="79" ht="14.25" customHeight="1" s="1">
      <c r="A79" s="22" t="inlineStr">
        <is>
          <t>6.  Depreciaciones y Amortizaciones</t>
        </is>
      </c>
      <c r="B79" s="24" t="n"/>
    </row>
    <row r="80" ht="15.75" customHeight="1" s="1">
      <c r="A80" s="23" t="inlineStr">
        <is>
          <t>Calendario de Depreciaciones y Amortizaciones</t>
        </is>
      </c>
      <c r="B80" s="24" t="n"/>
    </row>
    <row r="81" ht="14.25" customHeight="1" s="1">
      <c r="A81" s="161" t="inlineStr">
        <is>
          <t>Concepto</t>
        </is>
      </c>
      <c r="B81" s="26" t="inlineStr">
        <is>
          <t>Año 0</t>
        </is>
      </c>
      <c r="C81" s="26" t="inlineStr">
        <is>
          <t>Año 1</t>
        </is>
      </c>
      <c r="D81" s="26" t="inlineStr">
        <is>
          <t>Año 2</t>
        </is>
      </c>
      <c r="E81" s="26" t="inlineStr">
        <is>
          <t>Año 3</t>
        </is>
      </c>
      <c r="F81" s="26" t="inlineStr">
        <is>
          <t>Año 4</t>
        </is>
      </c>
      <c r="G81" s="26" t="inlineStr">
        <is>
          <t>Año 5</t>
        </is>
      </c>
      <c r="H81" s="26" t="inlineStr">
        <is>
          <t>Año 6</t>
        </is>
      </c>
      <c r="I81" s="26" t="inlineStr">
        <is>
          <t>Año 7</t>
        </is>
      </c>
      <c r="J81" s="26" t="inlineStr">
        <is>
          <t>Año 8</t>
        </is>
      </c>
      <c r="K81" s="26" t="inlineStr">
        <is>
          <t>Año 9</t>
        </is>
      </c>
      <c r="L81" s="27" t="inlineStr">
        <is>
          <t>Año 10</t>
        </is>
      </c>
      <c r="R81" s="61" t="inlineStr">
        <is>
          <t>Inversión</t>
        </is>
      </c>
      <c r="S81" s="62" t="inlineStr">
        <is>
          <t>Valor Activo</t>
        </is>
      </c>
      <c r="T81" s="62" t="inlineStr">
        <is>
          <t>Valor residual</t>
        </is>
      </c>
      <c r="U81" s="62" t="inlineStr">
        <is>
          <t>Vida útil</t>
        </is>
      </c>
      <c r="V81" s="62" t="inlineStr">
        <is>
          <t>Dep. Anual</t>
        </is>
      </c>
    </row>
    <row r="82" ht="14.25" customHeight="1" s="1">
      <c r="A82" s="28" t="inlineStr">
        <is>
          <t>Inversiones a 20 años</t>
        </is>
      </c>
      <c r="B82" s="55" t="n"/>
      <c r="C82" s="57">
        <f>$V$82</f>
        <v/>
      </c>
      <c r="D82" s="57">
        <f>$V$82</f>
        <v/>
      </c>
      <c r="E82" s="57">
        <f>$V$82</f>
        <v/>
      </c>
      <c r="F82" s="57">
        <f>$V$82</f>
        <v/>
      </c>
      <c r="G82" s="57">
        <f>$V$82</f>
        <v/>
      </c>
      <c r="H82" s="57">
        <f>$V$82</f>
        <v/>
      </c>
      <c r="I82" s="57">
        <f>$V$82</f>
        <v/>
      </c>
      <c r="J82" s="57">
        <f>$V$82</f>
        <v/>
      </c>
      <c r="K82" s="57">
        <f>$V$82</f>
        <v/>
      </c>
      <c r="L82" s="57">
        <f>$V$82</f>
        <v/>
      </c>
      <c r="R82" s="63" t="inlineStr">
        <is>
          <t>Edificio</t>
        </is>
      </c>
      <c r="S82" s="15">
        <f>B69</f>
        <v/>
      </c>
      <c r="T82" s="64" t="n">
        <v>50000</v>
      </c>
      <c r="U82" s="65" t="n">
        <v>20</v>
      </c>
      <c r="V82" s="15">
        <f>(S82-T82)/U82</f>
        <v/>
      </c>
    </row>
    <row r="83" ht="14.25" customHeight="1" s="1">
      <c r="A83" s="28" t="inlineStr">
        <is>
          <t>Inversiones a 10 años</t>
        </is>
      </c>
      <c r="B83" s="55" t="n"/>
      <c r="C83" s="57">
        <f>$V$83+$V$84</f>
        <v/>
      </c>
      <c r="D83" s="57">
        <f>$V$83+$V$84</f>
        <v/>
      </c>
      <c r="E83" s="57">
        <f>$V$83+$V$84</f>
        <v/>
      </c>
      <c r="F83" s="57">
        <f>$V$83+$V$84</f>
        <v/>
      </c>
      <c r="G83" s="57">
        <f>$V$83+$V$84</f>
        <v/>
      </c>
      <c r="H83" s="57">
        <f>$V$83+$V$84</f>
        <v/>
      </c>
      <c r="I83" s="57">
        <f>$V$83+$V$84</f>
        <v/>
      </c>
      <c r="J83" s="57">
        <f>$V$83+$V$84</f>
        <v/>
      </c>
      <c r="K83" s="57">
        <f>$V$83+$V$84</f>
        <v/>
      </c>
      <c r="L83" s="57">
        <f>$V$83+$V$84</f>
        <v/>
      </c>
      <c r="R83" s="63" t="inlineStr">
        <is>
          <t>Estanque y canales</t>
        </is>
      </c>
      <c r="S83" s="15">
        <f>3000000*$P$5</f>
        <v/>
      </c>
      <c r="T83" s="64" t="n">
        <v>1000000</v>
      </c>
      <c r="U83" s="66" t="n">
        <v>10</v>
      </c>
      <c r="V83" s="15">
        <f>(S83-T83)/U83</f>
        <v/>
      </c>
    </row>
    <row r="84" ht="14.25" customHeight="1" s="1">
      <c r="A84" s="28" t="inlineStr">
        <is>
          <t>Inversiones a 5 años</t>
        </is>
      </c>
      <c r="B84" s="55" t="n"/>
      <c r="C84" s="57">
        <f>$V$85</f>
        <v/>
      </c>
      <c r="D84" s="57">
        <f>$V$85</f>
        <v/>
      </c>
      <c r="E84" s="57">
        <f>$V$85</f>
        <v/>
      </c>
      <c r="F84" s="57">
        <f>$V$85</f>
        <v/>
      </c>
      <c r="G84" s="57">
        <f>$V$85</f>
        <v/>
      </c>
      <c r="H84" s="57" t="n">
        <v>0</v>
      </c>
      <c r="I84" s="57" t="n">
        <v>0</v>
      </c>
      <c r="J84" s="57" t="n">
        <v>0</v>
      </c>
      <c r="K84" s="57" t="n">
        <v>0</v>
      </c>
      <c r="L84" s="57" t="n">
        <v>0</v>
      </c>
      <c r="R84" s="63" t="inlineStr">
        <is>
          <t>Maq &amp; Equipo</t>
        </is>
      </c>
      <c r="S84" s="67">
        <f>B70-S83</f>
        <v/>
      </c>
      <c r="T84" s="63" t="n">
        <v>0</v>
      </c>
      <c r="U84" s="65" t="n">
        <v>10</v>
      </c>
      <c r="V84" s="15">
        <f>(S84-T84)/U84</f>
        <v/>
      </c>
    </row>
    <row r="85" ht="14.25" customHeight="1" s="1">
      <c r="A85" s="68" t="inlineStr">
        <is>
          <t>Total Depreciación</t>
        </is>
      </c>
      <c r="B85" s="69" t="n"/>
      <c r="C85" s="70">
        <f>SUM(C82:C84)</f>
        <v/>
      </c>
      <c r="D85" s="70">
        <f>SUM(D82:D84)</f>
        <v/>
      </c>
      <c r="E85" s="70">
        <f>SUM(E82:E84)</f>
        <v/>
      </c>
      <c r="F85" s="70">
        <f>SUM(F82:F84)</f>
        <v/>
      </c>
      <c r="G85" s="70">
        <f>SUM(G82:G84)</f>
        <v/>
      </c>
      <c r="H85" s="70">
        <f>SUM(H82:H84)</f>
        <v/>
      </c>
      <c r="I85" s="70">
        <f>SUM(I82:I84)</f>
        <v/>
      </c>
      <c r="J85" s="70">
        <f>SUM(J82:J84)</f>
        <v/>
      </c>
      <c r="K85" s="70">
        <f>SUM(K82:K84)</f>
        <v/>
      </c>
      <c r="L85" s="70">
        <f>SUM(L82:L84)</f>
        <v/>
      </c>
      <c r="R85" s="63" t="inlineStr">
        <is>
          <t>Vehículos y embarcaciones</t>
        </is>
      </c>
      <c r="S85" s="15">
        <f>B71</f>
        <v/>
      </c>
      <c r="T85" s="64" t="n">
        <v>0</v>
      </c>
      <c r="U85" s="66" t="n">
        <v>5</v>
      </c>
      <c r="V85" s="15">
        <f>(S85-T85)/U85</f>
        <v/>
      </c>
    </row>
    <row r="86" ht="14.25" customHeight="1" s="1">
      <c r="A86" s="71" t="n"/>
      <c r="B86" s="55" t="n"/>
      <c r="C86" s="55" t="n"/>
      <c r="D86" s="55" t="n"/>
      <c r="E86" s="55" t="n"/>
      <c r="F86" s="55" t="n"/>
      <c r="G86" s="55" t="n"/>
      <c r="H86" s="55" t="n"/>
      <c r="I86" s="55" t="n"/>
      <c r="J86" s="55" t="n"/>
      <c r="K86" s="55" t="n"/>
      <c r="L86" s="56" t="n"/>
      <c r="S86" s="72">
        <f>SUM(S82:S85)</f>
        <v/>
      </c>
    </row>
    <row r="87" ht="14.25" customHeight="1" s="1">
      <c r="A87" s="28" t="inlineStr">
        <is>
          <t>Amortización pre-operativos</t>
        </is>
      </c>
      <c r="B87" s="55" t="n"/>
      <c r="C87" s="57">
        <f>$B$74/10</f>
        <v/>
      </c>
      <c r="D87" s="57">
        <f>$B$74/10</f>
        <v/>
      </c>
      <c r="E87" s="57">
        <f>$B$74/10</f>
        <v/>
      </c>
      <c r="F87" s="57">
        <f>$B$74/10</f>
        <v/>
      </c>
      <c r="G87" s="57">
        <f>$B$74/10</f>
        <v/>
      </c>
      <c r="H87" s="57">
        <f>$B$74/10</f>
        <v/>
      </c>
      <c r="I87" s="57">
        <f>$B$74/10</f>
        <v/>
      </c>
      <c r="J87" s="57">
        <f>$B$74/10</f>
        <v/>
      </c>
      <c r="K87" s="57">
        <f>$B$74/10</f>
        <v/>
      </c>
      <c r="L87" s="73">
        <f>$B$74/10</f>
        <v/>
      </c>
      <c r="O87" s="74" t="n"/>
    </row>
    <row r="88" ht="15.75" customHeight="1" s="1">
      <c r="A88" s="40" t="inlineStr">
        <is>
          <t>Total Amortización</t>
        </is>
      </c>
      <c r="B88" s="75" t="n"/>
      <c r="C88" s="59">
        <f>SUM(C87)</f>
        <v/>
      </c>
      <c r="D88" s="59">
        <f>SUM(D87)</f>
        <v/>
      </c>
      <c r="E88" s="59">
        <f>SUM(E87)</f>
        <v/>
      </c>
      <c r="F88" s="59">
        <f>SUM(F87)</f>
        <v/>
      </c>
      <c r="G88" s="59">
        <f>SUM(G87)</f>
        <v/>
      </c>
      <c r="H88" s="59">
        <f>SUM(H87)</f>
        <v/>
      </c>
      <c r="I88" s="59">
        <f>SUM(I87)</f>
        <v/>
      </c>
      <c r="J88" s="59">
        <f>SUM(J87)</f>
        <v/>
      </c>
      <c r="K88" s="59">
        <f>SUM(K87)</f>
        <v/>
      </c>
      <c r="L88" s="60">
        <f>SUM(L87)</f>
        <v/>
      </c>
      <c r="O88" s="74" t="n"/>
    </row>
    <row r="89" ht="14.25" customHeight="1" s="1">
      <c r="B89" s="21" t="n"/>
    </row>
    <row r="90" ht="14.25" customHeight="1" s="1">
      <c r="A90" s="22" t="inlineStr">
        <is>
          <t>7. Valor de desecho del proyecto</t>
        </is>
      </c>
      <c r="B90" s="24" t="n"/>
    </row>
    <row r="91" ht="15.75" customHeight="1" s="1">
      <c r="A91" s="23" t="inlineStr">
        <is>
          <t>Clalculo del valor de desecho del proyecto (método contable)</t>
        </is>
      </c>
      <c r="B91" s="24" t="n"/>
    </row>
    <row r="92" ht="14.25" customHeight="1" s="1">
      <c r="A92" s="161" t="inlineStr">
        <is>
          <t>Concepto</t>
        </is>
      </c>
      <c r="B92" s="162" t="inlineStr">
        <is>
          <t>Valor del</t>
        </is>
      </c>
      <c r="C92" s="162" t="inlineStr">
        <is>
          <t>Depreciación por periodo</t>
        </is>
      </c>
      <c r="D92" s="170" t="n"/>
      <c r="E92" s="170" t="n"/>
      <c r="F92" s="170" t="n"/>
      <c r="G92" s="170" t="n"/>
      <c r="H92" s="170" t="n"/>
      <c r="I92" s="170" t="n"/>
      <c r="J92" s="170" t="n"/>
      <c r="K92" s="170" t="n"/>
      <c r="L92" s="171" t="n"/>
      <c r="M92" s="77" t="inlineStr">
        <is>
          <t>Valor de</t>
        </is>
      </c>
    </row>
    <row r="93" ht="14.25" customHeight="1" s="1">
      <c r="A93" s="172" t="n"/>
      <c r="B93" s="62" t="inlineStr">
        <is>
          <t>Activo</t>
        </is>
      </c>
      <c r="C93" s="78" t="inlineStr">
        <is>
          <t>Año 1</t>
        </is>
      </c>
      <c r="D93" s="78" t="inlineStr">
        <is>
          <t>Año 2</t>
        </is>
      </c>
      <c r="E93" s="78" t="inlineStr">
        <is>
          <t>Año 3</t>
        </is>
      </c>
      <c r="F93" s="78" t="inlineStr">
        <is>
          <t>Año 4</t>
        </is>
      </c>
      <c r="G93" s="78" t="inlineStr">
        <is>
          <t>Año 5</t>
        </is>
      </c>
      <c r="H93" s="78" t="inlineStr">
        <is>
          <t>Año 6</t>
        </is>
      </c>
      <c r="I93" s="78" t="inlineStr">
        <is>
          <t>Año 7</t>
        </is>
      </c>
      <c r="J93" s="78" t="inlineStr">
        <is>
          <t>Año 8</t>
        </is>
      </c>
      <c r="K93" s="78" t="inlineStr">
        <is>
          <t>Año 9</t>
        </is>
      </c>
      <c r="L93" s="78" t="inlineStr">
        <is>
          <t>Año 10</t>
        </is>
      </c>
      <c r="M93" s="79" t="inlineStr">
        <is>
          <t>Desecho</t>
        </is>
      </c>
    </row>
    <row r="94" ht="14.25" customHeight="1" s="1">
      <c r="A94" s="28" t="inlineStr">
        <is>
          <t>Inversiones a 20 años</t>
        </is>
      </c>
      <c r="B94" s="57">
        <f>B69</f>
        <v/>
      </c>
      <c r="C94" s="57">
        <f>C82</f>
        <v/>
      </c>
      <c r="D94" s="57">
        <f>D82</f>
        <v/>
      </c>
      <c r="E94" s="57">
        <f>E82</f>
        <v/>
      </c>
      <c r="F94" s="57">
        <f>F82</f>
        <v/>
      </c>
      <c r="G94" s="57">
        <f>G82</f>
        <v/>
      </c>
      <c r="H94" s="57">
        <f>H82</f>
        <v/>
      </c>
      <c r="I94" s="57">
        <f>I82</f>
        <v/>
      </c>
      <c r="J94" s="57">
        <f>J82</f>
        <v/>
      </c>
      <c r="K94" s="57">
        <f>K82</f>
        <v/>
      </c>
      <c r="L94" s="57">
        <f>L82</f>
        <v/>
      </c>
      <c r="M94" s="73">
        <f>B94-SUM(C94:L94)</f>
        <v/>
      </c>
    </row>
    <row r="95" ht="14.25" customHeight="1" s="1">
      <c r="A95" s="28" t="inlineStr">
        <is>
          <t>Inversiones a 10 años</t>
        </is>
      </c>
      <c r="B95" s="57">
        <f>B70</f>
        <v/>
      </c>
      <c r="C95" s="57">
        <f>C83</f>
        <v/>
      </c>
      <c r="D95" s="57">
        <f>D83</f>
        <v/>
      </c>
      <c r="E95" s="57">
        <f>E83</f>
        <v/>
      </c>
      <c r="F95" s="57">
        <f>F83</f>
        <v/>
      </c>
      <c r="G95" s="57">
        <f>G83</f>
        <v/>
      </c>
      <c r="H95" s="57">
        <f>H83</f>
        <v/>
      </c>
      <c r="I95" s="57">
        <f>I83</f>
        <v/>
      </c>
      <c r="J95" s="57">
        <f>J83</f>
        <v/>
      </c>
      <c r="K95" s="57">
        <f>K83</f>
        <v/>
      </c>
      <c r="L95" s="57">
        <f>L83</f>
        <v/>
      </c>
      <c r="M95" s="73">
        <f>B95-SUM(C95:L95)</f>
        <v/>
      </c>
    </row>
    <row r="96" ht="14.25" customHeight="1" s="1">
      <c r="A96" s="28" t="inlineStr">
        <is>
          <t>Inversiones a 5 años</t>
        </is>
      </c>
      <c r="B96" s="57">
        <f>B71</f>
        <v/>
      </c>
      <c r="C96" s="57">
        <f>C84</f>
        <v/>
      </c>
      <c r="D96" s="57">
        <f>D84</f>
        <v/>
      </c>
      <c r="E96" s="57">
        <f>E84</f>
        <v/>
      </c>
      <c r="F96" s="57">
        <f>F84</f>
        <v/>
      </c>
      <c r="G96" s="57">
        <f>G84</f>
        <v/>
      </c>
      <c r="H96" s="57">
        <f>H84</f>
        <v/>
      </c>
      <c r="I96" s="57">
        <f>I84</f>
        <v/>
      </c>
      <c r="J96" s="57">
        <f>J84</f>
        <v/>
      </c>
      <c r="K96" s="57">
        <f>K84</f>
        <v/>
      </c>
      <c r="L96" s="57">
        <f>L84</f>
        <v/>
      </c>
      <c r="M96" s="73">
        <f>B96-SUM(C96:L96)</f>
        <v/>
      </c>
    </row>
    <row r="97" ht="15.75" customHeight="1" s="1">
      <c r="A97" s="80" t="inlineStr">
        <is>
          <t>Amortización pre-operativos</t>
        </is>
      </c>
      <c r="B97" s="81">
        <f>B74</f>
        <v/>
      </c>
      <c r="C97" s="81">
        <f>C87</f>
        <v/>
      </c>
      <c r="D97" s="81">
        <f>D87</f>
        <v/>
      </c>
      <c r="E97" s="81">
        <f>E87</f>
        <v/>
      </c>
      <c r="F97" s="81">
        <f>F87</f>
        <v/>
      </c>
      <c r="G97" s="81">
        <f>G87</f>
        <v/>
      </c>
      <c r="H97" s="81">
        <f>H87</f>
        <v/>
      </c>
      <c r="I97" s="81">
        <f>I87</f>
        <v/>
      </c>
      <c r="J97" s="81">
        <f>J87</f>
        <v/>
      </c>
      <c r="K97" s="81">
        <f>K87</f>
        <v/>
      </c>
      <c r="L97" s="81">
        <f>L87</f>
        <v/>
      </c>
      <c r="M97" s="82">
        <f>B97-SUM(C97:L97)</f>
        <v/>
      </c>
    </row>
    <row r="98" ht="15.75" customHeight="1" s="1">
      <c r="A98" s="163" t="inlineStr">
        <is>
          <t>Valor de desecho total</t>
        </is>
      </c>
      <c r="B98" s="173" t="n"/>
      <c r="C98" s="173" t="n"/>
      <c r="D98" s="173" t="n"/>
      <c r="E98" s="173" t="n"/>
      <c r="F98" s="173" t="n"/>
      <c r="G98" s="173" t="n"/>
      <c r="H98" s="173" t="n"/>
      <c r="I98" s="173" t="n"/>
      <c r="J98" s="173" t="n"/>
      <c r="K98" s="173" t="n"/>
      <c r="L98" s="174" t="n"/>
      <c r="M98" s="83">
        <f>SUM(M94:M97)</f>
        <v/>
      </c>
    </row>
    <row r="99" ht="14.25" customHeight="1" s="1">
      <c r="B99" s="21" t="n"/>
    </row>
    <row r="100" ht="14.25" customHeight="1" s="1">
      <c r="A100" s="22" t="inlineStr">
        <is>
          <t>8. Financiamiento</t>
        </is>
      </c>
      <c r="B100" s="24" t="n"/>
    </row>
    <row r="101" ht="15.75" customHeight="1" s="1">
      <c r="A101" s="44" t="inlineStr">
        <is>
          <t>Cálculo del Financiamiento</t>
        </is>
      </c>
      <c r="B101" s="42" t="n"/>
      <c r="C101" s="43" t="n"/>
      <c r="D101" s="43" t="n"/>
      <c r="E101" s="43" t="n"/>
    </row>
    <row r="102" ht="14.25" customHeight="1" s="1">
      <c r="A102" s="84" t="inlineStr">
        <is>
          <t>Financiamiento bancario (valor)</t>
        </is>
      </c>
      <c r="B102" s="85">
        <f>B77*E102</f>
        <v/>
      </c>
      <c r="C102" s="86" t="n"/>
      <c r="D102" s="43" t="n"/>
      <c r="E102" s="87" t="n">
        <v>0.5</v>
      </c>
    </row>
    <row r="103" ht="14.25" customHeight="1" s="1">
      <c r="A103" s="28" t="inlineStr">
        <is>
          <t>Financiamiento bancario (tasa)</t>
        </is>
      </c>
      <c r="B103" s="88">
        <f>B22</f>
        <v/>
      </c>
      <c r="C103" s="89" t="n"/>
      <c r="D103" s="43" t="n"/>
      <c r="E103" s="43" t="n"/>
    </row>
    <row r="104" ht="14.25" customHeight="1" s="1">
      <c r="A104" s="28" t="inlineStr">
        <is>
          <t>Financiamiento bancario (periodos)</t>
        </is>
      </c>
      <c r="B104" s="90" t="n">
        <v>7</v>
      </c>
      <c r="C104" s="91" t="inlineStr">
        <is>
          <t>años</t>
        </is>
      </c>
      <c r="D104" s="43" t="n"/>
      <c r="E104" s="43" t="n"/>
    </row>
    <row r="105" ht="15.75" customHeight="1" s="1">
      <c r="A105" s="92" t="inlineStr">
        <is>
          <t>Modalidad</t>
        </is>
      </c>
      <c r="B105" s="159" t="inlineStr">
        <is>
          <t>Pagos exactos</t>
        </is>
      </c>
      <c r="C105" s="175" t="n"/>
      <c r="D105" s="43" t="n"/>
      <c r="E105" s="43" t="n"/>
    </row>
    <row r="106" ht="15.75" customHeight="1" s="1">
      <c r="A106" s="43" t="n"/>
      <c r="B106" s="42" t="n"/>
      <c r="C106" s="43" t="n"/>
      <c r="D106" s="43" t="n"/>
      <c r="E106" s="43" t="n"/>
    </row>
    <row r="107" ht="14.25" customHeight="1" s="1">
      <c r="A107" s="161" t="inlineStr">
        <is>
          <t>Concepto</t>
        </is>
      </c>
      <c r="B107" s="26" t="inlineStr">
        <is>
          <t>Año 0</t>
        </is>
      </c>
      <c r="C107" s="26" t="inlineStr">
        <is>
          <t>Año 1</t>
        </is>
      </c>
      <c r="D107" s="26" t="inlineStr">
        <is>
          <t>Año 2</t>
        </is>
      </c>
      <c r="E107" s="26" t="inlineStr">
        <is>
          <t>Año 3</t>
        </is>
      </c>
      <c r="F107" s="26" t="inlineStr">
        <is>
          <t>Año 4</t>
        </is>
      </c>
      <c r="G107" s="26" t="inlineStr">
        <is>
          <t>Año 5</t>
        </is>
      </c>
      <c r="H107" s="26" t="inlineStr">
        <is>
          <t>Año 6</t>
        </is>
      </c>
      <c r="I107" s="26" t="inlineStr">
        <is>
          <t>Año 7</t>
        </is>
      </c>
    </row>
    <row r="108" ht="14.25" customHeight="1" s="1">
      <c r="A108" s="28" t="inlineStr">
        <is>
          <t xml:space="preserve">Saldo crédito </t>
        </is>
      </c>
      <c r="B108" s="57">
        <f>B102</f>
        <v/>
      </c>
      <c r="C108" s="57">
        <f>B108-C111</f>
        <v/>
      </c>
      <c r="D108" s="57">
        <f>C108-D111</f>
        <v/>
      </c>
      <c r="E108" s="57">
        <f>D108-E111</f>
        <v/>
      </c>
      <c r="F108" s="57">
        <f>E108-F111</f>
        <v/>
      </c>
      <c r="G108" s="57">
        <f>F108-G111</f>
        <v/>
      </c>
      <c r="H108" s="57">
        <f>G108-H111</f>
        <v/>
      </c>
      <c r="I108" s="57">
        <f>H108-I111</f>
        <v/>
      </c>
    </row>
    <row r="109" ht="14.25" customHeight="1" s="1">
      <c r="A109" s="28" t="inlineStr">
        <is>
          <t>Cuota mensual (anualidad)</t>
        </is>
      </c>
      <c r="B109" s="55" t="n"/>
      <c r="C109" s="57">
        <f>C110</f>
        <v/>
      </c>
      <c r="D109" s="57">
        <f>D110</f>
        <v/>
      </c>
      <c r="E109" s="57">
        <f>E110</f>
        <v/>
      </c>
      <c r="F109" s="57">
        <f>F110</f>
        <v/>
      </c>
      <c r="G109" s="57">
        <f>G110</f>
        <v/>
      </c>
      <c r="H109" s="57">
        <f>H110</f>
        <v/>
      </c>
      <c r="I109" s="57">
        <f>H108+(H108*B103)</f>
        <v/>
      </c>
    </row>
    <row r="110" ht="14.25" customHeight="1" s="1">
      <c r="A110" s="28" t="inlineStr">
        <is>
          <t>Intereses</t>
        </is>
      </c>
      <c r="B110" s="55" t="n"/>
      <c r="C110" s="57">
        <f>B108*$B$103</f>
        <v/>
      </c>
      <c r="D110" s="57">
        <f>C108*$B$103</f>
        <v/>
      </c>
      <c r="E110" s="57">
        <f>D108*$B$103</f>
        <v/>
      </c>
      <c r="F110" s="57">
        <f>E108*$B$103</f>
        <v/>
      </c>
      <c r="G110" s="57">
        <f>F108*$B$103</f>
        <v/>
      </c>
      <c r="H110" s="57">
        <f>G108*$B$103</f>
        <v/>
      </c>
      <c r="I110" s="57">
        <f>H108*$B$103</f>
        <v/>
      </c>
    </row>
    <row r="111" ht="15.75" customHeight="1" s="1">
      <c r="A111" s="92" t="inlineStr">
        <is>
          <t>Abono a capital (amortización)</t>
        </is>
      </c>
      <c r="B111" s="93" t="n"/>
      <c r="C111" s="81">
        <f>C109-C110</f>
        <v/>
      </c>
      <c r="D111" s="81">
        <f>D109-D110</f>
        <v/>
      </c>
      <c r="E111" s="81">
        <f>E109-E110</f>
        <v/>
      </c>
      <c r="F111" s="81">
        <f>F109-F110</f>
        <v/>
      </c>
      <c r="G111" s="81">
        <f>G109-G110</f>
        <v/>
      </c>
      <c r="H111" s="81">
        <f>H109-H110</f>
        <v/>
      </c>
      <c r="I111" s="81">
        <f>I109-I110</f>
        <v/>
      </c>
    </row>
    <row r="112" ht="14.25" customHeight="1" s="1">
      <c r="B112" s="21" t="n"/>
    </row>
    <row r="113" ht="14.25" customHeight="1" s="1">
      <c r="A113" s="22" t="inlineStr">
        <is>
          <t>9.Flujo de caja del proyecto</t>
        </is>
      </c>
      <c r="B113" s="24" t="n"/>
    </row>
    <row r="114" ht="15.75" customHeight="1" s="1">
      <c r="A114" s="4" t="inlineStr">
        <is>
          <t>Flujo de caja del proyecto (con) Financiamiento)</t>
        </is>
      </c>
      <c r="B114" s="24" t="n"/>
    </row>
    <row r="115" ht="14.25" customHeight="1" s="1">
      <c r="A115" s="161" t="inlineStr">
        <is>
          <t>Concepto</t>
        </is>
      </c>
      <c r="B115" s="26" t="inlineStr">
        <is>
          <t>Año 0</t>
        </is>
      </c>
      <c r="C115" s="26" t="inlineStr">
        <is>
          <t>Año 1</t>
        </is>
      </c>
      <c r="D115" s="26" t="inlineStr">
        <is>
          <t>Año 2</t>
        </is>
      </c>
      <c r="E115" s="26" t="inlineStr">
        <is>
          <t>Año 3</t>
        </is>
      </c>
      <c r="F115" s="26" t="inlineStr">
        <is>
          <t>Año 4</t>
        </is>
      </c>
      <c r="G115" s="26" t="inlineStr">
        <is>
          <t>Año 5</t>
        </is>
      </c>
      <c r="H115" s="26" t="inlineStr">
        <is>
          <t>Año 6</t>
        </is>
      </c>
      <c r="I115" s="26" t="inlineStr">
        <is>
          <t>Año 7</t>
        </is>
      </c>
      <c r="J115" s="26" t="inlineStr">
        <is>
          <t>Año 8</t>
        </is>
      </c>
      <c r="K115" s="26" t="inlineStr">
        <is>
          <t>Año 9</t>
        </is>
      </c>
      <c r="L115" s="27" t="inlineStr">
        <is>
          <t>Año 10</t>
        </is>
      </c>
    </row>
    <row r="116" ht="14.25" customHeight="1" s="1">
      <c r="A116" s="94" t="inlineStr">
        <is>
          <t>+ Ingreso por ventas</t>
        </is>
      </c>
      <c r="B116" s="95" t="n"/>
      <c r="C116" s="96">
        <f>C33</f>
        <v/>
      </c>
      <c r="D116" s="96">
        <f>D33</f>
        <v/>
      </c>
      <c r="E116" s="96">
        <f>E33</f>
        <v/>
      </c>
      <c r="F116" s="96">
        <f>F33</f>
        <v/>
      </c>
      <c r="G116" s="96">
        <f>G33</f>
        <v/>
      </c>
      <c r="H116" s="96">
        <f>H33</f>
        <v/>
      </c>
      <c r="I116" s="96">
        <f>I33</f>
        <v/>
      </c>
      <c r="J116" s="96">
        <f>J33</f>
        <v/>
      </c>
      <c r="K116" s="96">
        <f>K33</f>
        <v/>
      </c>
      <c r="L116" s="97">
        <f>L33</f>
        <v/>
      </c>
    </row>
    <row r="117" ht="14.25" customHeight="1" s="1">
      <c r="A117" s="98" t="inlineStr">
        <is>
          <t>Ingreso por venta del terreno</t>
        </is>
      </c>
      <c r="B117" s="95" t="n"/>
      <c r="C117" s="95" t="n"/>
      <c r="D117" s="95" t="n"/>
      <c r="E117" s="95" t="n"/>
      <c r="F117" s="95" t="n"/>
      <c r="G117" s="95" t="n"/>
      <c r="H117" s="95" t="n"/>
      <c r="I117" s="95" t="n"/>
      <c r="J117" s="95" t="n"/>
      <c r="K117" s="95" t="n"/>
      <c r="L117" s="97">
        <f>B19</f>
        <v/>
      </c>
    </row>
    <row r="118" ht="14.25" customHeight="1" s="1">
      <c r="A118" s="94" t="inlineStr">
        <is>
          <t>- Egresos deducibles de impuestos</t>
        </is>
      </c>
      <c r="B118" s="95" t="n"/>
      <c r="C118" s="96">
        <f>SUM(C119:C121)</f>
        <v/>
      </c>
      <c r="D118" s="96">
        <f>SUM(D119:D121)</f>
        <v/>
      </c>
      <c r="E118" s="96">
        <f>SUM(E119:E121)</f>
        <v/>
      </c>
      <c r="F118" s="96">
        <f>SUM(F119:F121)</f>
        <v/>
      </c>
      <c r="G118" s="96">
        <f>SUM(G119:G121)</f>
        <v/>
      </c>
      <c r="H118" s="96">
        <f>SUM(H119:H121)</f>
        <v/>
      </c>
      <c r="I118" s="96">
        <f>SUM(I119:I121)</f>
        <v/>
      </c>
      <c r="J118" s="96">
        <f>SUM(J119:J121)</f>
        <v/>
      </c>
      <c r="K118" s="96">
        <f>SUM(K119:K121)</f>
        <v/>
      </c>
      <c r="L118" s="97">
        <f>SUM(L119:L121)</f>
        <v/>
      </c>
    </row>
    <row r="119" ht="14.25" customHeight="1" s="1">
      <c r="A119" s="99" t="inlineStr">
        <is>
          <t xml:space="preserve">     Costos variables</t>
        </is>
      </c>
      <c r="B119" s="100" t="n"/>
      <c r="C119" s="15">
        <f>C39</f>
        <v/>
      </c>
      <c r="D119" s="15">
        <f>D39</f>
        <v/>
      </c>
      <c r="E119" s="15">
        <f>E39</f>
        <v/>
      </c>
      <c r="F119" s="15">
        <f>F39</f>
        <v/>
      </c>
      <c r="G119" s="15">
        <f>G39</f>
        <v/>
      </c>
      <c r="H119" s="15">
        <f>H39</f>
        <v/>
      </c>
      <c r="I119" s="15">
        <f>I39</f>
        <v/>
      </c>
      <c r="J119" s="15">
        <f>J39</f>
        <v/>
      </c>
      <c r="K119" s="15">
        <f>K39</f>
        <v/>
      </c>
      <c r="L119" s="101">
        <f>L39</f>
        <v/>
      </c>
    </row>
    <row r="120" ht="14.25" customHeight="1" s="1">
      <c r="A120" s="99" t="inlineStr">
        <is>
          <t xml:space="preserve">     Costos Fijos</t>
        </is>
      </c>
      <c r="B120" s="100" t="n"/>
      <c r="C120" s="15">
        <f>C46</f>
        <v/>
      </c>
      <c r="D120" s="15">
        <f>D46</f>
        <v/>
      </c>
      <c r="E120" s="15">
        <f>E46</f>
        <v/>
      </c>
      <c r="F120" s="15">
        <f>F46</f>
        <v/>
      </c>
      <c r="G120" s="15">
        <f>G46</f>
        <v/>
      </c>
      <c r="H120" s="15">
        <f>H46</f>
        <v/>
      </c>
      <c r="I120" s="15">
        <f>I46</f>
        <v/>
      </c>
      <c r="J120" s="15">
        <f>J46</f>
        <v/>
      </c>
      <c r="K120" s="15">
        <f>K46</f>
        <v/>
      </c>
      <c r="L120" s="101">
        <f>L46</f>
        <v/>
      </c>
    </row>
    <row r="121" ht="14.25" customHeight="1" s="1">
      <c r="A121" s="99" t="inlineStr">
        <is>
          <t xml:space="preserve">     Gastos financieros</t>
        </is>
      </c>
      <c r="B121" s="100" t="n"/>
      <c r="C121" s="15">
        <f>C110</f>
        <v/>
      </c>
      <c r="D121" s="15">
        <f>D110</f>
        <v/>
      </c>
      <c r="E121" s="15">
        <f>E110</f>
        <v/>
      </c>
      <c r="F121" s="15">
        <f>F110</f>
        <v/>
      </c>
      <c r="G121" s="15">
        <f>G110</f>
        <v/>
      </c>
      <c r="H121" s="15">
        <f>H110</f>
        <v/>
      </c>
      <c r="I121" s="15">
        <f>I110</f>
        <v/>
      </c>
      <c r="J121" s="15">
        <f>J110</f>
        <v/>
      </c>
      <c r="K121" s="15">
        <f>K110</f>
        <v/>
      </c>
      <c r="L121" s="101">
        <f>L110</f>
        <v/>
      </c>
    </row>
    <row r="122" ht="14.25" customHeight="1" s="1">
      <c r="A122" s="94" t="inlineStr">
        <is>
          <t>- Gastos no desembolsables</t>
        </is>
      </c>
      <c r="B122" s="95" t="n"/>
      <c r="C122" s="96">
        <f>SUM(C123:C124)</f>
        <v/>
      </c>
      <c r="D122" s="96">
        <f>SUM(D123:D124)</f>
        <v/>
      </c>
      <c r="E122" s="96">
        <f>SUM(E123:E124)</f>
        <v/>
      </c>
      <c r="F122" s="96">
        <f>SUM(F123:F124)</f>
        <v/>
      </c>
      <c r="G122" s="96">
        <f>SUM(G123:G124)</f>
        <v/>
      </c>
      <c r="H122" s="96">
        <f>SUM(H123:H124)</f>
        <v/>
      </c>
      <c r="I122" s="96">
        <f>SUM(I123:I124)</f>
        <v/>
      </c>
      <c r="J122" s="96">
        <f>SUM(J123:J124)</f>
        <v/>
      </c>
      <c r="K122" s="96">
        <f>SUM(K123:K124)</f>
        <v/>
      </c>
      <c r="L122" s="97">
        <f>SUM(L123:L124)</f>
        <v/>
      </c>
    </row>
    <row r="123" ht="14.25" customHeight="1" s="1">
      <c r="A123" s="99" t="inlineStr">
        <is>
          <t xml:space="preserve">     Depreciación de activos</t>
        </is>
      </c>
      <c r="B123" s="100" t="n"/>
      <c r="C123" s="15">
        <f>C85</f>
        <v/>
      </c>
      <c r="D123" s="15">
        <f>D85</f>
        <v/>
      </c>
      <c r="E123" s="15">
        <f>E85</f>
        <v/>
      </c>
      <c r="F123" s="15">
        <f>F85</f>
        <v/>
      </c>
      <c r="G123" s="15">
        <f>G85</f>
        <v/>
      </c>
      <c r="H123" s="15">
        <f>H85</f>
        <v/>
      </c>
      <c r="I123" s="15">
        <f>I85</f>
        <v/>
      </c>
      <c r="J123" s="15">
        <f>J85</f>
        <v/>
      </c>
      <c r="K123" s="15">
        <f>K85</f>
        <v/>
      </c>
      <c r="L123" s="101">
        <f>L85</f>
        <v/>
      </c>
    </row>
    <row r="124" ht="14.25" customHeight="1" s="1">
      <c r="A124" s="99" t="inlineStr">
        <is>
          <t xml:space="preserve">     Amortización de pre-operativos</t>
        </is>
      </c>
      <c r="B124" s="100" t="n"/>
      <c r="C124" s="15">
        <f>C87</f>
        <v/>
      </c>
      <c r="D124" s="15">
        <f>D87</f>
        <v/>
      </c>
      <c r="E124" s="15">
        <f>E87</f>
        <v/>
      </c>
      <c r="F124" s="15">
        <f>F87</f>
        <v/>
      </c>
      <c r="G124" s="15">
        <f>G87</f>
        <v/>
      </c>
      <c r="H124" s="15">
        <f>H87</f>
        <v/>
      </c>
      <c r="I124" s="15">
        <f>I87</f>
        <v/>
      </c>
      <c r="J124" s="15">
        <f>J87</f>
        <v/>
      </c>
      <c r="K124" s="15">
        <f>K87</f>
        <v/>
      </c>
      <c r="L124" s="101">
        <f>L87</f>
        <v/>
      </c>
    </row>
    <row r="125" ht="14.25" customHeight="1" s="1">
      <c r="A125" s="94" t="inlineStr">
        <is>
          <t>= Utilidad antes de impuestos</t>
        </is>
      </c>
      <c r="B125" s="95" t="n"/>
      <c r="C125" s="96">
        <f>C116+C117-C118-C122</f>
        <v/>
      </c>
      <c r="D125" s="96">
        <f>D116+D117-D118-D122</f>
        <v/>
      </c>
      <c r="E125" s="96">
        <f>E116+E117-E118-E122</f>
        <v/>
      </c>
      <c r="F125" s="96">
        <f>F116+F117-F118-F122</f>
        <v/>
      </c>
      <c r="G125" s="96">
        <f>G116+G117-G118-G122</f>
        <v/>
      </c>
      <c r="H125" s="96">
        <f>H116+H117-H118-H122</f>
        <v/>
      </c>
      <c r="I125" s="96">
        <f>I116+I117-I118-I122</f>
        <v/>
      </c>
      <c r="J125" s="96">
        <f>J116+J117-J118-J122</f>
        <v/>
      </c>
      <c r="K125" s="96">
        <f>K116+K117-K118-K122</f>
        <v/>
      </c>
      <c r="L125" s="96">
        <f>L116+L117-L118-L122</f>
        <v/>
      </c>
    </row>
    <row r="126" ht="14.25" customHeight="1" s="1">
      <c r="A126" s="99" t="inlineStr">
        <is>
          <t>- Impuestos (30%)</t>
        </is>
      </c>
      <c r="B126" s="100" t="n"/>
      <c r="C126" s="10">
        <f>C125*$B$26</f>
        <v/>
      </c>
      <c r="D126" s="15">
        <f>D125*$B$26</f>
        <v/>
      </c>
      <c r="E126" s="15">
        <f>E125*$B$26</f>
        <v/>
      </c>
      <c r="F126" s="15">
        <f>F125*$B$26</f>
        <v/>
      </c>
      <c r="G126" s="15">
        <f>G125*$B$26</f>
        <v/>
      </c>
      <c r="H126" s="15">
        <f>H125*$B$26</f>
        <v/>
      </c>
      <c r="I126" s="15">
        <f>I125*$B$26</f>
        <v/>
      </c>
      <c r="J126" s="15">
        <f>J125*$B$26</f>
        <v/>
      </c>
      <c r="K126" s="15">
        <f>K125*$B$26</f>
        <v/>
      </c>
      <c r="L126" s="101">
        <f>L125*$B$26</f>
        <v/>
      </c>
    </row>
    <row r="127" ht="14.25" customHeight="1" s="1">
      <c r="A127" s="94" t="inlineStr">
        <is>
          <t>= Utilidad después de impuestos</t>
        </is>
      </c>
      <c r="B127" s="95" t="n"/>
      <c r="C127" s="96">
        <f>C125-C126</f>
        <v/>
      </c>
      <c r="D127" s="96">
        <f>D125-D126</f>
        <v/>
      </c>
      <c r="E127" s="96">
        <f>E125-E126</f>
        <v/>
      </c>
      <c r="F127" s="96">
        <f>F125-F126</f>
        <v/>
      </c>
      <c r="G127" s="96">
        <f>G125-G126</f>
        <v/>
      </c>
      <c r="H127" s="96">
        <f>H125-H126</f>
        <v/>
      </c>
      <c r="I127" s="96">
        <f>I125-I126</f>
        <v/>
      </c>
      <c r="J127" s="96">
        <f>J125-J126</f>
        <v/>
      </c>
      <c r="K127" s="96">
        <f>K125-K126</f>
        <v/>
      </c>
      <c r="L127" s="97">
        <f>L125-L126</f>
        <v/>
      </c>
    </row>
    <row r="128" ht="14.25" customHeight="1" s="1">
      <c r="A128" s="98" t="inlineStr">
        <is>
          <t>+ Gastos no desembolsables</t>
        </is>
      </c>
      <c r="B128" s="95" t="n"/>
      <c r="C128" s="96">
        <f>SUM(C129:C130)</f>
        <v/>
      </c>
      <c r="D128" s="96">
        <f>SUM(D129:D130)</f>
        <v/>
      </c>
      <c r="E128" s="96">
        <f>SUM(E129:E130)</f>
        <v/>
      </c>
      <c r="F128" s="96">
        <f>SUM(F129:F130)</f>
        <v/>
      </c>
      <c r="G128" s="96">
        <f>SUM(G129:G130)</f>
        <v/>
      </c>
      <c r="H128" s="96">
        <f>SUM(H129:H130)</f>
        <v/>
      </c>
      <c r="I128" s="96">
        <f>SUM(I129:I130)</f>
        <v/>
      </c>
      <c r="J128" s="96">
        <f>SUM(J129:J130)</f>
        <v/>
      </c>
      <c r="K128" s="96">
        <f>SUM(K129:K130)</f>
        <v/>
      </c>
      <c r="L128" s="97">
        <f>SUM(L129:L130)</f>
        <v/>
      </c>
    </row>
    <row r="129" ht="14.25" customHeight="1" s="1">
      <c r="A129" s="99" t="inlineStr">
        <is>
          <t xml:space="preserve">     Depreciación de activos</t>
        </is>
      </c>
      <c r="B129" s="100" t="n"/>
      <c r="C129" s="15">
        <f>C123</f>
        <v/>
      </c>
      <c r="D129" s="15">
        <f>D123</f>
        <v/>
      </c>
      <c r="E129" s="15">
        <f>E123</f>
        <v/>
      </c>
      <c r="F129" s="15">
        <f>F123</f>
        <v/>
      </c>
      <c r="G129" s="15">
        <f>G123</f>
        <v/>
      </c>
      <c r="H129" s="15">
        <f>H123</f>
        <v/>
      </c>
      <c r="I129" s="15">
        <f>I123</f>
        <v/>
      </c>
      <c r="J129" s="15">
        <f>J123</f>
        <v/>
      </c>
      <c r="K129" s="15">
        <f>K123</f>
        <v/>
      </c>
      <c r="L129" s="101">
        <f>L123</f>
        <v/>
      </c>
    </row>
    <row r="130" ht="14.25" customHeight="1" s="1">
      <c r="A130" s="99" t="inlineStr">
        <is>
          <t xml:space="preserve">     Amortización de pre-operativos</t>
        </is>
      </c>
      <c r="B130" s="100" t="n"/>
      <c r="C130" s="15">
        <f>C124</f>
        <v/>
      </c>
      <c r="D130" s="15">
        <f>D124</f>
        <v/>
      </c>
      <c r="E130" s="15">
        <f>E124</f>
        <v/>
      </c>
      <c r="F130" s="15">
        <f>F124</f>
        <v/>
      </c>
      <c r="G130" s="15">
        <f>G124</f>
        <v/>
      </c>
      <c r="H130" s="15">
        <f>H124</f>
        <v/>
      </c>
      <c r="I130" s="15">
        <f>I124</f>
        <v/>
      </c>
      <c r="J130" s="15">
        <f>J124</f>
        <v/>
      </c>
      <c r="K130" s="15">
        <f>K124</f>
        <v/>
      </c>
      <c r="L130" s="101">
        <f>L124</f>
        <v/>
      </c>
    </row>
    <row r="131" ht="14.25" customHeight="1" s="1">
      <c r="A131" s="94" t="inlineStr">
        <is>
          <t>+ Ingresos no sujetos a impuestos</t>
        </is>
      </c>
      <c r="B131" s="96">
        <f>SUM(B132:B134)</f>
        <v/>
      </c>
      <c r="C131" s="96">
        <f>SUM(C132:C134)</f>
        <v/>
      </c>
      <c r="D131" s="96">
        <f>SUM(D132:D134)</f>
        <v/>
      </c>
      <c r="E131" s="96">
        <f>SUM(E132:E134)</f>
        <v/>
      </c>
      <c r="F131" s="96">
        <f>SUM(F132:F134)</f>
        <v/>
      </c>
      <c r="G131" s="96">
        <f>SUM(G132:G134)</f>
        <v/>
      </c>
      <c r="H131" s="96">
        <f>SUM(H132:H134)</f>
        <v/>
      </c>
      <c r="I131" s="96">
        <f>SUM(I132:I134)</f>
        <v/>
      </c>
      <c r="J131" s="96">
        <f>SUM(J132:J134)</f>
        <v/>
      </c>
      <c r="K131" s="96">
        <f>SUM(K132:K134)</f>
        <v/>
      </c>
      <c r="L131" s="97">
        <f>SUM(L132:L134)</f>
        <v/>
      </c>
    </row>
    <row r="132" ht="14.25" customHeight="1" s="1">
      <c r="A132" s="99" t="inlineStr">
        <is>
          <t xml:space="preserve">     Valor de desecho</t>
        </is>
      </c>
      <c r="B132" s="100" t="n"/>
      <c r="C132" s="100" t="n"/>
      <c r="D132" s="100" t="n"/>
      <c r="E132" s="100" t="n"/>
      <c r="F132" s="100" t="n"/>
      <c r="G132" s="100" t="n"/>
      <c r="H132" s="100" t="n"/>
      <c r="I132" s="100" t="n"/>
      <c r="J132" s="100" t="n"/>
      <c r="K132" s="100" t="n"/>
      <c r="L132" s="101">
        <f>M98</f>
        <v/>
      </c>
    </row>
    <row r="133" ht="14.25" customHeight="1" s="1">
      <c r="A133" s="99" t="inlineStr">
        <is>
          <t xml:space="preserve">     Recuperación del capital de trabajo</t>
        </is>
      </c>
      <c r="B133" s="100" t="n"/>
      <c r="C133" s="100" t="n"/>
      <c r="D133" s="100" t="n"/>
      <c r="E133" s="100" t="n"/>
      <c r="F133" s="100" t="n"/>
      <c r="G133" s="100" t="n"/>
      <c r="H133" s="100" t="n"/>
      <c r="I133" s="100" t="n"/>
      <c r="J133" s="100" t="n"/>
      <c r="K133" s="100" t="n"/>
      <c r="L133" s="101">
        <f>-L77</f>
        <v/>
      </c>
    </row>
    <row r="134" ht="14.25" customHeight="1" s="1">
      <c r="A134" s="99" t="inlineStr">
        <is>
          <t xml:space="preserve">     Préstamo bancario</t>
        </is>
      </c>
      <c r="B134" s="15">
        <f>B102</f>
        <v/>
      </c>
      <c r="C134" s="100" t="n"/>
      <c r="D134" s="100" t="n"/>
      <c r="E134" s="100" t="n"/>
      <c r="F134" s="100" t="n"/>
      <c r="G134" s="100" t="n"/>
      <c r="H134" s="100" t="n"/>
      <c r="I134" s="100" t="n"/>
      <c r="J134" s="100" t="n"/>
      <c r="K134" s="100" t="n"/>
      <c r="L134" s="102" t="n"/>
    </row>
    <row r="135" ht="14.25" customHeight="1" s="1">
      <c r="A135" s="94" t="inlineStr">
        <is>
          <t>- Egresos no deducibles de impuestos</t>
        </is>
      </c>
      <c r="B135" s="96">
        <f>SUM(B136:B139)</f>
        <v/>
      </c>
      <c r="C135" s="96">
        <f>SUM(C136:C139)</f>
        <v/>
      </c>
      <c r="D135" s="96">
        <f>SUM(D136:D139)</f>
        <v/>
      </c>
      <c r="E135" s="96">
        <f>SUM(E136:E139)</f>
        <v/>
      </c>
      <c r="F135" s="96">
        <f>SUM(F136:F139)</f>
        <v/>
      </c>
      <c r="G135" s="96">
        <f>SUM(G136:G139)</f>
        <v/>
      </c>
      <c r="H135" s="96">
        <f>SUM(H136:H139)</f>
        <v/>
      </c>
      <c r="I135" s="96">
        <f>SUM(I136:I139)</f>
        <v/>
      </c>
      <c r="J135" s="96">
        <f>SUM(J136:J139)</f>
        <v/>
      </c>
      <c r="K135" s="96">
        <f>SUM(K136:K139)</f>
        <v/>
      </c>
      <c r="L135" s="97">
        <f>SUM(L136:L139)</f>
        <v/>
      </c>
    </row>
    <row r="136" ht="14.25" customHeight="1" s="1">
      <c r="A136" s="99" t="inlineStr">
        <is>
          <t xml:space="preserve">     Activos (inv. 20 años, 10 años, 5 años, terreno)</t>
        </is>
      </c>
      <c r="B136" s="96">
        <f>SUM(B69:B72)</f>
        <v/>
      </c>
      <c r="C136" s="95" t="n"/>
      <c r="D136" s="95" t="n"/>
      <c r="E136" s="95" t="n"/>
      <c r="F136" s="95" t="n"/>
      <c r="G136" s="96">
        <f>G69</f>
        <v/>
      </c>
      <c r="H136" s="95" t="n"/>
      <c r="I136" s="95" t="n"/>
      <c r="J136" s="95" t="n"/>
      <c r="K136" s="95" t="n"/>
      <c r="L136" s="103" t="n"/>
    </row>
    <row r="137" ht="14.25" customHeight="1" s="1">
      <c r="A137" s="99" t="inlineStr">
        <is>
          <t xml:space="preserve">     Gastos de puesta en marcha (pre-operativos)</t>
        </is>
      </c>
      <c r="B137" s="15">
        <f>B74</f>
        <v/>
      </c>
      <c r="C137" s="100" t="n"/>
      <c r="D137" s="100" t="n"/>
      <c r="E137" s="100" t="n"/>
      <c r="F137" s="100" t="n"/>
      <c r="G137" s="100" t="n"/>
      <c r="H137" s="100" t="n"/>
      <c r="I137" s="100" t="n"/>
      <c r="J137" s="100" t="n"/>
      <c r="K137" s="100" t="n"/>
      <c r="L137" s="102" t="n"/>
    </row>
    <row r="138" ht="14.25" customHeight="1" s="1">
      <c r="A138" s="99" t="inlineStr">
        <is>
          <t xml:space="preserve">     Inversión en capital de trabajo</t>
        </is>
      </c>
      <c r="B138" s="15">
        <f>B76</f>
        <v/>
      </c>
      <c r="C138" s="15">
        <f>C76</f>
        <v/>
      </c>
      <c r="D138" s="15">
        <f>D76</f>
        <v/>
      </c>
      <c r="E138" s="15">
        <f>E76</f>
        <v/>
      </c>
      <c r="F138" s="15">
        <f>F76</f>
        <v/>
      </c>
      <c r="G138" s="15">
        <f>G76</f>
        <v/>
      </c>
      <c r="H138" s="15">
        <f>H76</f>
        <v/>
      </c>
      <c r="I138" s="15">
        <f>I76</f>
        <v/>
      </c>
      <c r="J138" s="15">
        <f>J76</f>
        <v/>
      </c>
      <c r="K138" s="15">
        <f>K76</f>
        <v/>
      </c>
      <c r="L138" s="100" t="n"/>
    </row>
    <row r="139" ht="14.25" customHeight="1" s="1">
      <c r="A139" s="99" t="inlineStr">
        <is>
          <t xml:space="preserve">     Pago préstamo bancario</t>
        </is>
      </c>
      <c r="B139" s="100" t="n"/>
      <c r="C139" s="15">
        <f>C111</f>
        <v/>
      </c>
      <c r="D139" s="15">
        <f>D111</f>
        <v/>
      </c>
      <c r="E139" s="15">
        <f>E111</f>
        <v/>
      </c>
      <c r="F139" s="15">
        <f>F111</f>
        <v/>
      </c>
      <c r="G139" s="15">
        <f>G111</f>
        <v/>
      </c>
      <c r="H139" s="15">
        <f>H111</f>
        <v/>
      </c>
      <c r="I139" s="15">
        <f>I111</f>
        <v/>
      </c>
      <c r="J139" s="15">
        <f>J111</f>
        <v/>
      </c>
      <c r="K139" s="15">
        <f>K111</f>
        <v/>
      </c>
      <c r="L139" s="101">
        <f>L111</f>
        <v/>
      </c>
    </row>
    <row r="140" ht="14.25" customHeight="1" s="1">
      <c r="A140" s="104" t="inlineStr">
        <is>
          <t>= Flujo de caja</t>
        </is>
      </c>
      <c r="B140" s="53">
        <f>B127+B128+B131-B135</f>
        <v/>
      </c>
      <c r="C140" s="53">
        <f>C127+C128+C131-C135</f>
        <v/>
      </c>
      <c r="D140" s="53">
        <f>D127+D128+D131-D135</f>
        <v/>
      </c>
      <c r="E140" s="53">
        <f>E127+E128+E131-E135</f>
        <v/>
      </c>
      <c r="F140" s="53">
        <f>F127+F128+F131-F135</f>
        <v/>
      </c>
      <c r="G140" s="53">
        <f>G127+G128+G131-G135</f>
        <v/>
      </c>
      <c r="H140" s="53">
        <f>H127+H128+H131-H135</f>
        <v/>
      </c>
      <c r="I140" s="53">
        <f>I127+I128+I131-I135</f>
        <v/>
      </c>
      <c r="J140" s="53">
        <f>J127+J128+J131-J135</f>
        <v/>
      </c>
      <c r="K140" s="53">
        <f>K127+K128+K131-K135</f>
        <v/>
      </c>
      <c r="L140" s="54">
        <f>L127+L128+L131+L135</f>
        <v/>
      </c>
    </row>
    <row r="141" ht="14.25" customHeight="1" s="1">
      <c r="A141" s="105" t="inlineStr">
        <is>
          <t>Flujo de caja acumulado (PRI)</t>
        </is>
      </c>
    </row>
    <row r="142" ht="14.25" customHeight="1" s="1">
      <c r="A142" s="145" t="inlineStr">
        <is>
          <t xml:space="preserve">     Flujo acumulado</t>
        </is>
      </c>
      <c r="B142" s="53">
        <f>B140</f>
        <v/>
      </c>
      <c r="C142" s="53">
        <f>B142+C140</f>
        <v/>
      </c>
      <c r="D142" s="53">
        <f>C142+D140</f>
        <v/>
      </c>
      <c r="E142" s="53">
        <f>D142+E140</f>
        <v/>
      </c>
      <c r="F142" s="53">
        <f>E142+F140</f>
        <v/>
      </c>
      <c r="G142" s="53">
        <f>F142+G140</f>
        <v/>
      </c>
      <c r="H142" s="53">
        <f>G142+H140</f>
        <v/>
      </c>
      <c r="I142" s="53">
        <f>H142+I140</f>
        <v/>
      </c>
      <c r="J142" s="53">
        <f>I142+J140</f>
        <v/>
      </c>
      <c r="K142" s="53">
        <f>J142+K140</f>
        <v/>
      </c>
      <c r="L142" s="54">
        <f>K142+L140</f>
        <v/>
      </c>
    </row>
    <row r="143" ht="14.25" customHeight="1" s="1">
      <c r="A143" s="105" t="inlineStr">
        <is>
          <t>Flujo descontado acumulado (PRID)</t>
        </is>
      </c>
    </row>
    <row r="144" ht="14.25" customHeight="1" s="1">
      <c r="A144" s="145" t="inlineStr">
        <is>
          <t xml:space="preserve">     Flujo desc. acumulado</t>
        </is>
      </c>
      <c r="B144" s="53">
        <f>B140</f>
        <v/>
      </c>
      <c r="C144" s="53">
        <f>B144+C140/(1+E150)^1</f>
        <v/>
      </c>
      <c r="D144" s="53">
        <f>C144+D140/(1+E150)^2</f>
        <v/>
      </c>
      <c r="E144" s="53">
        <f>D144+E140/(1+E150)^3</f>
        <v/>
      </c>
      <c r="F144" s="53">
        <f>E144+F140/(1+E150)^4</f>
        <v/>
      </c>
      <c r="G144" s="53">
        <f>F144+G140/(1+E150)^5</f>
        <v/>
      </c>
      <c r="H144" s="53">
        <f>G144+H140/(1+E150)^6</f>
        <v/>
      </c>
      <c r="I144" s="53">
        <f>H144+I140/(1+E150)^7</f>
        <v/>
      </c>
      <c r="J144" s="53">
        <f>I144+J140/(1+E150)^8</f>
        <v/>
      </c>
      <c r="K144" s="53">
        <f>J144+K140/(1+E150)^9</f>
        <v/>
      </c>
      <c r="L144" s="54">
        <f>K144+L140/(1+E150)^10</f>
        <v/>
      </c>
    </row>
    <row r="145" ht="14.25" customHeight="1" s="1">
      <c r="B145" s="21" t="n"/>
      <c r="F145" s="106" t="n"/>
    </row>
    <row r="146" ht="14.25" customHeight="1" s="1">
      <c r="A146" s="22" t="inlineStr">
        <is>
          <t>10. Costo del capital</t>
        </is>
      </c>
    </row>
    <row r="147" ht="14.25" customHeight="1" s="1">
      <c r="B147" s="107" t="inlineStr">
        <is>
          <t>Participación ($)</t>
        </is>
      </c>
      <c r="C147" s="107" t="inlineStr">
        <is>
          <t>Participación (%)</t>
        </is>
      </c>
      <c r="D147" s="107" t="inlineStr">
        <is>
          <t>Costo</t>
        </is>
      </c>
      <c r="E147" s="107" t="inlineStr">
        <is>
          <t>Costo promedio</t>
        </is>
      </c>
    </row>
    <row r="148" ht="14.25" customHeight="1" s="1">
      <c r="A148" s="4" t="inlineStr">
        <is>
          <t>Préstamo bancario</t>
        </is>
      </c>
      <c r="B148" s="147">
        <f>B102</f>
        <v/>
      </c>
      <c r="C148" s="149">
        <f>E102</f>
        <v/>
      </c>
      <c r="D148" s="149">
        <f>B103*(1-B26)</f>
        <v/>
      </c>
      <c r="E148" s="149">
        <f>C148*D148</f>
        <v/>
      </c>
    </row>
    <row r="149" ht="18" customHeight="1" s="1">
      <c r="A149" s="4" t="inlineStr">
        <is>
          <t>Fondos propios</t>
        </is>
      </c>
      <c r="B149" s="148">
        <f>B77-B148</f>
        <v/>
      </c>
      <c r="C149" s="150">
        <f>1-C148</f>
        <v/>
      </c>
      <c r="D149" s="149">
        <f>B25</f>
        <v/>
      </c>
      <c r="E149" s="150">
        <f>C149*D149</f>
        <v/>
      </c>
    </row>
    <row r="150" ht="14.25" customHeight="1" s="1">
      <c r="B150" s="147">
        <f>B148+B149</f>
        <v/>
      </c>
      <c r="C150" s="149">
        <f>C148+C149</f>
        <v/>
      </c>
      <c r="D150" s="108" t="n"/>
      <c r="E150" s="149">
        <f>E148+E149</f>
        <v/>
      </c>
    </row>
    <row r="152" ht="14.25" customHeight="1" s="1">
      <c r="A152" s="22" t="inlineStr">
        <is>
          <t>11. Indicadores financieros</t>
        </is>
      </c>
    </row>
    <row r="153" ht="14.25" customHeight="1" s="1">
      <c r="A153" s="109" t="inlineStr">
        <is>
          <t>VAN(WACC) =</t>
        </is>
      </c>
      <c r="B153" s="110">
        <f>RiskOutput("VAN - Americano")+NPV(E150,C140:L140)+B140</f>
        <v/>
      </c>
    </row>
    <row r="154" ht="14.25" customHeight="1" s="1">
      <c r="A154" s="109" t="inlineStr">
        <is>
          <t>TIR =</t>
        </is>
      </c>
      <c r="B154" s="151">
        <f>RiskOutput("TIR - Americano")+IRR(B140:L140)</f>
        <v/>
      </c>
    </row>
    <row r="155" ht="14.25" customHeight="1" s="1">
      <c r="A155" s="109" t="inlineStr">
        <is>
          <t>PRI =</t>
        </is>
      </c>
      <c r="B155" s="112">
        <f>IFERROR(MATCH(1,INDEX((C142:L142&gt;=0)*1,0),0),"&gt;10")</f>
        <v/>
      </c>
    </row>
    <row r="156" ht="14.25" customHeight="1" s="1">
      <c r="A156" s="109" t="inlineStr">
        <is>
          <t>PRID =</t>
        </is>
      </c>
      <c r="B156" s="112">
        <f>IFERROR(MATCH(1,INDEX((C144:L144&gt;=0)*1,0),0),"&gt;10")</f>
        <v/>
      </c>
    </row>
    <row r="157" ht="14.25" customHeight="1" s="1">
      <c r="A157" s="109" t="inlineStr">
        <is>
          <t>ID =</t>
        </is>
      </c>
      <c r="B157" s="142">
        <f>(NPV(E150,C140:L140)+B140+ABS(B140))/ABS(B140)</f>
        <v/>
      </c>
    </row>
    <row r="158" ht="14.25" customHeight="1" s="1">
      <c r="B158" s="21" t="n"/>
    </row>
    <row r="159" ht="14.25" customHeight="1" s="1">
      <c r="B159" s="21" t="n"/>
    </row>
    <row r="160" ht="14.25" customHeight="1" s="1">
      <c r="A160" s="105" t="n"/>
      <c r="B160" s="113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</row>
    <row r="161" ht="14.25" customHeight="1" s="1">
      <c r="A161" s="105" t="n"/>
      <c r="B161" s="113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</row>
    <row r="162" ht="14.25" customHeight="1" s="1">
      <c r="A162" s="105" t="n"/>
      <c r="B162" s="113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</row>
    <row r="163" ht="14.25" customHeight="1" s="1">
      <c r="A163" s="105" t="n"/>
      <c r="B163" s="113" t="n"/>
      <c r="C163" s="115" t="n"/>
      <c r="D163" s="115" t="n"/>
      <c r="E163" s="115" t="n"/>
      <c r="F163" s="115" t="n"/>
      <c r="G163" s="115" t="n"/>
      <c r="H163" s="115" t="n"/>
      <c r="I163" s="115" t="n"/>
      <c r="J163" s="115" t="n"/>
      <c r="K163" s="115" t="n"/>
      <c r="L163" s="115" t="n"/>
    </row>
    <row r="164" ht="14.25" customHeight="1" s="1">
      <c r="B164" s="21" t="n"/>
    </row>
    <row r="165" ht="14.25" customHeight="1" s="1">
      <c r="B165" s="21" t="n"/>
    </row>
    <row r="166" ht="14.25" customHeight="1" s="1">
      <c r="B166" s="21" t="n"/>
    </row>
  </sheetData>
  <mergeCells count="9">
    <mergeCell ref="A50:H50"/>
    <mergeCell ref="N9:Q11"/>
    <mergeCell ref="A55:H55"/>
    <mergeCell ref="A98:L98"/>
    <mergeCell ref="A92:A93"/>
    <mergeCell ref="N3:Q3"/>
    <mergeCell ref="C92:L92"/>
    <mergeCell ref="D3:I3"/>
    <mergeCell ref="B105:C105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tabColor rgb="FF00B050"/>
    <outlinePr summaryBelow="1" summaryRight="1"/>
    <pageSetUpPr/>
  </sheetPr>
  <dimension ref="A1:V166"/>
  <sheetViews>
    <sheetView workbookViewId="0">
      <selection activeCell="A1" sqref="A1"/>
    </sheetView>
  </sheetViews>
  <sheetFormatPr baseColWidth="10" defaultColWidth="8.6640625" defaultRowHeight="14.4"/>
  <cols>
    <col width="42.44140625" customWidth="1" style="1" min="1" max="1"/>
    <col width="15.5546875" customWidth="1" style="1" min="2" max="2"/>
    <col width="16.109375" customWidth="1" style="1" min="3" max="3"/>
    <col width="15.44140625" customWidth="1" style="1" min="4" max="8"/>
    <col width="15.5546875" customWidth="1" style="1" min="9" max="11"/>
    <col width="15.44140625" customWidth="1" style="1" min="12" max="12"/>
    <col width="13.5546875" customWidth="1" style="1" min="13" max="13"/>
    <col width="28" customWidth="1" style="1" min="14" max="14"/>
    <col width="13" customWidth="1" style="1" min="15" max="15"/>
    <col width="16" customWidth="1" style="1" min="16" max="16"/>
    <col width="18" customWidth="1" style="1" min="17" max="17"/>
    <col width="25.109375" customWidth="1" style="1" min="18" max="18"/>
    <col width="11.6640625" customWidth="1" style="1" min="19" max="19"/>
    <col width="13.44140625" customWidth="1" style="1" min="20" max="20"/>
    <col width="8.44140625" customWidth="1" style="1" min="21" max="21"/>
    <col width="10.6640625" customWidth="1" style="1" min="22" max="22"/>
  </cols>
  <sheetData>
    <row r="1" ht="15" customHeight="1" s="1">
      <c r="A1" s="2" t="inlineStr">
        <is>
          <t>Camaronera Industrial</t>
        </is>
      </c>
    </row>
    <row r="3" ht="14.25" customHeight="1" s="1">
      <c r="A3" s="3" t="inlineStr">
        <is>
          <t>Variables</t>
        </is>
      </c>
      <c r="D3" s="176" t="inlineStr">
        <is>
          <t>VARIABLES ESTOCASTICAS @RISK  -&gt;  ver columnas N:Q</t>
        </is>
      </c>
      <c r="N3" s="177" t="inlineStr">
        <is>
          <t>VARIABLES ESTOCÁSTICAS (@RISK)</t>
        </is>
      </c>
    </row>
    <row r="4" ht="14.25" customHeight="1" s="1">
      <c r="A4" s="4" t="inlineStr">
        <is>
          <t>Horizonte de evaluación (años)</t>
        </is>
      </c>
      <c r="B4" s="4" t="n">
        <v>10</v>
      </c>
      <c r="N4" s="178" t="inlineStr">
        <is>
          <t>Variable de entrada</t>
        </is>
      </c>
      <c r="O4" s="178" t="inlineStr">
        <is>
          <t>Distribución</t>
        </is>
      </c>
      <c r="P4" s="178" t="inlineStr">
        <is>
          <t>Valor (@RISK)</t>
        </is>
      </c>
      <c r="Q4" s="178" t="inlineStr">
        <is>
          <t>Rango (caso)</t>
        </is>
      </c>
    </row>
    <row r="5" ht="14.25" customHeight="1" s="1">
      <c r="A5" s="4" t="inlineStr">
        <is>
          <t>Devaluación</t>
        </is>
      </c>
      <c r="B5" s="5" t="n">
        <v>0.05</v>
      </c>
      <c r="N5" s="179" t="inlineStr">
        <is>
          <t>Inversión total (factor)</t>
        </is>
      </c>
      <c r="O5" s="180" t="inlineStr">
        <is>
          <t>Uniforme</t>
        </is>
      </c>
      <c r="P5" s="181">
        <f>RiskUniform(0.95,1.1,RiskStatic(1),RiskName("Factor de inversión"))</f>
        <v/>
      </c>
      <c r="Q5" s="180" t="inlineStr">
        <is>
          <t>-5% / +10%</t>
        </is>
      </c>
    </row>
    <row r="6" ht="14.25" customHeight="1" s="1">
      <c r="A6" s="4" t="inlineStr">
        <is>
          <t>Inflación</t>
        </is>
      </c>
      <c r="B6" s="5" t="n">
        <v>0.07000000000000001</v>
      </c>
      <c r="N6" s="179" t="inlineStr">
        <is>
          <t>Precio de venta FOB año 1 ($/Lb)</t>
        </is>
      </c>
      <c r="O6" s="180" t="inlineStr">
        <is>
          <t>Triangular</t>
        </is>
      </c>
      <c r="P6" s="182">
        <f>RiskTriang(2.6,3,3.5,RiskStatic(3),RiskName("Precio de venta FOB"))</f>
        <v/>
      </c>
      <c r="Q6" s="180" t="inlineStr">
        <is>
          <t>2.60 / 3.00 / 3.50</t>
        </is>
      </c>
    </row>
    <row r="7" ht="14.25" customHeight="1" s="1">
      <c r="B7" s="6" t="inlineStr">
        <is>
          <t>Año 0</t>
        </is>
      </c>
      <c r="C7" s="6" t="inlineStr">
        <is>
          <t>Año 1</t>
        </is>
      </c>
      <c r="D7" s="6" t="inlineStr">
        <is>
          <t>Año 2</t>
        </is>
      </c>
      <c r="E7" s="6" t="inlineStr">
        <is>
          <t>Año 3</t>
        </is>
      </c>
      <c r="F7" s="6" t="inlineStr">
        <is>
          <t>Año 4</t>
        </is>
      </c>
      <c r="G7" s="6" t="inlineStr">
        <is>
          <t>Año 5</t>
        </is>
      </c>
      <c r="H7" s="6" t="inlineStr">
        <is>
          <t>Año 6</t>
        </is>
      </c>
      <c r="I7" s="6" t="inlineStr">
        <is>
          <t>Año 7</t>
        </is>
      </c>
      <c r="J7" s="6" t="inlineStr">
        <is>
          <t>Año 8</t>
        </is>
      </c>
      <c r="K7" s="6" t="inlineStr">
        <is>
          <t>Año 9</t>
        </is>
      </c>
      <c r="L7" s="6" t="inlineStr">
        <is>
          <t>Año 10</t>
        </is>
      </c>
      <c r="N7" s="179" t="inlineStr">
        <is>
          <t>Producción neta (factor)</t>
        </is>
      </c>
      <c r="O7" s="180" t="inlineStr">
        <is>
          <t>Triangular</t>
        </is>
      </c>
      <c r="P7" s="181">
        <f>RiskTriang(0.8,1,1.1,RiskStatic(1),RiskName("Factor de producción"))</f>
        <v/>
      </c>
      <c r="Q7" s="180" t="inlineStr">
        <is>
          <t>80% / 100% / 110%</t>
        </is>
      </c>
    </row>
    <row r="8" ht="14.25" customHeight="1" s="1">
      <c r="A8" s="4" t="inlineStr">
        <is>
          <t>Área en producción (Ha)</t>
        </is>
      </c>
      <c r="B8" s="7" t="n"/>
      <c r="C8" s="8" t="n">
        <v>750</v>
      </c>
      <c r="D8" s="8" t="n">
        <v>900</v>
      </c>
      <c r="E8" s="8" t="n">
        <v>900</v>
      </c>
      <c r="F8" s="8" t="n">
        <v>900</v>
      </c>
      <c r="G8" s="8" t="n">
        <v>900</v>
      </c>
      <c r="H8" s="8" t="n">
        <v>900</v>
      </c>
      <c r="I8" s="8" t="n">
        <v>900</v>
      </c>
      <c r="J8" s="8" t="n">
        <v>900</v>
      </c>
      <c r="K8" s="8" t="n">
        <v>900</v>
      </c>
      <c r="L8" s="8" t="n">
        <v>900</v>
      </c>
    </row>
    <row r="9" ht="14.25" customHeight="1" s="1">
      <c r="A9" s="4" t="inlineStr">
        <is>
          <t>Producción neta (Lb/Ha/año)</t>
        </is>
      </c>
      <c r="B9" s="7" t="n"/>
      <c r="C9" s="9">
        <f>1225*$P$7</f>
        <v/>
      </c>
      <c r="D9" s="9">
        <f>1470*$P$7</f>
        <v/>
      </c>
      <c r="E9" s="9">
        <f>1715*$P$7</f>
        <v/>
      </c>
      <c r="F9" s="9">
        <f>1960*$P$7</f>
        <v/>
      </c>
      <c r="G9" s="9">
        <f>2205*$P$7</f>
        <v/>
      </c>
      <c r="H9" s="9">
        <f>2205*$P$7</f>
        <v/>
      </c>
      <c r="I9" s="9">
        <f>2205*$P$7</f>
        <v/>
      </c>
      <c r="J9" s="9">
        <f>2205*$P$7</f>
        <v/>
      </c>
      <c r="K9" s="9">
        <f>2205*$P$7</f>
        <v/>
      </c>
      <c r="L9" s="9">
        <f>2205*$P$7</f>
        <v/>
      </c>
      <c r="N9" s="183" t="inlineStr">
        <is>
          <t>Celdas amarillas = variables de incertidumbre del caso. VAN (B153) y TIR (B154) son salidas RiskOutput. Ejecute la simulacion con @RISK (Iniciar simulacion).</t>
        </is>
      </c>
    </row>
    <row r="10" ht="14.25" customHeight="1" s="1">
      <c r="A10" s="4" t="inlineStr">
        <is>
          <t>Producción neta total (Lb/año)</t>
        </is>
      </c>
      <c r="B10" s="7" t="n"/>
      <c r="C10" s="9">
        <f>C9*C8</f>
        <v/>
      </c>
      <c r="D10" s="9">
        <f>D9*D8</f>
        <v/>
      </c>
      <c r="E10" s="9">
        <f>E9*E8</f>
        <v/>
      </c>
      <c r="F10" s="9">
        <f>F9*F8</f>
        <v/>
      </c>
      <c r="G10" s="9">
        <f>G9*G8</f>
        <v/>
      </c>
      <c r="H10" s="9">
        <f>H9*H8</f>
        <v/>
      </c>
      <c r="I10" s="9">
        <f>I9*I8</f>
        <v/>
      </c>
      <c r="J10" s="9">
        <f>J9*J8</f>
        <v/>
      </c>
      <c r="K10" s="9">
        <f>K9*K8</f>
        <v/>
      </c>
      <c r="L10" s="9">
        <f>L9*L8</f>
        <v/>
      </c>
    </row>
    <row r="11" ht="14.25" customHeight="1" s="1">
      <c r="A11" s="4" t="inlineStr">
        <is>
          <t>Tasa de cambio</t>
        </is>
      </c>
      <c r="B11" s="7" t="n"/>
      <c r="C11" s="10" t="n">
        <v>1</v>
      </c>
      <c r="D11" s="10">
        <f>C11+(C11*$B$5)</f>
        <v/>
      </c>
      <c r="E11" s="10">
        <f>D11+(D11*$B$5)</f>
        <v/>
      </c>
      <c r="F11" s="10">
        <f>E11+(E11*$B$5)</f>
        <v/>
      </c>
      <c r="G11" s="10">
        <f>F11+(F11*$B$5)</f>
        <v/>
      </c>
      <c r="H11" s="10">
        <f>G11+(G11*$B$5)</f>
        <v/>
      </c>
      <c r="I11" s="10">
        <f>H11+(H11*$B$5)</f>
        <v/>
      </c>
      <c r="J11" s="10">
        <f>I11+(I11*$B$5)</f>
        <v/>
      </c>
      <c r="K11" s="10">
        <f>J11+(J11*$B$5)</f>
        <v/>
      </c>
      <c r="L11" s="10">
        <f>K11+(K11*$B$5)</f>
        <v/>
      </c>
    </row>
    <row r="12" ht="14.25" customHeight="1" s="1">
      <c r="A12" s="4" t="inlineStr">
        <is>
          <t>Precio de venta FOB ($/Lb)</t>
        </is>
      </c>
      <c r="B12" s="7" t="n"/>
      <c r="C12" s="11">
        <f>$P$6</f>
        <v/>
      </c>
      <c r="D12" s="11">
        <f>C12+(C12*$B$6)</f>
        <v/>
      </c>
      <c r="E12" s="11">
        <f>D12+(D12*$B$6)</f>
        <v/>
      </c>
      <c r="F12" s="11">
        <f>E12+(E12*$B$6)</f>
        <v/>
      </c>
      <c r="G12" s="11">
        <f>F12+(F12*$B$6)</f>
        <v/>
      </c>
      <c r="H12" s="11">
        <f>G12+(G12*$B$6)</f>
        <v/>
      </c>
      <c r="I12" s="11">
        <f>H12+(H12*$B$6)</f>
        <v/>
      </c>
      <c r="J12" s="11">
        <f>I12+(I12*$B$6)</f>
        <v/>
      </c>
      <c r="K12" s="11">
        <f>J12+(J12*$B$6)</f>
        <v/>
      </c>
      <c r="L12" s="11">
        <f>K12+(K12*$B$6)</f>
        <v/>
      </c>
    </row>
    <row r="13" ht="14.25" customHeight="1" s="1">
      <c r="A13" s="4" t="inlineStr">
        <is>
          <t>Capital de trabajo</t>
        </is>
      </c>
      <c r="B13" s="12" t="n"/>
      <c r="C13" s="13" t="n">
        <v>450000</v>
      </c>
      <c r="D13" s="13" t="n">
        <v>250000</v>
      </c>
      <c r="E13" s="13" t="n">
        <v>250000</v>
      </c>
      <c r="F13" s="13" t="n">
        <v>250000</v>
      </c>
      <c r="G13" s="13" t="n">
        <v>250000</v>
      </c>
      <c r="H13" s="13" t="n">
        <v>250000</v>
      </c>
      <c r="I13" s="13" t="n">
        <v>0</v>
      </c>
      <c r="J13" s="13" t="n">
        <v>0</v>
      </c>
      <c r="K13" s="13" t="n">
        <v>0</v>
      </c>
      <c r="L13" s="13" t="n">
        <v>0</v>
      </c>
    </row>
    <row r="14" ht="14.25" customHeight="1" s="1">
      <c r="A14" s="4" t="inlineStr">
        <is>
          <t>Costos variables ($1.45 x Lb)</t>
        </is>
      </c>
      <c r="B14" s="12" t="n"/>
      <c r="C14" s="11">
        <f>1.45</f>
        <v/>
      </c>
      <c r="D14" s="11">
        <f>C14+(C14*$B$6)</f>
        <v/>
      </c>
      <c r="E14" s="11">
        <f>D14+(D14*$B$6)</f>
        <v/>
      </c>
      <c r="F14" s="11">
        <f>E14+(E14*$B$6)</f>
        <v/>
      </c>
      <c r="G14" s="11">
        <f>F14+(F14*$B$6)</f>
        <v/>
      </c>
      <c r="H14" s="11">
        <f>G14+(G14*$B$6)</f>
        <v/>
      </c>
      <c r="I14" s="11">
        <f>H14+(H14*$B$6)</f>
        <v/>
      </c>
      <c r="J14" s="11">
        <f>I14+(I14*$B$6)</f>
        <v/>
      </c>
      <c r="K14" s="11">
        <f>J14+(J14*$B$6)</f>
        <v/>
      </c>
      <c r="L14" s="11">
        <f>K14+(K14*$B$6)</f>
        <v/>
      </c>
    </row>
    <row r="15" ht="14.25" customHeight="1" s="1">
      <c r="A15" s="4" t="inlineStr">
        <is>
          <t>Costos variables anuales</t>
        </is>
      </c>
      <c r="B15" s="14" t="n"/>
      <c r="C15" s="15">
        <f>C14*C10</f>
        <v/>
      </c>
      <c r="D15" s="15">
        <f>D14*D10</f>
        <v/>
      </c>
      <c r="E15" s="15">
        <f>E14*E10</f>
        <v/>
      </c>
      <c r="F15" s="15">
        <f>F14*F10</f>
        <v/>
      </c>
      <c r="G15" s="15">
        <f>G14*G10</f>
        <v/>
      </c>
      <c r="H15" s="15">
        <f>H14*H10</f>
        <v/>
      </c>
      <c r="I15" s="15">
        <f>I14*I10</f>
        <v/>
      </c>
      <c r="J15" s="15">
        <f>J14*J10</f>
        <v/>
      </c>
      <c r="K15" s="15">
        <f>K14*K10</f>
        <v/>
      </c>
      <c r="L15" s="15">
        <f>L14*L10</f>
        <v/>
      </c>
    </row>
    <row r="16" ht="14.25" customHeight="1" s="1">
      <c r="A16" s="4" t="inlineStr">
        <is>
          <t>Costos fijos de producción</t>
        </is>
      </c>
      <c r="B16" s="14" t="n"/>
      <c r="C16" s="15" t="n">
        <v>50000</v>
      </c>
      <c r="D16" s="15">
        <f>C16+(C16*$B$6)</f>
        <v/>
      </c>
      <c r="E16" s="15">
        <f>D16+(D16*$B$6)</f>
        <v/>
      </c>
      <c r="F16" s="15">
        <f>E16+(E16*$B$6)</f>
        <v/>
      </c>
      <c r="G16" s="15">
        <f>F16+(F16*$B$6)</f>
        <v/>
      </c>
      <c r="H16" s="15">
        <f>G16+(G16*$B$6)</f>
        <v/>
      </c>
      <c r="I16" s="15">
        <f>H16+(H16*$B$6)</f>
        <v/>
      </c>
      <c r="J16" s="15">
        <f>I16+(I16*$B$6)</f>
        <v/>
      </c>
      <c r="K16" s="15">
        <f>J16+(J16*$B$6)</f>
        <v/>
      </c>
      <c r="L16" s="15">
        <f>K16+(K16*$B$6)</f>
        <v/>
      </c>
    </row>
    <row r="17" ht="14.25" customHeight="1" s="1">
      <c r="A17" s="4" t="inlineStr">
        <is>
          <t>Gastos administrativos</t>
        </is>
      </c>
      <c r="B17" s="14" t="n"/>
      <c r="C17" s="15" t="n">
        <v>200000</v>
      </c>
      <c r="D17" s="15">
        <f>C17+(C17*$B$6)</f>
        <v/>
      </c>
      <c r="E17" s="15">
        <f>D17+(D17*$B$6)</f>
        <v/>
      </c>
      <c r="F17" s="15">
        <f>E17+(E17*$B$6)</f>
        <v/>
      </c>
      <c r="G17" s="15">
        <f>F17+(F17*$B$6)</f>
        <v/>
      </c>
      <c r="H17" s="15">
        <f>G17+(G17*$B$6)</f>
        <v/>
      </c>
      <c r="I17" s="15">
        <f>H17+(H17*$B$6)</f>
        <v/>
      </c>
      <c r="J17" s="15">
        <f>I17+(I17*$B$6)</f>
        <v/>
      </c>
      <c r="K17" s="15">
        <f>J17+(J17*$B$6)</f>
        <v/>
      </c>
      <c r="L17" s="15">
        <f>K17+(K17*$B$6)</f>
        <v/>
      </c>
    </row>
    <row r="18" ht="14.25" customHeight="1" s="1">
      <c r="K18" s="16" t="n"/>
    </row>
    <row r="19" ht="14.25" customHeight="1" s="1">
      <c r="A19" s="4" t="inlineStr">
        <is>
          <t>Valor residual del terreno</t>
        </is>
      </c>
      <c r="B19" s="17" t="n">
        <v>1250000</v>
      </c>
      <c r="K19" s="16" t="n"/>
    </row>
    <row r="20" ht="14.25" customHeight="1" s="1">
      <c r="A20" s="4" t="inlineStr">
        <is>
          <t>Valor residual de estanques y canales</t>
        </is>
      </c>
      <c r="B20" s="17" t="n">
        <v>1000000</v>
      </c>
      <c r="K20" s="16" t="n"/>
    </row>
    <row r="21" ht="14.25" customHeight="1" s="1">
      <c r="A21" s="4" t="inlineStr">
        <is>
          <t>Valor residual de edificios</t>
        </is>
      </c>
      <c r="B21" s="18" t="n">
        <v>50000</v>
      </c>
      <c r="K21" s="16" t="n"/>
    </row>
    <row r="22" ht="14.25" customHeight="1" s="1">
      <c r="A22" s="4" t="inlineStr">
        <is>
          <t>Tasa de fiananciamiento bancario</t>
        </is>
      </c>
      <c r="B22" s="5" t="n">
        <v>0.1</v>
      </c>
    </row>
    <row r="23" ht="14.25" customHeight="1" s="1">
      <c r="A23" s="4" t="inlineStr">
        <is>
          <t>Plazo del financiamiento bancario (años)</t>
        </is>
      </c>
      <c r="B23" s="19" t="n">
        <v>7</v>
      </c>
    </row>
    <row r="24" ht="14.25" customHeight="1" s="1">
      <c r="A24" s="4" t="inlineStr">
        <is>
          <t>Plazo del financiamiento bancario (valor)</t>
        </is>
      </c>
      <c r="B24" s="20">
        <f>5400000*0.5</f>
        <v/>
      </c>
    </row>
    <row r="25" ht="14.25" customHeight="1" s="1">
      <c r="A25" s="4" t="inlineStr">
        <is>
          <t>Tasa de corte</t>
        </is>
      </c>
      <c r="B25" s="5" t="n">
        <v>0.19</v>
      </c>
    </row>
    <row r="26" ht="14.25" customHeight="1" s="1">
      <c r="A26" s="4" t="inlineStr">
        <is>
          <t>Tasa de ISR</t>
        </is>
      </c>
      <c r="B26" s="5" t="n">
        <v>0.3</v>
      </c>
    </row>
    <row r="27" ht="14.25" customHeight="1" s="1">
      <c r="B27" s="21" t="n"/>
    </row>
    <row r="28" ht="14.25" customHeight="1" s="1">
      <c r="A28" s="22" t="inlineStr">
        <is>
          <t>1. Ingresos del proyecto</t>
        </is>
      </c>
      <c r="B28" s="21" t="n"/>
    </row>
    <row r="29" ht="15.75" customHeight="1" s="1">
      <c r="A29" s="23" t="inlineStr">
        <is>
          <t>Calendario de ingresos (venta del producto)</t>
        </is>
      </c>
      <c r="B29" s="24" t="n"/>
    </row>
    <row r="30" ht="14.25" customHeight="1" s="1">
      <c r="A30" s="161" t="inlineStr">
        <is>
          <t>Concepto</t>
        </is>
      </c>
      <c r="B30" s="26" t="inlineStr">
        <is>
          <t>Año 0</t>
        </is>
      </c>
      <c r="C30" s="26" t="inlineStr">
        <is>
          <t>Año 1</t>
        </is>
      </c>
      <c r="D30" s="26" t="inlineStr">
        <is>
          <t>Año 2</t>
        </is>
      </c>
      <c r="E30" s="26" t="inlineStr">
        <is>
          <t>Año 3</t>
        </is>
      </c>
      <c r="F30" s="26" t="inlineStr">
        <is>
          <t>Año 4</t>
        </is>
      </c>
      <c r="G30" s="26" t="inlineStr">
        <is>
          <t>Año 5</t>
        </is>
      </c>
      <c r="H30" s="26" t="inlineStr">
        <is>
          <t>Año 6</t>
        </is>
      </c>
      <c r="I30" s="26" t="inlineStr">
        <is>
          <t>Año 7</t>
        </is>
      </c>
      <c r="J30" s="26" t="inlineStr">
        <is>
          <t>Año 8</t>
        </is>
      </c>
      <c r="K30" s="26" t="inlineStr">
        <is>
          <t>Año 9</t>
        </is>
      </c>
      <c r="L30" s="27" t="inlineStr">
        <is>
          <t>Año 10</t>
        </is>
      </c>
    </row>
    <row r="31" ht="14.25" customHeight="1" s="1">
      <c r="A31" s="28" t="inlineStr">
        <is>
          <t>Cantidad de camarón (Lb)</t>
        </is>
      </c>
      <c r="B31" s="29" t="n"/>
      <c r="C31" s="30">
        <f>C10</f>
        <v/>
      </c>
      <c r="D31" s="30">
        <f>D10</f>
        <v/>
      </c>
      <c r="E31" s="30">
        <f>E10</f>
        <v/>
      </c>
      <c r="F31" s="30">
        <f>F10</f>
        <v/>
      </c>
      <c r="G31" s="30">
        <f>G10</f>
        <v/>
      </c>
      <c r="H31" s="30">
        <f>H10</f>
        <v/>
      </c>
      <c r="I31" s="30">
        <f>I10</f>
        <v/>
      </c>
      <c r="J31" s="30">
        <f>J10</f>
        <v/>
      </c>
      <c r="K31" s="30">
        <f>K10</f>
        <v/>
      </c>
      <c r="L31" s="31">
        <f>L10</f>
        <v/>
      </c>
    </row>
    <row r="32" ht="14.25" customHeight="1" s="1">
      <c r="A32" s="28" t="inlineStr">
        <is>
          <t>Precio unitario de venta ($/Lb)</t>
        </is>
      </c>
      <c r="B32" s="29" t="n"/>
      <c r="C32" s="32">
        <f>C12</f>
        <v/>
      </c>
      <c r="D32" s="32">
        <f>D12</f>
        <v/>
      </c>
      <c r="E32" s="32">
        <f>E12</f>
        <v/>
      </c>
      <c r="F32" s="32">
        <f>F12</f>
        <v/>
      </c>
      <c r="G32" s="32">
        <f>G12</f>
        <v/>
      </c>
      <c r="H32" s="32">
        <f>H12</f>
        <v/>
      </c>
      <c r="I32" s="32">
        <f>I12</f>
        <v/>
      </c>
      <c r="J32" s="32">
        <f>J12</f>
        <v/>
      </c>
      <c r="K32" s="32">
        <f>K12</f>
        <v/>
      </c>
      <c r="L32" s="33">
        <f>L12</f>
        <v/>
      </c>
    </row>
    <row r="33" ht="15.75" customHeight="1" s="1">
      <c r="A33" s="34" t="inlineStr">
        <is>
          <t>Ingresos</t>
        </is>
      </c>
      <c r="B33" s="35" t="n"/>
      <c r="C33" s="36">
        <f>C32*C31</f>
        <v/>
      </c>
      <c r="D33" s="36">
        <f>D32*D31</f>
        <v/>
      </c>
      <c r="E33" s="36">
        <f>E32*E31</f>
        <v/>
      </c>
      <c r="F33" s="36">
        <f>F32*F31</f>
        <v/>
      </c>
      <c r="G33" s="36">
        <f>G32*G31</f>
        <v/>
      </c>
      <c r="H33" s="36">
        <f>H32*H31</f>
        <v/>
      </c>
      <c r="I33" s="36">
        <f>I32*I31</f>
        <v/>
      </c>
      <c r="J33" s="36">
        <f>J32*J31</f>
        <v/>
      </c>
      <c r="K33" s="36">
        <f>K32*K31</f>
        <v/>
      </c>
      <c r="L33" s="37">
        <f>L32*L31</f>
        <v/>
      </c>
    </row>
    <row r="34" ht="14.25" customHeight="1" s="1">
      <c r="B34" s="21" t="n"/>
    </row>
    <row r="35" ht="14.25" customHeight="1" s="1">
      <c r="A35" s="22" t="inlineStr">
        <is>
          <t>2. Costos variables</t>
        </is>
      </c>
      <c r="B35" s="24" t="n"/>
    </row>
    <row r="36" ht="15.75" customHeight="1" s="1">
      <c r="A36" s="23" t="inlineStr">
        <is>
          <t>Calendario de costos variables</t>
        </is>
      </c>
      <c r="B36" s="24" t="n"/>
    </row>
    <row r="37" ht="14.25" customHeight="1" s="1">
      <c r="A37" s="161" t="inlineStr">
        <is>
          <t>Concepto</t>
        </is>
      </c>
      <c r="B37" s="26" t="inlineStr">
        <is>
          <t>Año 0</t>
        </is>
      </c>
      <c r="C37" s="26" t="inlineStr">
        <is>
          <t>Año 1</t>
        </is>
      </c>
      <c r="D37" s="26" t="inlineStr">
        <is>
          <t>Año 2</t>
        </is>
      </c>
      <c r="E37" s="26" t="inlineStr">
        <is>
          <t>Año 3</t>
        </is>
      </c>
      <c r="F37" s="26" t="inlineStr">
        <is>
          <t>Año 4</t>
        </is>
      </c>
      <c r="G37" s="26" t="inlineStr">
        <is>
          <t>Año 5</t>
        </is>
      </c>
      <c r="H37" s="26" t="inlineStr">
        <is>
          <t>Año 6</t>
        </is>
      </c>
      <c r="I37" s="26" t="inlineStr">
        <is>
          <t>Año 7</t>
        </is>
      </c>
      <c r="J37" s="26" t="inlineStr">
        <is>
          <t>Año 8</t>
        </is>
      </c>
      <c r="K37" s="26" t="inlineStr">
        <is>
          <t>Año 9</t>
        </is>
      </c>
      <c r="L37" s="27" t="inlineStr">
        <is>
          <t>Año 10</t>
        </is>
      </c>
    </row>
    <row r="38" ht="14.25" customHeight="1" s="1">
      <c r="A38" s="28" t="inlineStr">
        <is>
          <t>Costos variables</t>
        </is>
      </c>
      <c r="B38" s="29" t="n"/>
      <c r="C38" s="38">
        <f>C15</f>
        <v/>
      </c>
      <c r="D38" s="38">
        <f>D15</f>
        <v/>
      </c>
      <c r="E38" s="38">
        <f>E15</f>
        <v/>
      </c>
      <c r="F38" s="38">
        <f>F15</f>
        <v/>
      </c>
      <c r="G38" s="38">
        <f>G15</f>
        <v/>
      </c>
      <c r="H38" s="38">
        <f>H15</f>
        <v/>
      </c>
      <c r="I38" s="38">
        <f>I15</f>
        <v/>
      </c>
      <c r="J38" s="38">
        <f>J15</f>
        <v/>
      </c>
      <c r="K38" s="38">
        <f>K15</f>
        <v/>
      </c>
      <c r="L38" s="39">
        <f>L15</f>
        <v/>
      </c>
    </row>
    <row r="39" ht="15.75" customHeight="1" s="1">
      <c r="A39" s="40" t="inlineStr">
        <is>
          <t>Total de costos variables</t>
        </is>
      </c>
      <c r="B39" s="41" t="n"/>
      <c r="C39" s="36">
        <f>C38</f>
        <v/>
      </c>
      <c r="D39" s="36">
        <f>D38</f>
        <v/>
      </c>
      <c r="E39" s="36">
        <f>E38</f>
        <v/>
      </c>
      <c r="F39" s="36">
        <f>F38</f>
        <v/>
      </c>
      <c r="G39" s="36">
        <f>G38</f>
        <v/>
      </c>
      <c r="H39" s="36">
        <f>H38</f>
        <v/>
      </c>
      <c r="I39" s="36">
        <f>I38</f>
        <v/>
      </c>
      <c r="J39" s="36">
        <f>J38</f>
        <v/>
      </c>
      <c r="K39" s="36">
        <f>K38</f>
        <v/>
      </c>
      <c r="L39" s="37">
        <f>L38</f>
        <v/>
      </c>
    </row>
    <row r="40" ht="14.25" customHeight="1" s="1">
      <c r="B40" s="21" t="n"/>
    </row>
    <row r="41" ht="14.25" customHeight="1" s="1">
      <c r="A41" s="22" t="inlineStr">
        <is>
          <t xml:space="preserve">3. Costos  fijos </t>
        </is>
      </c>
      <c r="B41" s="24" t="n"/>
    </row>
    <row r="42" ht="15.75" customHeight="1" s="1">
      <c r="A42" s="23" t="inlineStr">
        <is>
          <t>Calendario de los costos fijos</t>
        </is>
      </c>
      <c r="B42" s="24" t="n"/>
    </row>
    <row r="43" ht="14.25" customHeight="1" s="1">
      <c r="A43" s="161" t="inlineStr">
        <is>
          <t>Concepto</t>
        </is>
      </c>
      <c r="B43" s="26" t="inlineStr">
        <is>
          <t>Año 0</t>
        </is>
      </c>
      <c r="C43" s="26" t="inlineStr">
        <is>
          <t>Año 1</t>
        </is>
      </c>
      <c r="D43" s="26" t="inlineStr">
        <is>
          <t>Año 2</t>
        </is>
      </c>
      <c r="E43" s="26" t="inlineStr">
        <is>
          <t>Año 3</t>
        </is>
      </c>
      <c r="F43" s="26" t="inlineStr">
        <is>
          <t>Año 4</t>
        </is>
      </c>
      <c r="G43" s="26" t="inlineStr">
        <is>
          <t>Año 5</t>
        </is>
      </c>
      <c r="H43" s="26" t="inlineStr">
        <is>
          <t>Año 6</t>
        </is>
      </c>
      <c r="I43" s="26" t="inlineStr">
        <is>
          <t>Año 7</t>
        </is>
      </c>
      <c r="J43" s="26" t="inlineStr">
        <is>
          <t>Año 8</t>
        </is>
      </c>
      <c r="K43" s="26" t="inlineStr">
        <is>
          <t>Año 9</t>
        </is>
      </c>
      <c r="L43" s="27" t="inlineStr">
        <is>
          <t>Año 10</t>
        </is>
      </c>
    </row>
    <row r="44" ht="14.25" customHeight="1" s="1">
      <c r="A44" s="28" t="inlineStr">
        <is>
          <t>Costos fijos de producción</t>
        </is>
      </c>
      <c r="B44" s="29" t="n"/>
      <c r="C44" s="38">
        <f>C16</f>
        <v/>
      </c>
      <c r="D44" s="38">
        <f>D16</f>
        <v/>
      </c>
      <c r="E44" s="38">
        <f>E16</f>
        <v/>
      </c>
      <c r="F44" s="38">
        <f>F16</f>
        <v/>
      </c>
      <c r="G44" s="38">
        <f>G16</f>
        <v/>
      </c>
      <c r="H44" s="38">
        <f>H16</f>
        <v/>
      </c>
      <c r="I44" s="38">
        <f>I16</f>
        <v/>
      </c>
      <c r="J44" s="38">
        <f>J16</f>
        <v/>
      </c>
      <c r="K44" s="38">
        <f>K16</f>
        <v/>
      </c>
      <c r="L44" s="39">
        <f>L16</f>
        <v/>
      </c>
    </row>
    <row r="45" ht="14.25" customHeight="1" s="1">
      <c r="A45" s="28" t="inlineStr">
        <is>
          <t>Gastos administrativos</t>
        </is>
      </c>
      <c r="B45" s="29" t="n"/>
      <c r="C45" s="38">
        <f>C17</f>
        <v/>
      </c>
      <c r="D45" s="38">
        <f>D17</f>
        <v/>
      </c>
      <c r="E45" s="38">
        <f>E17</f>
        <v/>
      </c>
      <c r="F45" s="38">
        <f>F17</f>
        <v/>
      </c>
      <c r="G45" s="38">
        <f>G17</f>
        <v/>
      </c>
      <c r="H45" s="38">
        <f>H17</f>
        <v/>
      </c>
      <c r="I45" s="38">
        <f>I17</f>
        <v/>
      </c>
      <c r="J45" s="38">
        <f>J17</f>
        <v/>
      </c>
      <c r="K45" s="38">
        <f>K17</f>
        <v/>
      </c>
      <c r="L45" s="39">
        <f>L17</f>
        <v/>
      </c>
    </row>
    <row r="46" ht="15.75" customHeight="1" s="1">
      <c r="A46" s="40" t="inlineStr">
        <is>
          <t>Total de costos fijos</t>
        </is>
      </c>
      <c r="B46" s="41" t="n"/>
      <c r="C46" s="36">
        <f>SUM(C44:C45)</f>
        <v/>
      </c>
      <c r="D46" s="36">
        <f>SUM(D44:D45)</f>
        <v/>
      </c>
      <c r="E46" s="36">
        <f>SUM(E44:E45)</f>
        <v/>
      </c>
      <c r="F46" s="36">
        <f>SUM(F44:F45)</f>
        <v/>
      </c>
      <c r="G46" s="36">
        <f>SUM(G44:G45)</f>
        <v/>
      </c>
      <c r="H46" s="36">
        <f>SUM(H44:H45)</f>
        <v/>
      </c>
      <c r="I46" s="36">
        <f>SUM(I44:I45)</f>
        <v/>
      </c>
      <c r="J46" s="36">
        <f>SUM(J44:J45)</f>
        <v/>
      </c>
      <c r="K46" s="36">
        <f>SUM(K44:K45)</f>
        <v/>
      </c>
      <c r="L46" s="37">
        <f>SUM(L44:L45)</f>
        <v/>
      </c>
    </row>
    <row r="47" ht="14.25" customHeight="1" s="1">
      <c r="B47" s="21" t="n"/>
    </row>
    <row r="48" ht="14.25" customHeight="1" s="1">
      <c r="A48" s="22" t="inlineStr">
        <is>
          <t>4. Capital de trabajo</t>
        </is>
      </c>
      <c r="B48" s="42" t="n"/>
      <c r="C48" s="43" t="n"/>
      <c r="D48" s="43" t="n"/>
      <c r="E48" s="43" t="n"/>
      <c r="F48" s="43" t="n"/>
      <c r="G48" s="43" t="n"/>
      <c r="H48" s="43" t="n"/>
    </row>
    <row r="49" ht="14.25" customHeight="1" s="1">
      <c r="A49" s="44" t="inlineStr">
        <is>
          <t>Capital de trabajo</t>
        </is>
      </c>
      <c r="B49" s="42" t="n"/>
      <c r="C49" s="43" t="n"/>
      <c r="D49" s="43" t="n"/>
      <c r="E49" s="43" t="n"/>
      <c r="F49" s="43" t="n"/>
      <c r="G49" s="43" t="n"/>
      <c r="H49" s="43" t="n"/>
    </row>
    <row r="50" ht="15.75" customHeight="1" s="1">
      <c r="A50" s="160" t="inlineStr">
        <is>
          <t>Necesidad de Efectivo</t>
        </is>
      </c>
    </row>
    <row r="51" ht="14.25" customHeight="1" s="1">
      <c r="A51" s="161" t="inlineStr">
        <is>
          <t>Concepto</t>
        </is>
      </c>
      <c r="B51" s="26" t="inlineStr">
        <is>
          <t>Año 0</t>
        </is>
      </c>
      <c r="C51" s="26" t="inlineStr">
        <is>
          <t>Año 1</t>
        </is>
      </c>
      <c r="D51" s="26" t="inlineStr">
        <is>
          <t>Año 2</t>
        </is>
      </c>
      <c r="E51" s="26" t="inlineStr">
        <is>
          <t>Año 3</t>
        </is>
      </c>
      <c r="F51" s="26" t="inlineStr">
        <is>
          <t>Año 4</t>
        </is>
      </c>
      <c r="G51" s="26" t="inlineStr">
        <is>
          <t>Año 5</t>
        </is>
      </c>
      <c r="H51" s="26" t="inlineStr">
        <is>
          <t>Año 6</t>
        </is>
      </c>
      <c r="I51" s="26" t="inlineStr">
        <is>
          <t>Año 7</t>
        </is>
      </c>
      <c r="J51" s="26" t="inlineStr">
        <is>
          <t>Año 8</t>
        </is>
      </c>
      <c r="K51" s="26" t="inlineStr">
        <is>
          <t>Año 9</t>
        </is>
      </c>
      <c r="L51" s="27" t="inlineStr">
        <is>
          <t>Año 10</t>
        </is>
      </c>
    </row>
    <row r="52" ht="14.25" customHeight="1" s="1">
      <c r="A52" s="28" t="inlineStr">
        <is>
          <t>Capital de trabajo</t>
        </is>
      </c>
      <c r="B52" s="45" t="n"/>
      <c r="C52" s="38">
        <f>C13+B52</f>
        <v/>
      </c>
      <c r="D52" s="38">
        <f>D13+C52</f>
        <v/>
      </c>
      <c r="E52" s="38">
        <f>E13+D52</f>
        <v/>
      </c>
      <c r="F52" s="38">
        <f>F13+E52</f>
        <v/>
      </c>
      <c r="G52" s="38">
        <f>G13+F52</f>
        <v/>
      </c>
      <c r="H52" s="38">
        <f>H13+G52</f>
        <v/>
      </c>
      <c r="I52" s="38">
        <f>I13+H52</f>
        <v/>
      </c>
      <c r="J52" s="38">
        <f>J13+I52</f>
        <v/>
      </c>
      <c r="K52" s="38">
        <f>K13+J52</f>
        <v/>
      </c>
      <c r="L52" s="38">
        <f>L13+K52</f>
        <v/>
      </c>
    </row>
    <row r="53" ht="15.75" customHeight="1" s="1">
      <c r="A53" s="34" t="inlineStr">
        <is>
          <t>Efectivo requerido en caja</t>
        </is>
      </c>
      <c r="B53" s="46" t="n"/>
      <c r="C53" s="36">
        <f>SUM(C52:C52)</f>
        <v/>
      </c>
      <c r="D53" s="36">
        <f>SUM(D52:D52)</f>
        <v/>
      </c>
      <c r="E53" s="36">
        <f>SUM(E52:E52)</f>
        <v/>
      </c>
      <c r="F53" s="36">
        <f>SUM(F52:F52)</f>
        <v/>
      </c>
      <c r="G53" s="36">
        <f>SUM(G52:G52)</f>
        <v/>
      </c>
      <c r="H53" s="36">
        <f>SUM(H52:H52)</f>
        <v/>
      </c>
      <c r="I53" s="36">
        <f>SUM(I52:I52)</f>
        <v/>
      </c>
      <c r="J53" s="36">
        <f>SUM(J52:J52)</f>
        <v/>
      </c>
      <c r="K53" s="36">
        <f>SUM(K52:K52)</f>
        <v/>
      </c>
      <c r="L53" s="37">
        <f>SUM(L52:L52)</f>
        <v/>
      </c>
    </row>
    <row r="54" ht="14.25" customHeight="1" s="1">
      <c r="A54" s="43" t="n"/>
      <c r="B54" s="42" t="n"/>
      <c r="C54" s="43" t="n"/>
      <c r="D54" s="43" t="n"/>
      <c r="E54" s="43" t="n"/>
      <c r="F54" s="43" t="n"/>
      <c r="G54" s="43" t="n"/>
      <c r="H54" s="43" t="n"/>
    </row>
    <row r="55" ht="15.75" customHeight="1" s="1">
      <c r="A55" s="160" t="inlineStr">
        <is>
          <t>Cálculo del Capital de Trabajo</t>
        </is>
      </c>
    </row>
    <row r="56" ht="14.25" customHeight="1" s="1">
      <c r="A56" s="161" t="inlineStr">
        <is>
          <t>Concepto</t>
        </is>
      </c>
      <c r="B56" s="26" t="inlineStr">
        <is>
          <t>Cobertura</t>
        </is>
      </c>
      <c r="C56" s="26" t="inlineStr">
        <is>
          <t>Año 1</t>
        </is>
      </c>
      <c r="D56" s="26" t="inlineStr">
        <is>
          <t>Año 2</t>
        </is>
      </c>
      <c r="E56" s="26" t="inlineStr">
        <is>
          <t>Año 3</t>
        </is>
      </c>
      <c r="F56" s="26" t="inlineStr">
        <is>
          <t>Año 4</t>
        </is>
      </c>
      <c r="G56" s="26" t="inlineStr">
        <is>
          <t>Año 5</t>
        </is>
      </c>
      <c r="H56" s="26" t="inlineStr">
        <is>
          <t>Año 6</t>
        </is>
      </c>
      <c r="I56" s="26" t="inlineStr">
        <is>
          <t>Año 7</t>
        </is>
      </c>
      <c r="J56" s="26" t="inlineStr">
        <is>
          <t>Año 8</t>
        </is>
      </c>
      <c r="K56" s="26" t="inlineStr">
        <is>
          <t>Año 9</t>
        </is>
      </c>
      <c r="L56" s="27" t="inlineStr">
        <is>
          <t>Año 10</t>
        </is>
      </c>
    </row>
    <row r="57" ht="14.25" customHeight="1" s="1">
      <c r="A57" s="47" t="inlineStr">
        <is>
          <t>Activo circulante</t>
        </is>
      </c>
      <c r="B57" s="48" t="n"/>
      <c r="C57" s="49">
        <f>C58</f>
        <v/>
      </c>
      <c r="D57" s="49">
        <f>D58</f>
        <v/>
      </c>
      <c r="E57" s="49">
        <f>E58</f>
        <v/>
      </c>
      <c r="F57" s="49">
        <f>F58</f>
        <v/>
      </c>
      <c r="G57" s="49">
        <f>G58</f>
        <v/>
      </c>
      <c r="H57" s="49">
        <f>H58</f>
        <v/>
      </c>
      <c r="I57" s="49">
        <f>I58</f>
        <v/>
      </c>
      <c r="J57" s="49">
        <f>J58</f>
        <v/>
      </c>
      <c r="K57" s="49">
        <f>K58</f>
        <v/>
      </c>
      <c r="L57" s="50">
        <f>L58</f>
        <v/>
      </c>
    </row>
    <row r="58" ht="14.25" customHeight="1" s="1">
      <c r="A58" s="28" t="inlineStr">
        <is>
          <t xml:space="preserve">     Efectivo </t>
        </is>
      </c>
      <c r="B58" s="45" t="n"/>
      <c r="C58" s="38">
        <f>C53</f>
        <v/>
      </c>
      <c r="D58" s="38">
        <f>D53</f>
        <v/>
      </c>
      <c r="E58" s="38">
        <f>E53</f>
        <v/>
      </c>
      <c r="F58" s="38">
        <f>F53</f>
        <v/>
      </c>
      <c r="G58" s="38">
        <f>G53</f>
        <v/>
      </c>
      <c r="H58" s="38">
        <f>H53</f>
        <v/>
      </c>
      <c r="I58" s="38">
        <f>I53</f>
        <v/>
      </c>
      <c r="J58" s="38">
        <f>J53</f>
        <v/>
      </c>
      <c r="K58" s="38">
        <f>K53</f>
        <v/>
      </c>
      <c r="L58" s="39">
        <f>L53</f>
        <v/>
      </c>
    </row>
    <row r="59" ht="14.25" customHeight="1" s="1">
      <c r="A59" s="47" t="inlineStr">
        <is>
          <t>Pasivo circulante</t>
        </is>
      </c>
      <c r="B59" s="48" t="n"/>
      <c r="C59" s="49">
        <f>SUM(C60:C61)</f>
        <v/>
      </c>
      <c r="D59" s="49">
        <f>SUM(D60:D61)</f>
        <v/>
      </c>
      <c r="E59" s="49">
        <f>SUM(E60:E61)</f>
        <v/>
      </c>
      <c r="F59" s="49">
        <f>SUM(F60:F61)</f>
        <v/>
      </c>
      <c r="G59" s="49">
        <f>SUM(G60:G61)</f>
        <v/>
      </c>
      <c r="H59" s="49">
        <f>SUM(H60:H61)</f>
        <v/>
      </c>
      <c r="I59" s="49">
        <f>SUM(I60:I61)</f>
        <v/>
      </c>
      <c r="J59" s="49">
        <f>SUM(J60:J61)</f>
        <v/>
      </c>
      <c r="K59" s="49">
        <f>SUM(K60:K61)</f>
        <v/>
      </c>
      <c r="L59" s="50">
        <f>SUM(L60:L61)</f>
        <v/>
      </c>
    </row>
    <row r="60" ht="14.25" customHeight="1" s="1">
      <c r="A60" s="28" t="inlineStr">
        <is>
          <t xml:space="preserve">     Cuentas por pagar</t>
        </is>
      </c>
      <c r="B60" s="45" t="n"/>
      <c r="C60" s="38" t="n">
        <v>0</v>
      </c>
      <c r="D60" s="38" t="n">
        <v>0</v>
      </c>
      <c r="E60" s="38" t="n">
        <v>0</v>
      </c>
      <c r="F60" s="38" t="n">
        <v>0</v>
      </c>
      <c r="G60" s="38" t="n">
        <v>0</v>
      </c>
      <c r="H60" s="38" t="n">
        <v>0</v>
      </c>
      <c r="I60" s="38" t="n">
        <v>0</v>
      </c>
      <c r="J60" s="38" t="n">
        <v>0</v>
      </c>
      <c r="K60" s="38" t="n">
        <v>0</v>
      </c>
      <c r="L60" s="39" t="n">
        <v>0</v>
      </c>
    </row>
    <row r="61" ht="14.25" customHeight="1" s="1">
      <c r="A61" s="28" t="inlineStr">
        <is>
          <t xml:space="preserve">     Proveedores</t>
        </is>
      </c>
      <c r="B61" s="45" t="n"/>
      <c r="C61" s="38" t="n">
        <v>0</v>
      </c>
      <c r="D61" s="38" t="n">
        <v>0</v>
      </c>
      <c r="E61" s="38" t="n">
        <v>0</v>
      </c>
      <c r="F61" s="38" t="n">
        <v>0</v>
      </c>
      <c r="G61" s="38" t="n">
        <v>0</v>
      </c>
      <c r="H61" s="38" t="n">
        <v>0</v>
      </c>
      <c r="I61" s="38" t="n">
        <v>0</v>
      </c>
      <c r="J61" s="38" t="n">
        <v>0</v>
      </c>
      <c r="K61" s="38" t="n">
        <v>0</v>
      </c>
      <c r="L61" s="39" t="n">
        <v>0</v>
      </c>
    </row>
    <row r="62" ht="14.25" customHeight="1" s="1">
      <c r="A62" s="51" t="inlineStr">
        <is>
          <t>Capital de Trabajo (Ac - Pc)</t>
        </is>
      </c>
      <c r="B62" s="52" t="n"/>
      <c r="C62" s="53">
        <f>C57-C59</f>
        <v/>
      </c>
      <c r="D62" s="53">
        <f>D57-D59</f>
        <v/>
      </c>
      <c r="E62" s="53">
        <f>E57-E59</f>
        <v/>
      </c>
      <c r="F62" s="53">
        <f>F57-F59</f>
        <v/>
      </c>
      <c r="G62" s="53">
        <f>G57-G59</f>
        <v/>
      </c>
      <c r="H62" s="53">
        <f>H57-H59</f>
        <v/>
      </c>
      <c r="I62" s="53">
        <f>I57-I59</f>
        <v/>
      </c>
      <c r="J62" s="53">
        <f>J57-J59</f>
        <v/>
      </c>
      <c r="K62" s="53">
        <f>K57-K59</f>
        <v/>
      </c>
      <c r="L62" s="54">
        <f>L57-L59</f>
        <v/>
      </c>
    </row>
    <row r="63" ht="15.75" customHeight="1" s="1">
      <c r="A63" s="34" t="inlineStr">
        <is>
          <t>Incremento Capital Trabajo</t>
        </is>
      </c>
      <c r="B63" s="36">
        <f>C62-B62</f>
        <v/>
      </c>
      <c r="C63" s="36">
        <f>D62-C62</f>
        <v/>
      </c>
      <c r="D63" s="36">
        <f>E62-D62</f>
        <v/>
      </c>
      <c r="E63" s="36">
        <f>F62-E62</f>
        <v/>
      </c>
      <c r="F63" s="36">
        <f>G62-F62</f>
        <v/>
      </c>
      <c r="G63" s="36">
        <f>H62-G62</f>
        <v/>
      </c>
      <c r="H63" s="36">
        <f>I62-H62</f>
        <v/>
      </c>
      <c r="I63" s="36">
        <f>J62-I62</f>
        <v/>
      </c>
      <c r="J63" s="36">
        <f>K62-J62</f>
        <v/>
      </c>
      <c r="K63" s="36">
        <f>L62-K62</f>
        <v/>
      </c>
      <c r="L63" s="37">
        <f>M62-L62</f>
        <v/>
      </c>
    </row>
    <row r="64" ht="14.25" customHeight="1" s="1">
      <c r="B64" s="24" t="n"/>
    </row>
    <row r="65" ht="14.25" customHeight="1" s="1">
      <c r="A65" s="22" t="inlineStr">
        <is>
          <t>5. Inversiones</t>
        </is>
      </c>
      <c r="B65" s="24" t="n"/>
    </row>
    <row r="66" ht="15.75" customHeight="1" s="1">
      <c r="A66" s="23" t="inlineStr">
        <is>
          <t>Calendario de inversiones</t>
        </is>
      </c>
      <c r="B66" s="24" t="n"/>
    </row>
    <row r="67" ht="14.25" customHeight="1" s="1">
      <c r="A67" s="161" t="inlineStr">
        <is>
          <t>Concepto</t>
        </is>
      </c>
      <c r="B67" s="26" t="inlineStr">
        <is>
          <t>Año 0</t>
        </is>
      </c>
      <c r="C67" s="26" t="inlineStr">
        <is>
          <t>Año 1</t>
        </is>
      </c>
      <c r="D67" s="26" t="inlineStr">
        <is>
          <t>Año 2</t>
        </is>
      </c>
      <c r="E67" s="26" t="inlineStr">
        <is>
          <t>Año 3</t>
        </is>
      </c>
      <c r="F67" s="26" t="inlineStr">
        <is>
          <t>Año 4</t>
        </is>
      </c>
      <c r="G67" s="26" t="inlineStr">
        <is>
          <t>Año 5</t>
        </is>
      </c>
      <c r="H67" s="26" t="inlineStr">
        <is>
          <t>Año 6</t>
        </is>
      </c>
      <c r="I67" s="26" t="inlineStr">
        <is>
          <t>Año 7</t>
        </is>
      </c>
      <c r="J67" s="26" t="inlineStr">
        <is>
          <t>Año 8</t>
        </is>
      </c>
      <c r="K67" s="26" t="inlineStr">
        <is>
          <t>Año 9</t>
        </is>
      </c>
      <c r="L67" s="27" t="inlineStr">
        <is>
          <t>Año 10</t>
        </is>
      </c>
    </row>
    <row r="68" ht="14.25" customHeight="1" s="1">
      <c r="A68" s="47" t="inlineStr">
        <is>
          <t>Activos Fijos</t>
        </is>
      </c>
      <c r="B68" s="55" t="n"/>
      <c r="C68" s="55" t="n"/>
      <c r="D68" s="55" t="n"/>
      <c r="E68" s="55" t="n"/>
      <c r="F68" s="55" t="n"/>
      <c r="G68" s="55" t="n"/>
      <c r="H68" s="55" t="n"/>
      <c r="I68" s="55" t="n"/>
      <c r="J68" s="55" t="n"/>
      <c r="K68" s="55" t="n"/>
      <c r="L68" s="56" t="n"/>
    </row>
    <row r="69" ht="14.25" customHeight="1" s="1">
      <c r="A69" s="28" t="inlineStr">
        <is>
          <t xml:space="preserve">   Inversiones a 20 años</t>
        </is>
      </c>
      <c r="B69" s="57">
        <f>100000*$P$5</f>
        <v/>
      </c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6" t="n"/>
    </row>
    <row r="70" ht="14.25" customHeight="1" s="1">
      <c r="A70" s="28" t="inlineStr">
        <is>
          <t xml:space="preserve">  Inversiones a 10 años</t>
        </is>
      </c>
      <c r="B70" s="57">
        <f>(3000000+200000+450000+50000)*$P$5</f>
        <v/>
      </c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6" t="n"/>
    </row>
    <row r="71" ht="14.25" customHeight="1" s="1">
      <c r="A71" s="28" t="inlineStr">
        <is>
          <t xml:space="preserve">  Inversiones a 5 años</t>
        </is>
      </c>
      <c r="B71" s="57">
        <f>(300000+100000)*$P$5</f>
        <v/>
      </c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6" t="n"/>
    </row>
    <row r="72" ht="14.25" customHeight="1" s="1">
      <c r="A72" s="28" t="inlineStr">
        <is>
          <t xml:space="preserve">  Inversion terrenos</t>
        </is>
      </c>
      <c r="B72" s="57">
        <f>750000*$P$5</f>
        <v/>
      </c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6" t="n"/>
    </row>
    <row r="73" ht="14.25" customHeight="1" s="1">
      <c r="A73" s="47" t="inlineStr">
        <is>
          <t>Gastos Pre-operativos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6" t="n"/>
    </row>
    <row r="74" ht="14.25" customHeight="1" s="1">
      <c r="A74" s="28" t="inlineStr">
        <is>
          <t xml:space="preserve">  Gastos puesta en marcha</t>
        </is>
      </c>
      <c r="B74" s="57" t="n">
        <v>0</v>
      </c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6" t="n"/>
    </row>
    <row r="75" ht="14.25" customHeight="1" s="1">
      <c r="A75" s="47" t="inlineStr">
        <is>
          <t>Capital de trabajo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6" t="n"/>
    </row>
    <row r="76" ht="14.25" customHeight="1" s="1">
      <c r="A76" s="28" t="inlineStr">
        <is>
          <t xml:space="preserve">   Capital de trabajo</t>
        </is>
      </c>
      <c r="B76" s="57">
        <f>B63</f>
        <v/>
      </c>
      <c r="C76" s="57">
        <f>C63</f>
        <v/>
      </c>
      <c r="D76" s="57">
        <f>D63</f>
        <v/>
      </c>
      <c r="E76" s="57">
        <f>E63</f>
        <v/>
      </c>
      <c r="F76" s="57">
        <f>F63</f>
        <v/>
      </c>
      <c r="G76" s="57">
        <f>G63</f>
        <v/>
      </c>
      <c r="H76" s="57">
        <f>H63</f>
        <v/>
      </c>
      <c r="I76" s="57">
        <f>I63</f>
        <v/>
      </c>
      <c r="J76" s="57">
        <f>J63</f>
        <v/>
      </c>
      <c r="K76" s="57">
        <f>K63</f>
        <v/>
      </c>
      <c r="L76" s="58">
        <f>L63</f>
        <v/>
      </c>
    </row>
    <row r="77" ht="15.75" customHeight="1" s="1">
      <c r="A77" s="40" t="inlineStr">
        <is>
          <t>Total Inversiones</t>
        </is>
      </c>
      <c r="B77" s="59">
        <f>SUM(B68:B76)</f>
        <v/>
      </c>
      <c r="C77" s="59">
        <f>SUM(C68:C76)</f>
        <v/>
      </c>
      <c r="D77" s="59">
        <f>SUM(D68:D76)</f>
        <v/>
      </c>
      <c r="E77" s="59">
        <f>SUM(E68:E76)</f>
        <v/>
      </c>
      <c r="F77" s="59">
        <f>SUM(F68:F76)</f>
        <v/>
      </c>
      <c r="G77" s="59">
        <f>SUM(G68:G76)</f>
        <v/>
      </c>
      <c r="H77" s="59">
        <f>SUM(H68:H76)</f>
        <v/>
      </c>
      <c r="I77" s="59">
        <f>SUM(I68:I76)</f>
        <v/>
      </c>
      <c r="J77" s="59">
        <f>SUM(J68:J76)</f>
        <v/>
      </c>
      <c r="K77" s="59">
        <f>SUM(K68:K76)</f>
        <v/>
      </c>
      <c r="L77" s="60">
        <f>SUM(L68:L76)</f>
        <v/>
      </c>
    </row>
    <row r="78" ht="14.25" customHeight="1" s="1">
      <c r="B78" s="21" t="n"/>
    </row>
    <row r="79" ht="14.25" customHeight="1" s="1">
      <c r="A79" s="22" t="inlineStr">
        <is>
          <t>6.  Depreciaciones y Amortizaciones</t>
        </is>
      </c>
      <c r="B79" s="24" t="n"/>
    </row>
    <row r="80" ht="15.75" customHeight="1" s="1">
      <c r="A80" s="23" t="inlineStr">
        <is>
          <t>Calendario de Depreciaciones y Amortizaciones</t>
        </is>
      </c>
      <c r="B80" s="24" t="n"/>
    </row>
    <row r="81" ht="14.25" customHeight="1" s="1">
      <c r="A81" s="161" t="inlineStr">
        <is>
          <t>Concepto</t>
        </is>
      </c>
      <c r="B81" s="26" t="inlineStr">
        <is>
          <t>Año 0</t>
        </is>
      </c>
      <c r="C81" s="26" t="inlineStr">
        <is>
          <t>Año 1</t>
        </is>
      </c>
      <c r="D81" s="26" t="inlineStr">
        <is>
          <t>Año 2</t>
        </is>
      </c>
      <c r="E81" s="26" t="inlineStr">
        <is>
          <t>Año 3</t>
        </is>
      </c>
      <c r="F81" s="26" t="inlineStr">
        <is>
          <t>Año 4</t>
        </is>
      </c>
      <c r="G81" s="26" t="inlineStr">
        <is>
          <t>Año 5</t>
        </is>
      </c>
      <c r="H81" s="26" t="inlineStr">
        <is>
          <t>Año 6</t>
        </is>
      </c>
      <c r="I81" s="26" t="inlineStr">
        <is>
          <t>Año 7</t>
        </is>
      </c>
      <c r="J81" s="26" t="inlineStr">
        <is>
          <t>Año 8</t>
        </is>
      </c>
      <c r="K81" s="26" t="inlineStr">
        <is>
          <t>Año 9</t>
        </is>
      </c>
      <c r="L81" s="27" t="inlineStr">
        <is>
          <t>Año 10</t>
        </is>
      </c>
      <c r="R81" s="61" t="inlineStr">
        <is>
          <t>Inversión</t>
        </is>
      </c>
      <c r="S81" s="62" t="inlineStr">
        <is>
          <t>Valor Activo</t>
        </is>
      </c>
      <c r="T81" s="62" t="inlineStr">
        <is>
          <t>Valor residual</t>
        </is>
      </c>
      <c r="U81" s="62" t="inlineStr">
        <is>
          <t>Vida útil</t>
        </is>
      </c>
      <c r="V81" s="62" t="inlineStr">
        <is>
          <t>Dep. Anual</t>
        </is>
      </c>
    </row>
    <row r="82" ht="14.25" customHeight="1" s="1">
      <c r="A82" s="28" t="inlineStr">
        <is>
          <t>Inversiones a 20 años</t>
        </is>
      </c>
      <c r="B82" s="55" t="n"/>
      <c r="C82" s="57">
        <f>$V$82</f>
        <v/>
      </c>
      <c r="D82" s="57">
        <f>$V$82</f>
        <v/>
      </c>
      <c r="E82" s="57">
        <f>$V$82</f>
        <v/>
      </c>
      <c r="F82" s="57">
        <f>$V$82</f>
        <v/>
      </c>
      <c r="G82" s="57">
        <f>$V$82</f>
        <v/>
      </c>
      <c r="H82" s="57">
        <f>$V$82</f>
        <v/>
      </c>
      <c r="I82" s="57">
        <f>$V$82</f>
        <v/>
      </c>
      <c r="J82" s="57">
        <f>$V$82</f>
        <v/>
      </c>
      <c r="K82" s="57">
        <f>$V$82</f>
        <v/>
      </c>
      <c r="L82" s="57">
        <f>$V$82</f>
        <v/>
      </c>
      <c r="R82" s="63" t="inlineStr">
        <is>
          <t>Edificio</t>
        </is>
      </c>
      <c r="S82" s="15">
        <f>B69</f>
        <v/>
      </c>
      <c r="T82" s="64" t="n">
        <v>50000</v>
      </c>
      <c r="U82" s="65" t="n">
        <v>20</v>
      </c>
      <c r="V82" s="15">
        <f>(S82-T82)/U82</f>
        <v/>
      </c>
    </row>
    <row r="83" ht="14.25" customHeight="1" s="1">
      <c r="A83" s="28" t="inlineStr">
        <is>
          <t>Inversiones a 10 años</t>
        </is>
      </c>
      <c r="B83" s="55" t="n"/>
      <c r="C83" s="57">
        <f>$V$83+$V$84</f>
        <v/>
      </c>
      <c r="D83" s="57">
        <f>$V$83+$V$84</f>
        <v/>
      </c>
      <c r="E83" s="57">
        <f>$V$83+$V$84</f>
        <v/>
      </c>
      <c r="F83" s="57">
        <f>$V$83+$V$84</f>
        <v/>
      </c>
      <c r="G83" s="57">
        <f>$V$83+$V$84</f>
        <v/>
      </c>
      <c r="H83" s="57">
        <f>$V$83+$V$84</f>
        <v/>
      </c>
      <c r="I83" s="57">
        <f>$V$83+$V$84</f>
        <v/>
      </c>
      <c r="J83" s="57">
        <f>$V$83+$V$84</f>
        <v/>
      </c>
      <c r="K83" s="57">
        <f>$V$83+$V$84</f>
        <v/>
      </c>
      <c r="L83" s="57">
        <f>$V$83+$V$84</f>
        <v/>
      </c>
      <c r="R83" s="63" t="inlineStr">
        <is>
          <t>Estanque y canales</t>
        </is>
      </c>
      <c r="S83" s="15">
        <f>3000000*$P$5</f>
        <v/>
      </c>
      <c r="T83" s="64" t="n">
        <v>1000000</v>
      </c>
      <c r="U83" s="66" t="n">
        <v>10</v>
      </c>
      <c r="V83" s="15">
        <f>(S83-T83)/U83</f>
        <v/>
      </c>
    </row>
    <row r="84" ht="14.25" customHeight="1" s="1">
      <c r="A84" s="28" t="inlineStr">
        <is>
          <t>Inversiones a 5 años</t>
        </is>
      </c>
      <c r="B84" s="55" t="n"/>
      <c r="C84" s="57">
        <f>$V$85</f>
        <v/>
      </c>
      <c r="D84" s="57">
        <f>$V$85</f>
        <v/>
      </c>
      <c r="E84" s="57">
        <f>$V$85</f>
        <v/>
      </c>
      <c r="F84" s="57">
        <f>$V$85</f>
        <v/>
      </c>
      <c r="G84" s="57">
        <f>$V$85</f>
        <v/>
      </c>
      <c r="H84" s="57" t="n">
        <v>0</v>
      </c>
      <c r="I84" s="57" t="n">
        <v>0</v>
      </c>
      <c r="J84" s="57" t="n">
        <v>0</v>
      </c>
      <c r="K84" s="57" t="n">
        <v>0</v>
      </c>
      <c r="L84" s="57" t="n">
        <v>0</v>
      </c>
      <c r="R84" s="63" t="inlineStr">
        <is>
          <t>Maq &amp; Equipo</t>
        </is>
      </c>
      <c r="S84" s="67">
        <f>B70-S83</f>
        <v/>
      </c>
      <c r="T84" s="63" t="n">
        <v>0</v>
      </c>
      <c r="U84" s="65" t="n">
        <v>10</v>
      </c>
      <c r="V84" s="15">
        <f>(S84-T84)/U84</f>
        <v/>
      </c>
    </row>
    <row r="85" ht="14.25" customHeight="1" s="1">
      <c r="A85" s="68" t="inlineStr">
        <is>
          <t>Total Depreciación</t>
        </is>
      </c>
      <c r="B85" s="69" t="n"/>
      <c r="C85" s="70">
        <f>SUM(C82:C84)</f>
        <v/>
      </c>
      <c r="D85" s="70">
        <f>SUM(D82:D84)</f>
        <v/>
      </c>
      <c r="E85" s="70">
        <f>SUM(E82:E84)</f>
        <v/>
      </c>
      <c r="F85" s="70">
        <f>SUM(F82:F84)</f>
        <v/>
      </c>
      <c r="G85" s="70">
        <f>SUM(G82:G84)</f>
        <v/>
      </c>
      <c r="H85" s="70">
        <f>SUM(H82:H84)</f>
        <v/>
      </c>
      <c r="I85" s="70">
        <f>SUM(I82:I84)</f>
        <v/>
      </c>
      <c r="J85" s="70">
        <f>SUM(J82:J84)</f>
        <v/>
      </c>
      <c r="K85" s="70">
        <f>SUM(K82:K84)</f>
        <v/>
      </c>
      <c r="L85" s="70">
        <f>SUM(L82:L84)</f>
        <v/>
      </c>
      <c r="R85" s="63" t="inlineStr">
        <is>
          <t>Vehículos y embarcaciones</t>
        </is>
      </c>
      <c r="S85" s="15">
        <f>B71</f>
        <v/>
      </c>
      <c r="T85" s="64" t="n">
        <v>0</v>
      </c>
      <c r="U85" s="66" t="n">
        <v>5</v>
      </c>
      <c r="V85" s="15">
        <f>(S85-T85)/U85</f>
        <v/>
      </c>
    </row>
    <row r="86" ht="14.25" customHeight="1" s="1">
      <c r="A86" s="71" t="n"/>
      <c r="B86" s="55" t="n"/>
      <c r="C86" s="55" t="n"/>
      <c r="D86" s="55" t="n"/>
      <c r="E86" s="55" t="n"/>
      <c r="F86" s="55" t="n"/>
      <c r="G86" s="55" t="n"/>
      <c r="H86" s="55" t="n"/>
      <c r="I86" s="55" t="n"/>
      <c r="J86" s="55" t="n"/>
      <c r="K86" s="55" t="n"/>
      <c r="L86" s="56" t="n"/>
      <c r="S86" s="72">
        <f>SUM(S82:S85)</f>
        <v/>
      </c>
    </row>
    <row r="87" ht="14.25" customHeight="1" s="1">
      <c r="A87" s="28" t="inlineStr">
        <is>
          <t>Amortización pre-operativos</t>
        </is>
      </c>
      <c r="B87" s="55" t="n"/>
      <c r="C87" s="57">
        <f>$B$74/10</f>
        <v/>
      </c>
      <c r="D87" s="57">
        <f>$B$74/10</f>
        <v/>
      </c>
      <c r="E87" s="57">
        <f>$B$74/10</f>
        <v/>
      </c>
      <c r="F87" s="57">
        <f>$B$74/10</f>
        <v/>
      </c>
      <c r="G87" s="57">
        <f>$B$74/10</f>
        <v/>
      </c>
      <c r="H87" s="57">
        <f>$B$74/10</f>
        <v/>
      </c>
      <c r="I87" s="57">
        <f>$B$74/10</f>
        <v/>
      </c>
      <c r="J87" s="57">
        <f>$B$74/10</f>
        <v/>
      </c>
      <c r="K87" s="57">
        <f>$B$74/10</f>
        <v/>
      </c>
      <c r="L87" s="73">
        <f>$B$74/10</f>
        <v/>
      </c>
      <c r="O87" s="74" t="n"/>
    </row>
    <row r="88" ht="15.75" customHeight="1" s="1">
      <c r="A88" s="40" t="inlineStr">
        <is>
          <t>Total Amortización</t>
        </is>
      </c>
      <c r="B88" s="75" t="n"/>
      <c r="C88" s="59">
        <f>SUM(C87)</f>
        <v/>
      </c>
      <c r="D88" s="59">
        <f>SUM(D87)</f>
        <v/>
      </c>
      <c r="E88" s="59">
        <f>SUM(E87)</f>
        <v/>
      </c>
      <c r="F88" s="59">
        <f>SUM(F87)</f>
        <v/>
      </c>
      <c r="G88" s="59">
        <f>SUM(G87)</f>
        <v/>
      </c>
      <c r="H88" s="59">
        <f>SUM(H87)</f>
        <v/>
      </c>
      <c r="I88" s="59">
        <f>SUM(I87)</f>
        <v/>
      </c>
      <c r="J88" s="59">
        <f>SUM(J87)</f>
        <v/>
      </c>
      <c r="K88" s="59">
        <f>SUM(K87)</f>
        <v/>
      </c>
      <c r="L88" s="60">
        <f>SUM(L87)</f>
        <v/>
      </c>
      <c r="O88" s="74" t="n"/>
    </row>
    <row r="89" ht="14.25" customHeight="1" s="1">
      <c r="B89" s="21" t="n"/>
    </row>
    <row r="90" ht="14.25" customHeight="1" s="1">
      <c r="A90" s="22" t="inlineStr">
        <is>
          <t>7. Valor de desecho del proyecto</t>
        </is>
      </c>
      <c r="B90" s="24" t="n"/>
    </row>
    <row r="91" ht="15.75" customHeight="1" s="1">
      <c r="A91" s="23" t="inlineStr">
        <is>
          <t>Clalculo del valor de desecho del proyecto (método contable)</t>
        </is>
      </c>
      <c r="B91" s="24" t="n"/>
    </row>
    <row r="92" ht="14.25" customHeight="1" s="1">
      <c r="A92" s="161" t="inlineStr">
        <is>
          <t>Concepto</t>
        </is>
      </c>
      <c r="B92" s="162" t="inlineStr">
        <is>
          <t>Valor del</t>
        </is>
      </c>
      <c r="C92" s="162" t="inlineStr">
        <is>
          <t>Depreciación por periodo</t>
        </is>
      </c>
      <c r="D92" s="170" t="n"/>
      <c r="E92" s="170" t="n"/>
      <c r="F92" s="170" t="n"/>
      <c r="G92" s="170" t="n"/>
      <c r="H92" s="170" t="n"/>
      <c r="I92" s="170" t="n"/>
      <c r="J92" s="170" t="n"/>
      <c r="K92" s="170" t="n"/>
      <c r="L92" s="171" t="n"/>
      <c r="M92" s="77" t="inlineStr">
        <is>
          <t>Valor de</t>
        </is>
      </c>
    </row>
    <row r="93" ht="14.25" customHeight="1" s="1">
      <c r="A93" s="172" t="n"/>
      <c r="B93" s="62" t="inlineStr">
        <is>
          <t>Activo</t>
        </is>
      </c>
      <c r="C93" s="78" t="inlineStr">
        <is>
          <t>Año 1</t>
        </is>
      </c>
      <c r="D93" s="78" t="inlineStr">
        <is>
          <t>Año 2</t>
        </is>
      </c>
      <c r="E93" s="78" t="inlineStr">
        <is>
          <t>Año 3</t>
        </is>
      </c>
      <c r="F93" s="78" t="inlineStr">
        <is>
          <t>Año 4</t>
        </is>
      </c>
      <c r="G93" s="78" t="inlineStr">
        <is>
          <t>Año 5</t>
        </is>
      </c>
      <c r="H93" s="78" t="inlineStr">
        <is>
          <t>Año 6</t>
        </is>
      </c>
      <c r="I93" s="78" t="inlineStr">
        <is>
          <t>Año 7</t>
        </is>
      </c>
      <c r="J93" s="78" t="inlineStr">
        <is>
          <t>Año 8</t>
        </is>
      </c>
      <c r="K93" s="78" t="inlineStr">
        <is>
          <t>Año 9</t>
        </is>
      </c>
      <c r="L93" s="78" t="inlineStr">
        <is>
          <t>Año 10</t>
        </is>
      </c>
      <c r="M93" s="79" t="inlineStr">
        <is>
          <t>Desecho</t>
        </is>
      </c>
    </row>
    <row r="94" ht="14.25" customHeight="1" s="1">
      <c r="A94" s="28" t="inlineStr">
        <is>
          <t>Inversiones a 20 años</t>
        </is>
      </c>
      <c r="B94" s="57">
        <f>B69</f>
        <v/>
      </c>
      <c r="C94" s="57">
        <f>C82</f>
        <v/>
      </c>
      <c r="D94" s="57">
        <f>D82</f>
        <v/>
      </c>
      <c r="E94" s="57">
        <f>E82</f>
        <v/>
      </c>
      <c r="F94" s="57">
        <f>F82</f>
        <v/>
      </c>
      <c r="G94" s="57">
        <f>G82</f>
        <v/>
      </c>
      <c r="H94" s="57">
        <f>H82</f>
        <v/>
      </c>
      <c r="I94" s="57">
        <f>I82</f>
        <v/>
      </c>
      <c r="J94" s="57">
        <f>J82</f>
        <v/>
      </c>
      <c r="K94" s="57">
        <f>K82</f>
        <v/>
      </c>
      <c r="L94" s="57">
        <f>L82</f>
        <v/>
      </c>
      <c r="M94" s="73">
        <f>B94-SUM(C94:L94)</f>
        <v/>
      </c>
    </row>
    <row r="95" ht="14.25" customHeight="1" s="1">
      <c r="A95" s="28" t="inlineStr">
        <is>
          <t>Inversiones a 10 años</t>
        </is>
      </c>
      <c r="B95" s="57">
        <f>B70</f>
        <v/>
      </c>
      <c r="C95" s="57">
        <f>C83</f>
        <v/>
      </c>
      <c r="D95" s="57">
        <f>D83</f>
        <v/>
      </c>
      <c r="E95" s="57">
        <f>E83</f>
        <v/>
      </c>
      <c r="F95" s="57">
        <f>F83</f>
        <v/>
      </c>
      <c r="G95" s="57">
        <f>G83</f>
        <v/>
      </c>
      <c r="H95" s="57">
        <f>H83</f>
        <v/>
      </c>
      <c r="I95" s="57">
        <f>I83</f>
        <v/>
      </c>
      <c r="J95" s="57">
        <f>J83</f>
        <v/>
      </c>
      <c r="K95" s="57">
        <f>K83</f>
        <v/>
      </c>
      <c r="L95" s="57">
        <f>L83</f>
        <v/>
      </c>
      <c r="M95" s="73">
        <f>B95-SUM(C95:L95)</f>
        <v/>
      </c>
    </row>
    <row r="96" ht="14.25" customHeight="1" s="1">
      <c r="A96" s="28" t="inlineStr">
        <is>
          <t>Inversiones a 5 años</t>
        </is>
      </c>
      <c r="B96" s="57">
        <f>B71</f>
        <v/>
      </c>
      <c r="C96" s="57">
        <f>C84</f>
        <v/>
      </c>
      <c r="D96" s="57">
        <f>D84</f>
        <v/>
      </c>
      <c r="E96" s="57">
        <f>E84</f>
        <v/>
      </c>
      <c r="F96" s="57">
        <f>F84</f>
        <v/>
      </c>
      <c r="G96" s="57">
        <f>G84</f>
        <v/>
      </c>
      <c r="H96" s="57">
        <f>H84</f>
        <v/>
      </c>
      <c r="I96" s="57">
        <f>I84</f>
        <v/>
      </c>
      <c r="J96" s="57">
        <f>J84</f>
        <v/>
      </c>
      <c r="K96" s="57">
        <f>K84</f>
        <v/>
      </c>
      <c r="L96" s="57">
        <f>L84</f>
        <v/>
      </c>
      <c r="M96" s="73">
        <f>B96-SUM(C96:L96)</f>
        <v/>
      </c>
    </row>
    <row r="97" ht="15.75" customHeight="1" s="1">
      <c r="A97" s="80" t="inlineStr">
        <is>
          <t>Amortización pre-operativos</t>
        </is>
      </c>
      <c r="B97" s="81">
        <f>B74</f>
        <v/>
      </c>
      <c r="C97" s="81">
        <f>C87</f>
        <v/>
      </c>
      <c r="D97" s="81">
        <f>D87</f>
        <v/>
      </c>
      <c r="E97" s="81">
        <f>E87</f>
        <v/>
      </c>
      <c r="F97" s="81">
        <f>F87</f>
        <v/>
      </c>
      <c r="G97" s="81">
        <f>G87</f>
        <v/>
      </c>
      <c r="H97" s="81">
        <f>H87</f>
        <v/>
      </c>
      <c r="I97" s="81">
        <f>I87</f>
        <v/>
      </c>
      <c r="J97" s="81">
        <f>J87</f>
        <v/>
      </c>
      <c r="K97" s="81">
        <f>K87</f>
        <v/>
      </c>
      <c r="L97" s="81">
        <f>L87</f>
        <v/>
      </c>
      <c r="M97" s="82">
        <f>B97-SUM(C97:L97)</f>
        <v/>
      </c>
    </row>
    <row r="98" ht="15.75" customHeight="1" s="1">
      <c r="A98" s="163" t="inlineStr">
        <is>
          <t>Valor de desecho total</t>
        </is>
      </c>
      <c r="B98" s="173" t="n"/>
      <c r="C98" s="173" t="n"/>
      <c r="D98" s="173" t="n"/>
      <c r="E98" s="173" t="n"/>
      <c r="F98" s="173" t="n"/>
      <c r="G98" s="173" t="n"/>
      <c r="H98" s="173" t="n"/>
      <c r="I98" s="173" t="n"/>
      <c r="J98" s="173" t="n"/>
      <c r="K98" s="173" t="n"/>
      <c r="L98" s="174" t="n"/>
      <c r="M98" s="83">
        <f>SUM(M94:M97)</f>
        <v/>
      </c>
    </row>
    <row r="99" ht="14.25" customHeight="1" s="1">
      <c r="B99" s="21" t="n"/>
    </row>
    <row r="100" ht="14.25" customHeight="1" s="1">
      <c r="A100" s="22" t="inlineStr">
        <is>
          <t>8. Financiamiento</t>
        </is>
      </c>
      <c r="B100" s="24" t="n"/>
    </row>
    <row r="101" ht="15.75" customHeight="1" s="1">
      <c r="A101" s="44" t="inlineStr">
        <is>
          <t>Cálculo del Financiamiento</t>
        </is>
      </c>
      <c r="B101" s="42" t="n"/>
      <c r="C101" s="43" t="n"/>
      <c r="D101" s="43" t="n"/>
      <c r="E101" s="43" t="n"/>
    </row>
    <row r="102" ht="14.25" customHeight="1" s="1">
      <c r="A102" s="84" t="inlineStr">
        <is>
          <t>Financiamiento bancario (valor)</t>
        </is>
      </c>
      <c r="B102" s="85">
        <f>B77*E102</f>
        <v/>
      </c>
      <c r="C102" s="86" t="n"/>
      <c r="D102" s="43" t="n"/>
      <c r="E102" s="87" t="n">
        <v>0.5</v>
      </c>
    </row>
    <row r="103" ht="14.25" customHeight="1" s="1">
      <c r="A103" s="28" t="inlineStr">
        <is>
          <t>Financiamiento bancario (tasa)</t>
        </is>
      </c>
      <c r="B103" s="88">
        <f>B22</f>
        <v/>
      </c>
      <c r="C103" s="89" t="n"/>
      <c r="D103" s="43" t="n"/>
      <c r="E103" s="43" t="n"/>
    </row>
    <row r="104" ht="14.25" customHeight="1" s="1">
      <c r="A104" s="28" t="inlineStr">
        <is>
          <t>Financiamiento bancario (periodos)</t>
        </is>
      </c>
      <c r="B104" s="90" t="n">
        <v>7</v>
      </c>
      <c r="C104" s="91" t="inlineStr">
        <is>
          <t>años</t>
        </is>
      </c>
      <c r="D104" s="43" t="n"/>
      <c r="E104" s="43" t="n"/>
    </row>
    <row r="105" ht="15.75" customHeight="1" s="1">
      <c r="A105" s="92" t="inlineStr">
        <is>
          <t>Modalidad</t>
        </is>
      </c>
      <c r="B105" s="159" t="inlineStr">
        <is>
          <t>Pagos exactos</t>
        </is>
      </c>
      <c r="C105" s="175" t="n"/>
      <c r="D105" s="43" t="n"/>
      <c r="E105" s="43" t="n"/>
    </row>
    <row r="106" ht="15.75" customHeight="1" s="1">
      <c r="A106" s="43" t="n"/>
      <c r="B106" s="42" t="n"/>
      <c r="C106" s="43" t="n"/>
      <c r="D106" s="43" t="n"/>
      <c r="E106" s="43" t="n"/>
    </row>
    <row r="107" ht="14.25" customHeight="1" s="1">
      <c r="A107" s="161" t="inlineStr">
        <is>
          <t>Concepto</t>
        </is>
      </c>
      <c r="B107" s="26" t="inlineStr">
        <is>
          <t>Año 0</t>
        </is>
      </c>
      <c r="C107" s="26" t="inlineStr">
        <is>
          <t>Año 1</t>
        </is>
      </c>
      <c r="D107" s="26" t="inlineStr">
        <is>
          <t>Año 2</t>
        </is>
      </c>
      <c r="E107" s="26" t="inlineStr">
        <is>
          <t>Año 3</t>
        </is>
      </c>
      <c r="F107" s="26" t="inlineStr">
        <is>
          <t>Año 4</t>
        </is>
      </c>
      <c r="G107" s="26" t="inlineStr">
        <is>
          <t>Año 5</t>
        </is>
      </c>
      <c r="H107" s="26" t="inlineStr">
        <is>
          <t>Año 6</t>
        </is>
      </c>
      <c r="I107" s="26" t="inlineStr">
        <is>
          <t>Año 7</t>
        </is>
      </c>
    </row>
    <row r="108" ht="14.25" customHeight="1" s="1">
      <c r="A108" s="28" t="inlineStr">
        <is>
          <t xml:space="preserve">Saldo crédito </t>
        </is>
      </c>
      <c r="B108" s="57">
        <f>B102</f>
        <v/>
      </c>
      <c r="C108" s="57">
        <f>B108-C111</f>
        <v/>
      </c>
      <c r="D108" s="57">
        <f>C108-D111</f>
        <v/>
      </c>
      <c r="E108" s="57">
        <f>D108-E111</f>
        <v/>
      </c>
      <c r="F108" s="57">
        <f>E108-F111</f>
        <v/>
      </c>
      <c r="G108" s="57">
        <f>F108-G111</f>
        <v/>
      </c>
      <c r="H108" s="57">
        <f>G108-H111</f>
        <v/>
      </c>
      <c r="I108" s="57">
        <f>H108-I111</f>
        <v/>
      </c>
    </row>
    <row r="109" ht="14.25" customHeight="1" s="1">
      <c r="A109" s="28" t="inlineStr">
        <is>
          <t>Cuota mensual (anualidad)</t>
        </is>
      </c>
      <c r="B109" s="55" t="n"/>
      <c r="C109" s="57">
        <f>C110+C111</f>
        <v/>
      </c>
      <c r="D109" s="57">
        <f>D110+D111</f>
        <v/>
      </c>
      <c r="E109" s="57">
        <f>E110+E111</f>
        <v/>
      </c>
      <c r="F109" s="57">
        <f>F110+F111</f>
        <v/>
      </c>
      <c r="G109" s="57">
        <f>G110+G111</f>
        <v/>
      </c>
      <c r="H109" s="57">
        <f>H110+H111</f>
        <v/>
      </c>
      <c r="I109" s="57">
        <f>I110+I111</f>
        <v/>
      </c>
    </row>
    <row r="110" ht="14.25" customHeight="1" s="1">
      <c r="A110" s="28" t="inlineStr">
        <is>
          <t>Intereses</t>
        </is>
      </c>
      <c r="B110" s="55" t="n"/>
      <c r="C110" s="57">
        <f>B108*$B$103</f>
        <v/>
      </c>
      <c r="D110" s="57">
        <f>C108*$B$103</f>
        <v/>
      </c>
      <c r="E110" s="57">
        <f>D108*$B$103</f>
        <v/>
      </c>
      <c r="F110" s="57">
        <f>E108*$B$103</f>
        <v/>
      </c>
      <c r="G110" s="57">
        <f>F108*$B$103</f>
        <v/>
      </c>
      <c r="H110" s="57">
        <f>G108*$B$103</f>
        <v/>
      </c>
      <c r="I110" s="57">
        <f>H108*$B$103</f>
        <v/>
      </c>
    </row>
    <row r="111" ht="15.75" customHeight="1" s="1">
      <c r="A111" s="92" t="inlineStr">
        <is>
          <t>Abono a capital (amortización)</t>
        </is>
      </c>
      <c r="B111" s="93" t="n"/>
      <c r="C111" s="81">
        <f>$B$102/$B$104</f>
        <v/>
      </c>
      <c r="D111" s="81">
        <f>$B$102/$B$104</f>
        <v/>
      </c>
      <c r="E111" s="81">
        <f>$B$102/$B$104</f>
        <v/>
      </c>
      <c r="F111" s="81">
        <f>$B$102/$B$104</f>
        <v/>
      </c>
      <c r="G111" s="81">
        <f>$B$102/$B$104</f>
        <v/>
      </c>
      <c r="H111" s="81">
        <f>$B$102/$B$104</f>
        <v/>
      </c>
      <c r="I111" s="81">
        <f>$B$102/$B$104</f>
        <v/>
      </c>
    </row>
    <row r="112" ht="14.25" customHeight="1" s="1">
      <c r="B112" s="21" t="n"/>
    </row>
    <row r="113" ht="14.25" customHeight="1" s="1">
      <c r="A113" s="22" t="inlineStr">
        <is>
          <t>9.Flujo de caja del proyecto</t>
        </is>
      </c>
      <c r="B113" s="24" t="n"/>
    </row>
    <row r="114" ht="15.75" customHeight="1" s="1">
      <c r="A114" s="4" t="inlineStr">
        <is>
          <t>Flujo de caja del proyecto (con) Financiamiento)</t>
        </is>
      </c>
      <c r="B114" s="24" t="n"/>
    </row>
    <row r="115" ht="14.25" customHeight="1" s="1">
      <c r="A115" s="161" t="inlineStr">
        <is>
          <t>Concepto</t>
        </is>
      </c>
      <c r="B115" s="26" t="inlineStr">
        <is>
          <t>Año 0</t>
        </is>
      </c>
      <c r="C115" s="26" t="inlineStr">
        <is>
          <t>Año 1</t>
        </is>
      </c>
      <c r="D115" s="26" t="inlineStr">
        <is>
          <t>Año 2</t>
        </is>
      </c>
      <c r="E115" s="26" t="inlineStr">
        <is>
          <t>Año 3</t>
        </is>
      </c>
      <c r="F115" s="26" t="inlineStr">
        <is>
          <t>Año 4</t>
        </is>
      </c>
      <c r="G115" s="26" t="inlineStr">
        <is>
          <t>Año 5</t>
        </is>
      </c>
      <c r="H115" s="26" t="inlineStr">
        <is>
          <t>Año 6</t>
        </is>
      </c>
      <c r="I115" s="26" t="inlineStr">
        <is>
          <t>Año 7</t>
        </is>
      </c>
      <c r="J115" s="26" t="inlineStr">
        <is>
          <t>Año 8</t>
        </is>
      </c>
      <c r="K115" s="26" t="inlineStr">
        <is>
          <t>Año 9</t>
        </is>
      </c>
      <c r="L115" s="27" t="inlineStr">
        <is>
          <t>Año 10</t>
        </is>
      </c>
    </row>
    <row r="116" ht="14.25" customHeight="1" s="1">
      <c r="A116" s="94" t="inlineStr">
        <is>
          <t>+ Ingreso por ventas</t>
        </is>
      </c>
      <c r="B116" s="95" t="n"/>
      <c r="C116" s="96">
        <f>C33</f>
        <v/>
      </c>
      <c r="D116" s="96">
        <f>D33</f>
        <v/>
      </c>
      <c r="E116" s="96">
        <f>E33</f>
        <v/>
      </c>
      <c r="F116" s="96">
        <f>F33</f>
        <v/>
      </c>
      <c r="G116" s="96">
        <f>G33</f>
        <v/>
      </c>
      <c r="H116" s="96">
        <f>H33</f>
        <v/>
      </c>
      <c r="I116" s="96">
        <f>I33</f>
        <v/>
      </c>
      <c r="J116" s="96">
        <f>J33</f>
        <v/>
      </c>
      <c r="K116" s="96">
        <f>K33</f>
        <v/>
      </c>
      <c r="L116" s="97">
        <f>L33</f>
        <v/>
      </c>
    </row>
    <row r="117" ht="14.25" customHeight="1" s="1">
      <c r="A117" s="98" t="inlineStr">
        <is>
          <t>Ingreso por venta del terreno</t>
        </is>
      </c>
      <c r="B117" s="95" t="n"/>
      <c r="C117" s="95" t="n"/>
      <c r="D117" s="95" t="n"/>
      <c r="E117" s="95" t="n"/>
      <c r="F117" s="95" t="n"/>
      <c r="G117" s="95" t="n"/>
      <c r="H117" s="95" t="n"/>
      <c r="I117" s="95" t="n"/>
      <c r="J117" s="95" t="n"/>
      <c r="K117" s="95" t="n"/>
      <c r="L117" s="97">
        <f>B19</f>
        <v/>
      </c>
    </row>
    <row r="118" ht="14.25" customHeight="1" s="1">
      <c r="A118" s="94" t="inlineStr">
        <is>
          <t>- Egresos deducibles de impuestos</t>
        </is>
      </c>
      <c r="B118" s="95" t="n"/>
      <c r="C118" s="96">
        <f>SUM(C119:C121)</f>
        <v/>
      </c>
      <c r="D118" s="96">
        <f>SUM(D119:D121)</f>
        <v/>
      </c>
      <c r="E118" s="96">
        <f>SUM(E119:E121)</f>
        <v/>
      </c>
      <c r="F118" s="96">
        <f>SUM(F119:F121)</f>
        <v/>
      </c>
      <c r="G118" s="96">
        <f>SUM(G119:G121)</f>
        <v/>
      </c>
      <c r="H118" s="96">
        <f>SUM(H119:H121)</f>
        <v/>
      </c>
      <c r="I118" s="96">
        <f>SUM(I119:I121)</f>
        <v/>
      </c>
      <c r="J118" s="96">
        <f>SUM(J119:J121)</f>
        <v/>
      </c>
      <c r="K118" s="96">
        <f>SUM(K119:K121)</f>
        <v/>
      </c>
      <c r="L118" s="97">
        <f>SUM(L119:L121)</f>
        <v/>
      </c>
    </row>
    <row r="119" ht="14.25" customHeight="1" s="1">
      <c r="A119" s="99" t="inlineStr">
        <is>
          <t xml:space="preserve">     Costos variables</t>
        </is>
      </c>
      <c r="B119" s="100" t="n"/>
      <c r="C119" s="15">
        <f>C39</f>
        <v/>
      </c>
      <c r="D119" s="15">
        <f>D39</f>
        <v/>
      </c>
      <c r="E119" s="15">
        <f>E39</f>
        <v/>
      </c>
      <c r="F119" s="15">
        <f>F39</f>
        <v/>
      </c>
      <c r="G119" s="15">
        <f>G39</f>
        <v/>
      </c>
      <c r="H119" s="15">
        <f>H39</f>
        <v/>
      </c>
      <c r="I119" s="15">
        <f>I39</f>
        <v/>
      </c>
      <c r="J119" s="15">
        <f>J39</f>
        <v/>
      </c>
      <c r="K119" s="15">
        <f>K39</f>
        <v/>
      </c>
      <c r="L119" s="101">
        <f>L39</f>
        <v/>
      </c>
    </row>
    <row r="120" ht="14.25" customHeight="1" s="1">
      <c r="A120" s="99" t="inlineStr">
        <is>
          <t xml:space="preserve">     Costos Fijos</t>
        </is>
      </c>
      <c r="B120" s="100" t="n"/>
      <c r="C120" s="15">
        <f>C46</f>
        <v/>
      </c>
      <c r="D120" s="15">
        <f>D46</f>
        <v/>
      </c>
      <c r="E120" s="15">
        <f>E46</f>
        <v/>
      </c>
      <c r="F120" s="15">
        <f>F46</f>
        <v/>
      </c>
      <c r="G120" s="15">
        <f>G46</f>
        <v/>
      </c>
      <c r="H120" s="15">
        <f>H46</f>
        <v/>
      </c>
      <c r="I120" s="15">
        <f>I46</f>
        <v/>
      </c>
      <c r="J120" s="15">
        <f>J46</f>
        <v/>
      </c>
      <c r="K120" s="15">
        <f>K46</f>
        <v/>
      </c>
      <c r="L120" s="101">
        <f>L46</f>
        <v/>
      </c>
    </row>
    <row r="121" ht="14.25" customHeight="1" s="1">
      <c r="A121" s="99" t="inlineStr">
        <is>
          <t xml:space="preserve">     Gastos financieros</t>
        </is>
      </c>
      <c r="B121" s="100" t="n"/>
      <c r="C121" s="15">
        <f>C110</f>
        <v/>
      </c>
      <c r="D121" s="15">
        <f>D110</f>
        <v/>
      </c>
      <c r="E121" s="15">
        <f>E110</f>
        <v/>
      </c>
      <c r="F121" s="15">
        <f>F110</f>
        <v/>
      </c>
      <c r="G121" s="15">
        <f>G110</f>
        <v/>
      </c>
      <c r="H121" s="15">
        <f>H110</f>
        <v/>
      </c>
      <c r="I121" s="15">
        <f>I110</f>
        <v/>
      </c>
      <c r="J121" s="15">
        <f>J110</f>
        <v/>
      </c>
      <c r="K121" s="15">
        <f>K110</f>
        <v/>
      </c>
      <c r="L121" s="101">
        <f>L110</f>
        <v/>
      </c>
    </row>
    <row r="122" ht="14.25" customHeight="1" s="1">
      <c r="A122" s="94" t="inlineStr">
        <is>
          <t>- Gastos no desembolsables</t>
        </is>
      </c>
      <c r="B122" s="95" t="n"/>
      <c r="C122" s="96">
        <f>SUM(C123:C124)</f>
        <v/>
      </c>
      <c r="D122" s="96">
        <f>SUM(D123:D124)</f>
        <v/>
      </c>
      <c r="E122" s="96">
        <f>SUM(E123:E124)</f>
        <v/>
      </c>
      <c r="F122" s="96">
        <f>SUM(F123:F124)</f>
        <v/>
      </c>
      <c r="G122" s="96">
        <f>SUM(G123:G124)</f>
        <v/>
      </c>
      <c r="H122" s="96">
        <f>SUM(H123:H124)</f>
        <v/>
      </c>
      <c r="I122" s="96">
        <f>SUM(I123:I124)</f>
        <v/>
      </c>
      <c r="J122" s="96">
        <f>SUM(J123:J124)</f>
        <v/>
      </c>
      <c r="K122" s="96">
        <f>SUM(K123:K124)</f>
        <v/>
      </c>
      <c r="L122" s="97">
        <f>SUM(L123:L124)</f>
        <v/>
      </c>
    </row>
    <row r="123" ht="14.25" customHeight="1" s="1">
      <c r="A123" s="99" t="inlineStr">
        <is>
          <t xml:space="preserve">     Depreciación de activos</t>
        </is>
      </c>
      <c r="B123" s="100" t="n"/>
      <c r="C123" s="15">
        <f>C85</f>
        <v/>
      </c>
      <c r="D123" s="15">
        <f>D85</f>
        <v/>
      </c>
      <c r="E123" s="15">
        <f>E85</f>
        <v/>
      </c>
      <c r="F123" s="15">
        <f>F85</f>
        <v/>
      </c>
      <c r="G123" s="15">
        <f>G85</f>
        <v/>
      </c>
      <c r="H123" s="15">
        <f>H85</f>
        <v/>
      </c>
      <c r="I123" s="15">
        <f>I85</f>
        <v/>
      </c>
      <c r="J123" s="15">
        <f>J85</f>
        <v/>
      </c>
      <c r="K123" s="15">
        <f>K85</f>
        <v/>
      </c>
      <c r="L123" s="101">
        <f>L85</f>
        <v/>
      </c>
    </row>
    <row r="124" ht="14.25" customHeight="1" s="1">
      <c r="A124" s="99" t="inlineStr">
        <is>
          <t xml:space="preserve">     Amortización de pre-operativos</t>
        </is>
      </c>
      <c r="B124" s="100" t="n"/>
      <c r="C124" s="15">
        <f>C87</f>
        <v/>
      </c>
      <c r="D124" s="15">
        <f>D87</f>
        <v/>
      </c>
      <c r="E124" s="15">
        <f>E87</f>
        <v/>
      </c>
      <c r="F124" s="15">
        <f>F87</f>
        <v/>
      </c>
      <c r="G124" s="15">
        <f>G87</f>
        <v/>
      </c>
      <c r="H124" s="15">
        <f>H87</f>
        <v/>
      </c>
      <c r="I124" s="15">
        <f>I87</f>
        <v/>
      </c>
      <c r="J124" s="15">
        <f>J87</f>
        <v/>
      </c>
      <c r="K124" s="15">
        <f>K87</f>
        <v/>
      </c>
      <c r="L124" s="101">
        <f>L87</f>
        <v/>
      </c>
    </row>
    <row r="125" ht="14.25" customHeight="1" s="1">
      <c r="A125" s="94" t="inlineStr">
        <is>
          <t>= Utilidad antes de impuestos</t>
        </is>
      </c>
      <c r="B125" s="95" t="n"/>
      <c r="C125" s="96">
        <f>C116+C117-C118-C122</f>
        <v/>
      </c>
      <c r="D125" s="96">
        <f>D116+D117-D118-D122</f>
        <v/>
      </c>
      <c r="E125" s="96">
        <f>E116+E117-E118-E122</f>
        <v/>
      </c>
      <c r="F125" s="96">
        <f>F116+F117-F118-F122</f>
        <v/>
      </c>
      <c r="G125" s="96">
        <f>G116+G117-G118-G122</f>
        <v/>
      </c>
      <c r="H125" s="96">
        <f>H116+H117-H118-H122</f>
        <v/>
      </c>
      <c r="I125" s="96">
        <f>I116+I117-I118-I122</f>
        <v/>
      </c>
      <c r="J125" s="96">
        <f>J116+J117-J118-J122</f>
        <v/>
      </c>
      <c r="K125" s="96">
        <f>K116+K117-K118-K122</f>
        <v/>
      </c>
      <c r="L125" s="96">
        <f>L116+L117-L118-L122</f>
        <v/>
      </c>
    </row>
    <row r="126" ht="14.25" customHeight="1" s="1">
      <c r="A126" s="99" t="inlineStr">
        <is>
          <t>- Impuestos (30%)</t>
        </is>
      </c>
      <c r="B126" s="100" t="n"/>
      <c r="C126" s="10">
        <f>C125*$B$26</f>
        <v/>
      </c>
      <c r="D126" s="15">
        <f>D125*$B$26</f>
        <v/>
      </c>
      <c r="E126" s="15">
        <f>E125*$B$26</f>
        <v/>
      </c>
      <c r="F126" s="15">
        <f>F125*$B$26</f>
        <v/>
      </c>
      <c r="G126" s="15">
        <f>G125*$B$26</f>
        <v/>
      </c>
      <c r="H126" s="15">
        <f>H125*$B$26</f>
        <v/>
      </c>
      <c r="I126" s="15">
        <f>I125*$B$26</f>
        <v/>
      </c>
      <c r="J126" s="15">
        <f>J125*$B$26</f>
        <v/>
      </c>
      <c r="K126" s="15">
        <f>K125*$B$26</f>
        <v/>
      </c>
      <c r="L126" s="101">
        <f>L125*$B$26</f>
        <v/>
      </c>
    </row>
    <row r="127" ht="14.25" customHeight="1" s="1">
      <c r="A127" s="94" t="inlineStr">
        <is>
          <t>= Utilidad después de impuestos</t>
        </is>
      </c>
      <c r="B127" s="95" t="n"/>
      <c r="C127" s="96">
        <f>C125-C126</f>
        <v/>
      </c>
      <c r="D127" s="96">
        <f>D125-D126</f>
        <v/>
      </c>
      <c r="E127" s="96">
        <f>E125-E126</f>
        <v/>
      </c>
      <c r="F127" s="96">
        <f>F125-F126</f>
        <v/>
      </c>
      <c r="G127" s="96">
        <f>G125-G126</f>
        <v/>
      </c>
      <c r="H127" s="96">
        <f>H125-H126</f>
        <v/>
      </c>
      <c r="I127" s="96">
        <f>I125-I126</f>
        <v/>
      </c>
      <c r="J127" s="96">
        <f>J125-J126</f>
        <v/>
      </c>
      <c r="K127" s="96">
        <f>K125-K126</f>
        <v/>
      </c>
      <c r="L127" s="97">
        <f>L125-L126</f>
        <v/>
      </c>
    </row>
    <row r="128" ht="14.25" customHeight="1" s="1">
      <c r="A128" s="98" t="inlineStr">
        <is>
          <t>+ Gastos no desembolsables</t>
        </is>
      </c>
      <c r="B128" s="95" t="n"/>
      <c r="C128" s="96">
        <f>SUM(C129:C130)</f>
        <v/>
      </c>
      <c r="D128" s="96">
        <f>SUM(D129:D130)</f>
        <v/>
      </c>
      <c r="E128" s="96">
        <f>SUM(E129:E130)</f>
        <v/>
      </c>
      <c r="F128" s="96">
        <f>SUM(F129:F130)</f>
        <v/>
      </c>
      <c r="G128" s="96">
        <f>SUM(G129:G130)</f>
        <v/>
      </c>
      <c r="H128" s="96">
        <f>SUM(H129:H130)</f>
        <v/>
      </c>
      <c r="I128" s="96">
        <f>SUM(I129:I130)</f>
        <v/>
      </c>
      <c r="J128" s="96">
        <f>SUM(J129:J130)</f>
        <v/>
      </c>
      <c r="K128" s="96">
        <f>SUM(K129:K130)</f>
        <v/>
      </c>
      <c r="L128" s="97">
        <f>SUM(L129:L130)</f>
        <v/>
      </c>
    </row>
    <row r="129" ht="14.25" customHeight="1" s="1">
      <c r="A129" s="99" t="inlineStr">
        <is>
          <t xml:space="preserve">     Depreciación de activos</t>
        </is>
      </c>
      <c r="B129" s="100" t="n"/>
      <c r="C129" s="15">
        <f>C123</f>
        <v/>
      </c>
      <c r="D129" s="15">
        <f>D123</f>
        <v/>
      </c>
      <c r="E129" s="15">
        <f>E123</f>
        <v/>
      </c>
      <c r="F129" s="15">
        <f>F123</f>
        <v/>
      </c>
      <c r="G129" s="15">
        <f>G123</f>
        <v/>
      </c>
      <c r="H129" s="15">
        <f>H123</f>
        <v/>
      </c>
      <c r="I129" s="15">
        <f>I123</f>
        <v/>
      </c>
      <c r="J129" s="15">
        <f>J123</f>
        <v/>
      </c>
      <c r="K129" s="15">
        <f>K123</f>
        <v/>
      </c>
      <c r="L129" s="101">
        <f>L123</f>
        <v/>
      </c>
    </row>
    <row r="130" ht="14.25" customHeight="1" s="1">
      <c r="A130" s="99" t="inlineStr">
        <is>
          <t xml:space="preserve">     Amortización de pre-operativos</t>
        </is>
      </c>
      <c r="B130" s="100" t="n"/>
      <c r="C130" s="15">
        <f>C124</f>
        <v/>
      </c>
      <c r="D130" s="15">
        <f>D124</f>
        <v/>
      </c>
      <c r="E130" s="15">
        <f>E124</f>
        <v/>
      </c>
      <c r="F130" s="15">
        <f>F124</f>
        <v/>
      </c>
      <c r="G130" s="15">
        <f>G124</f>
        <v/>
      </c>
      <c r="H130" s="15">
        <f>H124</f>
        <v/>
      </c>
      <c r="I130" s="15">
        <f>I124</f>
        <v/>
      </c>
      <c r="J130" s="15">
        <f>J124</f>
        <v/>
      </c>
      <c r="K130" s="15">
        <f>K124</f>
        <v/>
      </c>
      <c r="L130" s="101">
        <f>L124</f>
        <v/>
      </c>
    </row>
    <row r="131" ht="14.25" customHeight="1" s="1">
      <c r="A131" s="94" t="inlineStr">
        <is>
          <t>+ Ingresos no sujetos a impuestos</t>
        </is>
      </c>
      <c r="B131" s="96">
        <f>SUM(B132:B134)</f>
        <v/>
      </c>
      <c r="C131" s="96">
        <f>SUM(C132:C134)</f>
        <v/>
      </c>
      <c r="D131" s="96">
        <f>SUM(D132:D134)</f>
        <v/>
      </c>
      <c r="E131" s="96">
        <f>SUM(E132:E134)</f>
        <v/>
      </c>
      <c r="F131" s="96">
        <f>SUM(F132:F134)</f>
        <v/>
      </c>
      <c r="G131" s="96">
        <f>SUM(G132:G134)</f>
        <v/>
      </c>
      <c r="H131" s="96">
        <f>SUM(H132:H134)</f>
        <v/>
      </c>
      <c r="I131" s="96">
        <f>SUM(I132:I134)</f>
        <v/>
      </c>
      <c r="J131" s="96">
        <f>SUM(J132:J134)</f>
        <v/>
      </c>
      <c r="K131" s="96">
        <f>SUM(K132:K134)</f>
        <v/>
      </c>
      <c r="L131" s="97">
        <f>SUM(L132:L134)</f>
        <v/>
      </c>
    </row>
    <row r="132" ht="14.25" customHeight="1" s="1">
      <c r="A132" s="99" t="inlineStr">
        <is>
          <t xml:space="preserve">     Valor de desecho</t>
        </is>
      </c>
      <c r="B132" s="100" t="n"/>
      <c r="C132" s="100" t="n"/>
      <c r="D132" s="100" t="n"/>
      <c r="E132" s="100" t="n"/>
      <c r="F132" s="100" t="n"/>
      <c r="G132" s="100" t="n"/>
      <c r="H132" s="100" t="n"/>
      <c r="I132" s="100" t="n"/>
      <c r="J132" s="100" t="n"/>
      <c r="K132" s="100" t="n"/>
      <c r="L132" s="101">
        <f>M98</f>
        <v/>
      </c>
    </row>
    <row r="133" ht="14.25" customHeight="1" s="1">
      <c r="A133" s="99" t="inlineStr">
        <is>
          <t xml:space="preserve">     Recuperación del capital de trabajo</t>
        </is>
      </c>
      <c r="B133" s="100" t="n"/>
      <c r="C133" s="100" t="n"/>
      <c r="D133" s="100" t="n"/>
      <c r="E133" s="100" t="n"/>
      <c r="F133" s="100" t="n"/>
      <c r="G133" s="100" t="n"/>
      <c r="H133" s="100" t="n"/>
      <c r="I133" s="100" t="n"/>
      <c r="J133" s="100" t="n"/>
      <c r="K133" s="100" t="n"/>
      <c r="L133" s="101">
        <f>-L77</f>
        <v/>
      </c>
    </row>
    <row r="134" ht="14.25" customHeight="1" s="1">
      <c r="A134" s="99" t="inlineStr">
        <is>
          <t xml:space="preserve">     Préstamo bancario</t>
        </is>
      </c>
      <c r="B134" s="15">
        <f>B102</f>
        <v/>
      </c>
      <c r="C134" s="100" t="n"/>
      <c r="D134" s="100" t="n"/>
      <c r="E134" s="100" t="n"/>
      <c r="F134" s="100" t="n"/>
      <c r="G134" s="100" t="n"/>
      <c r="H134" s="100" t="n"/>
      <c r="I134" s="100" t="n"/>
      <c r="J134" s="100" t="n"/>
      <c r="K134" s="100" t="n"/>
      <c r="L134" s="102" t="n"/>
    </row>
    <row r="135" ht="14.25" customHeight="1" s="1">
      <c r="A135" s="94" t="inlineStr">
        <is>
          <t>- Egresos no deducibles de impuestos</t>
        </is>
      </c>
      <c r="B135" s="96">
        <f>SUM(B136:B139)</f>
        <v/>
      </c>
      <c r="C135" s="96">
        <f>SUM(C136:C139)</f>
        <v/>
      </c>
      <c r="D135" s="96">
        <f>SUM(D136:D139)</f>
        <v/>
      </c>
      <c r="E135" s="96">
        <f>SUM(E136:E139)</f>
        <v/>
      </c>
      <c r="F135" s="96">
        <f>SUM(F136:F139)</f>
        <v/>
      </c>
      <c r="G135" s="96">
        <f>SUM(G136:G139)</f>
        <v/>
      </c>
      <c r="H135" s="96">
        <f>SUM(H136:H139)</f>
        <v/>
      </c>
      <c r="I135" s="96">
        <f>SUM(I136:I139)</f>
        <v/>
      </c>
      <c r="J135" s="96">
        <f>SUM(J136:J139)</f>
        <v/>
      </c>
      <c r="K135" s="96">
        <f>SUM(K136:K139)</f>
        <v/>
      </c>
      <c r="L135" s="97">
        <f>SUM(L136:L139)</f>
        <v/>
      </c>
    </row>
    <row r="136" ht="14.25" customHeight="1" s="1">
      <c r="A136" s="99" t="inlineStr">
        <is>
          <t xml:space="preserve">     Activos (inv. 20 años, 10 años, 5 años, terreno)</t>
        </is>
      </c>
      <c r="B136" s="96">
        <f>SUM(B69:B72)</f>
        <v/>
      </c>
      <c r="C136" s="95" t="n"/>
      <c r="D136" s="95" t="n"/>
      <c r="E136" s="95" t="n"/>
      <c r="F136" s="95" t="n"/>
      <c r="G136" s="96">
        <f>G69</f>
        <v/>
      </c>
      <c r="H136" s="95" t="n"/>
      <c r="I136" s="95" t="n"/>
      <c r="J136" s="95" t="n"/>
      <c r="K136" s="95" t="n"/>
      <c r="L136" s="103" t="n"/>
    </row>
    <row r="137" ht="14.25" customHeight="1" s="1">
      <c r="A137" s="99" t="inlineStr">
        <is>
          <t xml:space="preserve">     Gastos de puesta en marcha (pre-operativos)</t>
        </is>
      </c>
      <c r="B137" s="15">
        <f>B74</f>
        <v/>
      </c>
      <c r="C137" s="100" t="n"/>
      <c r="D137" s="100" t="n"/>
      <c r="E137" s="100" t="n"/>
      <c r="F137" s="100" t="n"/>
      <c r="G137" s="100" t="n"/>
      <c r="H137" s="100" t="n"/>
      <c r="I137" s="100" t="n"/>
      <c r="J137" s="100" t="n"/>
      <c r="K137" s="100" t="n"/>
      <c r="L137" s="102" t="n"/>
    </row>
    <row r="138" ht="14.25" customHeight="1" s="1">
      <c r="A138" s="99" t="inlineStr">
        <is>
          <t xml:space="preserve">     Inversión en capital de trabajo</t>
        </is>
      </c>
      <c r="B138" s="15">
        <f>B76</f>
        <v/>
      </c>
      <c r="C138" s="15">
        <f>C76</f>
        <v/>
      </c>
      <c r="D138" s="15">
        <f>D76</f>
        <v/>
      </c>
      <c r="E138" s="15">
        <f>E76</f>
        <v/>
      </c>
      <c r="F138" s="15">
        <f>F76</f>
        <v/>
      </c>
      <c r="G138" s="15">
        <f>G76</f>
        <v/>
      </c>
      <c r="H138" s="15">
        <f>H76</f>
        <v/>
      </c>
      <c r="I138" s="15">
        <f>I76</f>
        <v/>
      </c>
      <c r="J138" s="15">
        <f>J76</f>
        <v/>
      </c>
      <c r="K138" s="15">
        <f>K76</f>
        <v/>
      </c>
      <c r="L138" s="102" t="n"/>
    </row>
    <row r="139" ht="14.25" customHeight="1" s="1">
      <c r="A139" s="99" t="inlineStr">
        <is>
          <t xml:space="preserve">     Pago préstamo bancario</t>
        </is>
      </c>
      <c r="B139" s="100" t="n"/>
      <c r="C139" s="15">
        <f>C111</f>
        <v/>
      </c>
      <c r="D139" s="15">
        <f>D111</f>
        <v/>
      </c>
      <c r="E139" s="15">
        <f>E111</f>
        <v/>
      </c>
      <c r="F139" s="15">
        <f>F111</f>
        <v/>
      </c>
      <c r="G139" s="15">
        <f>G111</f>
        <v/>
      </c>
      <c r="H139" s="15">
        <f>H111</f>
        <v/>
      </c>
      <c r="I139" s="15">
        <f>I111</f>
        <v/>
      </c>
      <c r="J139" s="15">
        <f>J111</f>
        <v/>
      </c>
      <c r="K139" s="15">
        <f>K111</f>
        <v/>
      </c>
      <c r="L139" s="101">
        <f>L111</f>
        <v/>
      </c>
    </row>
    <row r="140" ht="14.25" customHeight="1" s="1">
      <c r="A140" s="104" t="inlineStr">
        <is>
          <t>= Flujo de caja</t>
        </is>
      </c>
      <c r="B140" s="53">
        <f>B127+B128+B131-B135</f>
        <v/>
      </c>
      <c r="C140" s="53">
        <f>C127+C128+C131-C135</f>
        <v/>
      </c>
      <c r="D140" s="53">
        <f>D127+D128+D131-D135</f>
        <v/>
      </c>
      <c r="E140" s="53">
        <f>E127+E128+E131-E135</f>
        <v/>
      </c>
      <c r="F140" s="53">
        <f>F127+F128+F131-F135</f>
        <v/>
      </c>
      <c r="G140" s="53">
        <f>G127+G128+G131-G135</f>
        <v/>
      </c>
      <c r="H140" s="53">
        <f>H127+H128+H131-H135</f>
        <v/>
      </c>
      <c r="I140" s="53">
        <f>I127+I128+I131-I135</f>
        <v/>
      </c>
      <c r="J140" s="53">
        <f>J127+J128+J131-J135</f>
        <v/>
      </c>
      <c r="K140" s="53">
        <f>K127+K128+K131-K135</f>
        <v/>
      </c>
      <c r="L140" s="53">
        <f>L127+L128+L131-L135</f>
        <v/>
      </c>
    </row>
    <row r="141" ht="14.25" customHeight="1" s="1">
      <c r="A141" s="105" t="inlineStr">
        <is>
          <t>Flujo de caja acumulado (PRI)</t>
        </is>
      </c>
    </row>
    <row r="142" ht="14.25" customHeight="1" s="1">
      <c r="A142" s="145" t="inlineStr">
        <is>
          <t xml:space="preserve">     Flujo acumulado</t>
        </is>
      </c>
      <c r="B142" s="53">
        <f>B140</f>
        <v/>
      </c>
      <c r="C142" s="53">
        <f>B142+C140</f>
        <v/>
      </c>
      <c r="D142" s="53">
        <f>C142+D140</f>
        <v/>
      </c>
      <c r="E142" s="53">
        <f>D142+E140</f>
        <v/>
      </c>
      <c r="F142" s="53">
        <f>E142+F140</f>
        <v/>
      </c>
      <c r="G142" s="53">
        <f>F142+G140</f>
        <v/>
      </c>
      <c r="H142" s="53">
        <f>G142+H140</f>
        <v/>
      </c>
      <c r="I142" s="53">
        <f>H142+I140</f>
        <v/>
      </c>
      <c r="J142" s="53">
        <f>I142+J140</f>
        <v/>
      </c>
      <c r="K142" s="53">
        <f>J142+K140</f>
        <v/>
      </c>
      <c r="L142" s="53">
        <f>K142+L140</f>
        <v/>
      </c>
    </row>
    <row r="143" ht="14.25" customHeight="1" s="1">
      <c r="A143" s="105" t="inlineStr">
        <is>
          <t>Flujo descontado acumulado (PRID)</t>
        </is>
      </c>
    </row>
    <row r="144" ht="14.25" customHeight="1" s="1">
      <c r="A144" s="145" t="inlineStr">
        <is>
          <t xml:space="preserve">     Flujo desc. acumulado</t>
        </is>
      </c>
      <c r="B144" s="53">
        <f>B140</f>
        <v/>
      </c>
      <c r="C144" s="53">
        <f>B144+C140/(1+E150)^1</f>
        <v/>
      </c>
      <c r="D144" s="53">
        <f>C144+D140/(1+E150)^2</f>
        <v/>
      </c>
      <c r="E144" s="53">
        <f>D144+E140/(1+E150)^3</f>
        <v/>
      </c>
      <c r="F144" s="53">
        <f>E144+F140/(1+E150)^4</f>
        <v/>
      </c>
      <c r="G144" s="53">
        <f>F144+G140/(1+E150)^5</f>
        <v/>
      </c>
      <c r="H144" s="53">
        <f>G144+H140/(1+E150)^6</f>
        <v/>
      </c>
      <c r="I144" s="53">
        <f>H144+I140/(1+E150)^7</f>
        <v/>
      </c>
      <c r="J144" s="53">
        <f>I144+J140/(1+E150)^8</f>
        <v/>
      </c>
      <c r="K144" s="53">
        <f>J144+K140/(1+E150)^9</f>
        <v/>
      </c>
      <c r="L144" s="53">
        <f>K144+L140/(1+E150)^10</f>
        <v/>
      </c>
    </row>
    <row r="145" ht="14.25" customHeight="1" s="1">
      <c r="B145" s="21" t="n"/>
      <c r="F145" s="106" t="n"/>
    </row>
    <row r="146" ht="14.25" customHeight="1" s="1">
      <c r="A146" s="22" t="inlineStr">
        <is>
          <t>10. Costo del capital</t>
        </is>
      </c>
    </row>
    <row r="147" ht="14.25" customHeight="1" s="1">
      <c r="B147" s="107" t="inlineStr">
        <is>
          <t>Participación ($)</t>
        </is>
      </c>
      <c r="C147" s="107" t="inlineStr">
        <is>
          <t>Participación (%)</t>
        </is>
      </c>
      <c r="D147" s="107" t="inlineStr">
        <is>
          <t>Costo</t>
        </is>
      </c>
      <c r="E147" s="107" t="inlineStr">
        <is>
          <t>Costo promedio</t>
        </is>
      </c>
    </row>
    <row r="148" ht="14.25" customHeight="1" s="1">
      <c r="A148" s="4" t="inlineStr">
        <is>
          <t>Préstamo bancario</t>
        </is>
      </c>
      <c r="B148" s="147">
        <f>B102</f>
        <v/>
      </c>
      <c r="C148" s="149">
        <f>E102</f>
        <v/>
      </c>
      <c r="D148" s="149">
        <f>B103*(1-B26)</f>
        <v/>
      </c>
      <c r="E148" s="149">
        <f>C148*D148</f>
        <v/>
      </c>
    </row>
    <row r="149" ht="18" customHeight="1" s="1">
      <c r="A149" s="4" t="inlineStr">
        <is>
          <t>Fondos propios</t>
        </is>
      </c>
      <c r="B149" s="148">
        <f>B77-B148</f>
        <v/>
      </c>
      <c r="C149" s="150">
        <f>1-C148</f>
        <v/>
      </c>
      <c r="D149" s="149">
        <f>B25</f>
        <v/>
      </c>
      <c r="E149" s="150">
        <f>C149*D149</f>
        <v/>
      </c>
    </row>
    <row r="150" ht="14.25" customHeight="1" s="1">
      <c r="B150" s="147">
        <f>B148+B149</f>
        <v/>
      </c>
      <c r="C150" s="149">
        <f>C148+C149</f>
        <v/>
      </c>
      <c r="D150" s="108" t="n"/>
      <c r="E150" s="149">
        <f>E148+E149</f>
        <v/>
      </c>
    </row>
    <row r="152" ht="14.25" customHeight="1" s="1">
      <c r="A152" s="22" t="inlineStr">
        <is>
          <t>11. Indicadores financieros</t>
        </is>
      </c>
    </row>
    <row r="153" ht="14.25" customHeight="1" s="1">
      <c r="A153" s="109" t="inlineStr">
        <is>
          <t>VAN(WACC) =</t>
        </is>
      </c>
      <c r="B153" s="110">
        <f>RiskOutput("VAN - Italiano")+NPV(E150,C140:L140)+B140</f>
        <v/>
      </c>
    </row>
    <row r="154" ht="14.25" customHeight="1" s="1">
      <c r="A154" s="109" t="inlineStr">
        <is>
          <t>TIR =</t>
        </is>
      </c>
      <c r="B154" s="151">
        <f>RiskOutput("TIR - Italiano")+IRR(B140:L140)</f>
        <v/>
      </c>
    </row>
    <row r="155" ht="14.25" customHeight="1" s="1">
      <c r="A155" s="109" t="inlineStr">
        <is>
          <t>PRI =</t>
        </is>
      </c>
      <c r="B155" s="112">
        <f>IFERROR(MATCH(1,INDEX((C142:L142&gt;=0)*1,0),0),"&gt;10")</f>
        <v/>
      </c>
    </row>
    <row r="156" ht="14.25" customHeight="1" s="1">
      <c r="A156" s="109" t="inlineStr">
        <is>
          <t>PRID =</t>
        </is>
      </c>
      <c r="B156" s="112">
        <f>IFERROR(MATCH(1,INDEX((C144:L144&gt;=0)*1,0),0),"&gt;10")</f>
        <v/>
      </c>
    </row>
    <row r="157" ht="14.25" customHeight="1" s="1">
      <c r="A157" s="109" t="inlineStr">
        <is>
          <t>ID =</t>
        </is>
      </c>
      <c r="B157" s="142">
        <f>(NPV(E150,C140:L140)+B140+ABS(B140))/ABS(B140)</f>
        <v/>
      </c>
    </row>
    <row r="158" ht="14.25" customHeight="1" s="1">
      <c r="B158" s="21" t="n"/>
    </row>
    <row r="159" ht="14.25" customHeight="1" s="1">
      <c r="B159" s="21" t="n"/>
    </row>
    <row r="160" ht="14.25" customHeight="1" s="1">
      <c r="A160" s="105" t="n"/>
      <c r="B160" s="113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</row>
    <row r="161" ht="14.25" customHeight="1" s="1">
      <c r="A161" s="105" t="n"/>
      <c r="B161" s="113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</row>
    <row r="162" ht="14.25" customHeight="1" s="1">
      <c r="A162" s="105" t="n"/>
      <c r="B162" s="113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</row>
    <row r="163" ht="14.25" customHeight="1" s="1">
      <c r="A163" s="105" t="n"/>
      <c r="B163" s="113" t="n"/>
      <c r="C163" s="115" t="n"/>
      <c r="D163" s="115" t="n"/>
      <c r="E163" s="115" t="n"/>
      <c r="F163" s="115" t="n"/>
      <c r="G163" s="115" t="n"/>
      <c r="H163" s="115" t="n"/>
      <c r="I163" s="115" t="n"/>
      <c r="J163" s="115" t="n"/>
      <c r="K163" s="115" t="n"/>
      <c r="L163" s="115" t="n"/>
    </row>
    <row r="164" ht="14.25" customHeight="1" s="1">
      <c r="B164" s="21" t="n"/>
    </row>
    <row r="165" ht="14.25" customHeight="1" s="1">
      <c r="B165" s="21" t="n"/>
    </row>
    <row r="166" ht="14.25" customHeight="1" s="1">
      <c r="B166" s="21" t="n"/>
    </row>
  </sheetData>
  <mergeCells count="9">
    <mergeCell ref="A50:H50"/>
    <mergeCell ref="N9:Q11"/>
    <mergeCell ref="A55:H55"/>
    <mergeCell ref="A98:L98"/>
    <mergeCell ref="A92:A93"/>
    <mergeCell ref="N3:Q3"/>
    <mergeCell ref="C92:L92"/>
    <mergeCell ref="D3:I3"/>
    <mergeCell ref="B105:C105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tabColor rgb="FF00B050"/>
    <outlinePr summaryBelow="1" summaryRight="1"/>
    <pageSetUpPr/>
  </sheetPr>
  <dimension ref="A1:V166"/>
  <sheetViews>
    <sheetView workbookViewId="0">
      <selection activeCell="A1" sqref="A1"/>
    </sheetView>
  </sheetViews>
  <sheetFormatPr baseColWidth="10" defaultColWidth="8.6640625" defaultRowHeight="14.4"/>
  <cols>
    <col width="42.44140625" customWidth="1" style="1" min="1" max="1"/>
    <col width="15.5546875" customWidth="1" style="1" min="2" max="2"/>
    <col width="16.109375" customWidth="1" style="1" min="3" max="3"/>
    <col width="15.44140625" customWidth="1" style="1" min="4" max="8"/>
    <col width="15.5546875" customWidth="1" style="1" min="9" max="11"/>
    <col width="15.44140625" customWidth="1" style="1" min="12" max="12"/>
    <col width="13.5546875" customWidth="1" style="1" min="13" max="13"/>
    <col width="28" customWidth="1" style="1" min="14" max="14"/>
    <col width="13" customWidth="1" style="1" min="15" max="15"/>
    <col width="16" customWidth="1" style="1" min="16" max="16"/>
    <col width="18" customWidth="1" style="1" min="17" max="17"/>
    <col width="25.109375" customWidth="1" style="1" min="18" max="18"/>
    <col width="11.6640625" customWidth="1" style="1" min="19" max="19"/>
    <col width="13.44140625" customWidth="1" style="1" min="20" max="20"/>
    <col width="8.44140625" customWidth="1" style="1" min="21" max="21"/>
    <col width="10.6640625" customWidth="1" style="1" min="22" max="22"/>
  </cols>
  <sheetData>
    <row r="1" ht="15" customHeight="1" s="1">
      <c r="A1" s="2" t="inlineStr">
        <is>
          <t>Camaronera Industrial</t>
        </is>
      </c>
    </row>
    <row r="3" ht="14.25" customHeight="1" s="1">
      <c r="A3" s="3" t="inlineStr">
        <is>
          <t>Variables</t>
        </is>
      </c>
      <c r="D3" s="176" t="inlineStr">
        <is>
          <t>VARIABLES ESTOCASTICAS @RISK  -&gt;  ver columnas N:Q</t>
        </is>
      </c>
      <c r="N3" s="177" t="inlineStr">
        <is>
          <t>VARIABLES ESTOCÁSTICAS (@RISK)</t>
        </is>
      </c>
    </row>
    <row r="4" ht="14.25" customHeight="1" s="1">
      <c r="A4" s="4" t="inlineStr">
        <is>
          <t>Horizonte de evaluación (años)</t>
        </is>
      </c>
      <c r="B4" s="4" t="n">
        <v>10</v>
      </c>
      <c r="N4" s="178" t="inlineStr">
        <is>
          <t>Variable de entrada</t>
        </is>
      </c>
      <c r="O4" s="178" t="inlineStr">
        <is>
          <t>Distribución</t>
        </is>
      </c>
      <c r="P4" s="178" t="inlineStr">
        <is>
          <t>Valor (@RISK)</t>
        </is>
      </c>
      <c r="Q4" s="178" t="inlineStr">
        <is>
          <t>Rango (caso)</t>
        </is>
      </c>
    </row>
    <row r="5" ht="14.25" customHeight="1" s="1">
      <c r="A5" s="4" t="inlineStr">
        <is>
          <t>Devaluación</t>
        </is>
      </c>
      <c r="B5" s="5" t="n">
        <v>0.05</v>
      </c>
      <c r="N5" s="179" t="inlineStr">
        <is>
          <t>Inversión total (factor)</t>
        </is>
      </c>
      <c r="O5" s="180" t="inlineStr">
        <is>
          <t>Uniforme</t>
        </is>
      </c>
      <c r="P5" s="181">
        <f>RiskUniform(0.95,1.1,RiskStatic(1),RiskName("Factor de inversión"))</f>
        <v/>
      </c>
      <c r="Q5" s="180" t="inlineStr">
        <is>
          <t>-5% / +10%</t>
        </is>
      </c>
    </row>
    <row r="6" ht="14.25" customHeight="1" s="1">
      <c r="A6" s="4" t="inlineStr">
        <is>
          <t>Inflación</t>
        </is>
      </c>
      <c r="B6" s="5" t="n">
        <v>0.07000000000000001</v>
      </c>
      <c r="N6" s="179" t="inlineStr">
        <is>
          <t>Precio de venta FOB año 1 ($/Lb)</t>
        </is>
      </c>
      <c r="O6" s="180" t="inlineStr">
        <is>
          <t>Triangular</t>
        </is>
      </c>
      <c r="P6" s="182">
        <f>RiskTriang(2.6,3,3.5,RiskStatic(3),RiskName("Precio de venta FOB"))</f>
        <v/>
      </c>
      <c r="Q6" s="180" t="inlineStr">
        <is>
          <t>2.60 / 3.00 / 3.50</t>
        </is>
      </c>
    </row>
    <row r="7" ht="14.25" customHeight="1" s="1">
      <c r="B7" s="6" t="inlineStr">
        <is>
          <t>Año 0</t>
        </is>
      </c>
      <c r="C7" s="6" t="inlineStr">
        <is>
          <t>Año 1</t>
        </is>
      </c>
      <c r="D7" s="6" t="inlineStr">
        <is>
          <t>Año 2</t>
        </is>
      </c>
      <c r="E7" s="6" t="inlineStr">
        <is>
          <t>Año 3</t>
        </is>
      </c>
      <c r="F7" s="6" t="inlineStr">
        <is>
          <t>Año 4</t>
        </is>
      </c>
      <c r="G7" s="6" t="inlineStr">
        <is>
          <t>Año 5</t>
        </is>
      </c>
      <c r="H7" s="6" t="inlineStr">
        <is>
          <t>Año 6</t>
        </is>
      </c>
      <c r="I7" s="6" t="inlineStr">
        <is>
          <t>Año 7</t>
        </is>
      </c>
      <c r="J7" s="6" t="inlineStr">
        <is>
          <t>Año 8</t>
        </is>
      </c>
      <c r="K7" s="6" t="inlineStr">
        <is>
          <t>Año 9</t>
        </is>
      </c>
      <c r="L7" s="6" t="inlineStr">
        <is>
          <t>Año 10</t>
        </is>
      </c>
      <c r="N7" s="179" t="inlineStr">
        <is>
          <t>Producción neta (factor)</t>
        </is>
      </c>
      <c r="O7" s="180" t="inlineStr">
        <is>
          <t>Triangular</t>
        </is>
      </c>
      <c r="P7" s="181">
        <f>RiskTriang(0.8,1,1.1,RiskStatic(1),RiskName("Factor de producción"))</f>
        <v/>
      </c>
      <c r="Q7" s="180" t="inlineStr">
        <is>
          <t>80% / 100% / 110%</t>
        </is>
      </c>
    </row>
    <row r="8" ht="14.25" customHeight="1" s="1">
      <c r="A8" s="4" t="inlineStr">
        <is>
          <t>Área en producción (Ha)</t>
        </is>
      </c>
      <c r="B8" s="7" t="n"/>
      <c r="C8" s="8" t="n">
        <v>750</v>
      </c>
      <c r="D8" s="8" t="n">
        <v>900</v>
      </c>
      <c r="E8" s="8" t="n">
        <v>900</v>
      </c>
      <c r="F8" s="8" t="n">
        <v>900</v>
      </c>
      <c r="G8" s="8" t="n">
        <v>900</v>
      </c>
      <c r="H8" s="8" t="n">
        <v>900</v>
      </c>
      <c r="I8" s="8" t="n">
        <v>900</v>
      </c>
      <c r="J8" s="8" t="n">
        <v>900</v>
      </c>
      <c r="K8" s="8" t="n">
        <v>900</v>
      </c>
      <c r="L8" s="8" t="n">
        <v>900</v>
      </c>
    </row>
    <row r="9" ht="14.25" customHeight="1" s="1">
      <c r="A9" s="4" t="inlineStr">
        <is>
          <t>Producción neta (Lb/Ha/año)</t>
        </is>
      </c>
      <c r="B9" s="7" t="n"/>
      <c r="C9" s="9">
        <f>1225*$P$7</f>
        <v/>
      </c>
      <c r="D9" s="9">
        <f>1470*$P$7</f>
        <v/>
      </c>
      <c r="E9" s="9">
        <f>1715*$P$7</f>
        <v/>
      </c>
      <c r="F9" s="9">
        <f>1960*$P$7</f>
        <v/>
      </c>
      <c r="G9" s="9">
        <f>2205*$P$7</f>
        <v/>
      </c>
      <c r="H9" s="9">
        <f>2205*$P$7</f>
        <v/>
      </c>
      <c r="I9" s="9">
        <f>2205*$P$7</f>
        <v/>
      </c>
      <c r="J9" s="9">
        <f>2205*$P$7</f>
        <v/>
      </c>
      <c r="K9" s="9">
        <f>2205*$P$7</f>
        <v/>
      </c>
      <c r="L9" s="9">
        <f>2205*$P$7</f>
        <v/>
      </c>
      <c r="N9" s="183" t="inlineStr">
        <is>
          <t>Celdas amarillas = variables de incertidumbre del caso. VAN (B153) y TIR (B154) son salidas RiskOutput. Ejecute la simulacion con @RISK (Iniciar simulacion).</t>
        </is>
      </c>
    </row>
    <row r="10" ht="14.25" customHeight="1" s="1">
      <c r="A10" s="4" t="inlineStr">
        <is>
          <t>Producción neta total (Lb/año)</t>
        </is>
      </c>
      <c r="B10" s="7" t="n"/>
      <c r="C10" s="9">
        <f>C9*C8</f>
        <v/>
      </c>
      <c r="D10" s="9">
        <f>D9*D8</f>
        <v/>
      </c>
      <c r="E10" s="9">
        <f>E9*E8</f>
        <v/>
      </c>
      <c r="F10" s="9">
        <f>F9*F8</f>
        <v/>
      </c>
      <c r="G10" s="9">
        <f>G9*G8</f>
        <v/>
      </c>
      <c r="H10" s="9">
        <f>H9*H8</f>
        <v/>
      </c>
      <c r="I10" s="9">
        <f>I9*I8</f>
        <v/>
      </c>
      <c r="J10" s="9">
        <f>J9*J8</f>
        <v/>
      </c>
      <c r="K10" s="9">
        <f>K9*K8</f>
        <v/>
      </c>
      <c r="L10" s="9">
        <f>L9*L8</f>
        <v/>
      </c>
    </row>
    <row r="11" ht="14.25" customHeight="1" s="1">
      <c r="A11" s="4" t="inlineStr">
        <is>
          <t>Tasa de cambio</t>
        </is>
      </c>
      <c r="B11" s="7" t="n"/>
      <c r="C11" s="10" t="n">
        <v>1</v>
      </c>
      <c r="D11" s="10">
        <f>C11+(C11*$B$5)</f>
        <v/>
      </c>
      <c r="E11" s="10">
        <f>D11+(D11*$B$5)</f>
        <v/>
      </c>
      <c r="F11" s="10">
        <f>E11+(E11*$B$5)</f>
        <v/>
      </c>
      <c r="G11" s="10">
        <f>F11+(F11*$B$5)</f>
        <v/>
      </c>
      <c r="H11" s="10">
        <f>G11+(G11*$B$5)</f>
        <v/>
      </c>
      <c r="I11" s="10">
        <f>H11+(H11*$B$5)</f>
        <v/>
      </c>
      <c r="J11" s="10">
        <f>I11+(I11*$B$5)</f>
        <v/>
      </c>
      <c r="K11" s="10">
        <f>J11+(J11*$B$5)</f>
        <v/>
      </c>
      <c r="L11" s="10">
        <f>K11+(K11*$B$5)</f>
        <v/>
      </c>
    </row>
    <row r="12" ht="14.25" customHeight="1" s="1">
      <c r="A12" s="4" t="inlineStr">
        <is>
          <t>Precio de venta FOB ($/Lb)</t>
        </is>
      </c>
      <c r="B12" s="7" t="n"/>
      <c r="C12" s="11">
        <f>$P$6</f>
        <v/>
      </c>
      <c r="D12" s="11">
        <f>C12+(C12*$B$6)</f>
        <v/>
      </c>
      <c r="E12" s="11">
        <f>D12+(D12*$B$6)</f>
        <v/>
      </c>
      <c r="F12" s="11">
        <f>E12+(E12*$B$6)</f>
        <v/>
      </c>
      <c r="G12" s="11">
        <f>F12+(F12*$B$6)</f>
        <v/>
      </c>
      <c r="H12" s="11">
        <f>G12+(G12*$B$6)</f>
        <v/>
      </c>
      <c r="I12" s="11">
        <f>H12+(H12*$B$6)</f>
        <v/>
      </c>
      <c r="J12" s="11">
        <f>I12+(I12*$B$6)</f>
        <v/>
      </c>
      <c r="K12" s="11">
        <f>J12+(J12*$B$6)</f>
        <v/>
      </c>
      <c r="L12" s="11">
        <f>K12+(K12*$B$6)</f>
        <v/>
      </c>
    </row>
    <row r="13" ht="14.25" customHeight="1" s="1">
      <c r="A13" s="4" t="inlineStr">
        <is>
          <t>Capital de trabajo</t>
        </is>
      </c>
      <c r="B13" s="12" t="n"/>
      <c r="C13" s="13" t="n">
        <v>450000</v>
      </c>
      <c r="D13" s="13" t="n">
        <v>250000</v>
      </c>
      <c r="E13" s="13" t="n">
        <v>250000</v>
      </c>
      <c r="F13" s="13" t="n">
        <v>250000</v>
      </c>
      <c r="G13" s="13" t="n">
        <v>250000</v>
      </c>
      <c r="H13" s="13" t="n">
        <v>250000</v>
      </c>
      <c r="I13" s="13" t="n">
        <v>0</v>
      </c>
      <c r="J13" s="13" t="n">
        <v>0</v>
      </c>
      <c r="K13" s="13" t="n">
        <v>0</v>
      </c>
      <c r="L13" s="13" t="n">
        <v>0</v>
      </c>
    </row>
    <row r="14" ht="14.25" customHeight="1" s="1">
      <c r="A14" s="4" t="inlineStr">
        <is>
          <t>Costos variables ($1.45 x Lb)</t>
        </is>
      </c>
      <c r="B14" s="12" t="n"/>
      <c r="C14" s="11">
        <f>1.45</f>
        <v/>
      </c>
      <c r="D14" s="11">
        <f>C14+(C14*$B$6)</f>
        <v/>
      </c>
      <c r="E14" s="11">
        <f>D14+(D14*$B$6)</f>
        <v/>
      </c>
      <c r="F14" s="11">
        <f>E14+(E14*$B$6)</f>
        <v/>
      </c>
      <c r="G14" s="11">
        <f>F14+(F14*$B$6)</f>
        <v/>
      </c>
      <c r="H14" s="11">
        <f>G14+(G14*$B$6)</f>
        <v/>
      </c>
      <c r="I14" s="11">
        <f>H14+(H14*$B$6)</f>
        <v/>
      </c>
      <c r="J14" s="11">
        <f>I14+(I14*$B$6)</f>
        <v/>
      </c>
      <c r="K14" s="11">
        <f>J14+(J14*$B$6)</f>
        <v/>
      </c>
      <c r="L14" s="11">
        <f>K14+(K14*$B$6)</f>
        <v/>
      </c>
    </row>
    <row r="15" ht="14.25" customHeight="1" s="1">
      <c r="A15" s="4" t="inlineStr">
        <is>
          <t>Costos variables anuales</t>
        </is>
      </c>
      <c r="B15" s="14" t="n"/>
      <c r="C15" s="15">
        <f>C14*C10</f>
        <v/>
      </c>
      <c r="D15" s="15">
        <f>D14*D10</f>
        <v/>
      </c>
      <c r="E15" s="15">
        <f>E14*E10</f>
        <v/>
      </c>
      <c r="F15" s="15">
        <f>F14*F10</f>
        <v/>
      </c>
      <c r="G15" s="15">
        <f>G14*G10</f>
        <v/>
      </c>
      <c r="H15" s="15">
        <f>H14*H10</f>
        <v/>
      </c>
      <c r="I15" s="15">
        <f>I14*I10</f>
        <v/>
      </c>
      <c r="J15" s="15">
        <f>J14*J10</f>
        <v/>
      </c>
      <c r="K15" s="15">
        <f>K14*K10</f>
        <v/>
      </c>
      <c r="L15" s="15">
        <f>L14*L10</f>
        <v/>
      </c>
    </row>
    <row r="16" ht="14.25" customHeight="1" s="1">
      <c r="A16" s="4" t="inlineStr">
        <is>
          <t>Costos fijos de producción</t>
        </is>
      </c>
      <c r="B16" s="14" t="n"/>
      <c r="C16" s="15" t="n">
        <v>50000</v>
      </c>
      <c r="D16" s="15">
        <f>C16+(C16*$B$6)</f>
        <v/>
      </c>
      <c r="E16" s="15">
        <f>D16+(D16*$B$6)</f>
        <v/>
      </c>
      <c r="F16" s="15">
        <f>E16+(E16*$B$6)</f>
        <v/>
      </c>
      <c r="G16" s="15">
        <f>F16+(F16*$B$6)</f>
        <v/>
      </c>
      <c r="H16" s="15">
        <f>G16+(G16*$B$6)</f>
        <v/>
      </c>
      <c r="I16" s="15">
        <f>H16+(H16*$B$6)</f>
        <v/>
      </c>
      <c r="J16" s="15">
        <f>I16+(I16*$B$6)</f>
        <v/>
      </c>
      <c r="K16" s="15">
        <f>J16+(J16*$B$6)</f>
        <v/>
      </c>
      <c r="L16" s="15">
        <f>K16+(K16*$B$6)</f>
        <v/>
      </c>
    </row>
    <row r="17" ht="14.25" customHeight="1" s="1">
      <c r="A17" s="4" t="inlineStr">
        <is>
          <t>Gastos administrativos</t>
        </is>
      </c>
      <c r="B17" s="14" t="n"/>
      <c r="C17" s="15" t="n">
        <v>200000</v>
      </c>
      <c r="D17" s="15">
        <f>C17+(C17*$B$6)</f>
        <v/>
      </c>
      <c r="E17" s="15">
        <f>D17+(D17*$B$6)</f>
        <v/>
      </c>
      <c r="F17" s="15">
        <f>E17+(E17*$B$6)</f>
        <v/>
      </c>
      <c r="G17" s="15">
        <f>F17+(F17*$B$6)</f>
        <v/>
      </c>
      <c r="H17" s="15">
        <f>G17+(G17*$B$6)</f>
        <v/>
      </c>
      <c r="I17" s="15">
        <f>H17+(H17*$B$6)</f>
        <v/>
      </c>
      <c r="J17" s="15">
        <f>I17+(I17*$B$6)</f>
        <v/>
      </c>
      <c r="K17" s="15">
        <f>J17+(J17*$B$6)</f>
        <v/>
      </c>
      <c r="L17" s="15">
        <f>K17+(K17*$B$6)</f>
        <v/>
      </c>
    </row>
    <row r="18" ht="14.25" customHeight="1" s="1">
      <c r="K18" s="16" t="n"/>
    </row>
    <row r="19" ht="14.25" customHeight="1" s="1">
      <c r="A19" s="4" t="inlineStr">
        <is>
          <t>Valor residual del terreno</t>
        </is>
      </c>
      <c r="B19" s="17" t="n">
        <v>1250000</v>
      </c>
      <c r="K19" s="16" t="n"/>
    </row>
    <row r="20" ht="14.25" customHeight="1" s="1">
      <c r="A20" s="4" t="inlineStr">
        <is>
          <t>Valor residual de estanques y canales</t>
        </is>
      </c>
      <c r="B20" s="17" t="n">
        <v>1000000</v>
      </c>
      <c r="K20" s="16" t="n"/>
    </row>
    <row r="21" ht="14.25" customHeight="1" s="1">
      <c r="A21" s="4" t="inlineStr">
        <is>
          <t>Valor residual de edificios</t>
        </is>
      </c>
      <c r="B21" s="18" t="n">
        <v>50000</v>
      </c>
      <c r="K21" s="16" t="n"/>
    </row>
    <row r="22" ht="14.25" customHeight="1" s="1">
      <c r="A22" s="4" t="inlineStr">
        <is>
          <t>Tasa de fiananciamiento bancario</t>
        </is>
      </c>
      <c r="B22" s="5" t="n">
        <v>0.1</v>
      </c>
    </row>
    <row r="23" ht="14.25" customHeight="1" s="1">
      <c r="A23" s="4" t="inlineStr">
        <is>
          <t>Plazo del financiamiento bancario (años)</t>
        </is>
      </c>
      <c r="B23" s="19" t="n">
        <v>7</v>
      </c>
    </row>
    <row r="24" ht="14.25" customHeight="1" s="1">
      <c r="A24" s="4" t="inlineStr">
        <is>
          <t>Plazo del financiamiento bancario (valor)</t>
        </is>
      </c>
      <c r="B24" s="20">
        <f>5400000*0.5</f>
        <v/>
      </c>
    </row>
    <row r="25" ht="14.25" customHeight="1" s="1">
      <c r="A25" s="4" t="inlineStr">
        <is>
          <t>Tasa de corte</t>
        </is>
      </c>
      <c r="B25" s="5" t="n">
        <v>0.19</v>
      </c>
    </row>
    <row r="26" ht="14.25" customHeight="1" s="1">
      <c r="A26" s="4" t="inlineStr">
        <is>
          <t>Tasa de ISR</t>
        </is>
      </c>
      <c r="B26" s="5" t="n">
        <v>0.3</v>
      </c>
    </row>
    <row r="27" ht="14.25" customHeight="1" s="1">
      <c r="B27" s="21" t="n"/>
    </row>
    <row r="28" ht="14.25" customHeight="1" s="1">
      <c r="A28" s="22" t="inlineStr">
        <is>
          <t>1. Ingresos del proyecto</t>
        </is>
      </c>
      <c r="B28" s="21" t="n"/>
    </row>
    <row r="29" ht="15.75" customHeight="1" s="1">
      <c r="A29" s="23" t="inlineStr">
        <is>
          <t>Calendario de ingresos (venta del producto)</t>
        </is>
      </c>
      <c r="B29" s="24" t="n"/>
    </row>
    <row r="30" ht="14.25" customHeight="1" s="1">
      <c r="A30" s="161" t="inlineStr">
        <is>
          <t>Concepto</t>
        </is>
      </c>
      <c r="B30" s="26" t="inlineStr">
        <is>
          <t>Año 0</t>
        </is>
      </c>
      <c r="C30" s="26" t="inlineStr">
        <is>
          <t>Año 1</t>
        </is>
      </c>
      <c r="D30" s="26" t="inlineStr">
        <is>
          <t>Año 2</t>
        </is>
      </c>
      <c r="E30" s="26" t="inlineStr">
        <is>
          <t>Año 3</t>
        </is>
      </c>
      <c r="F30" s="26" t="inlineStr">
        <is>
          <t>Año 4</t>
        </is>
      </c>
      <c r="G30" s="26" t="inlineStr">
        <is>
          <t>Año 5</t>
        </is>
      </c>
      <c r="H30" s="26" t="inlineStr">
        <is>
          <t>Año 6</t>
        </is>
      </c>
      <c r="I30" s="26" t="inlineStr">
        <is>
          <t>Año 7</t>
        </is>
      </c>
      <c r="J30" s="26" t="inlineStr">
        <is>
          <t>Año 8</t>
        </is>
      </c>
      <c r="K30" s="26" t="inlineStr">
        <is>
          <t>Año 9</t>
        </is>
      </c>
      <c r="L30" s="27" t="inlineStr">
        <is>
          <t>Año 10</t>
        </is>
      </c>
    </row>
    <row r="31" ht="14.25" customHeight="1" s="1">
      <c r="A31" s="28" t="inlineStr">
        <is>
          <t>Cantidad de camarón (Lb)</t>
        </is>
      </c>
      <c r="B31" s="29" t="n"/>
      <c r="C31" s="30">
        <f>C10</f>
        <v/>
      </c>
      <c r="D31" s="30">
        <f>D10</f>
        <v/>
      </c>
      <c r="E31" s="30">
        <f>E10</f>
        <v/>
      </c>
      <c r="F31" s="30">
        <f>F10</f>
        <v/>
      </c>
      <c r="G31" s="30">
        <f>G10</f>
        <v/>
      </c>
      <c r="H31" s="30">
        <f>H10</f>
        <v/>
      </c>
      <c r="I31" s="30">
        <f>I10</f>
        <v/>
      </c>
      <c r="J31" s="30">
        <f>J10</f>
        <v/>
      </c>
      <c r="K31" s="30">
        <f>K10</f>
        <v/>
      </c>
      <c r="L31" s="31">
        <f>L10</f>
        <v/>
      </c>
    </row>
    <row r="32" ht="14.25" customHeight="1" s="1">
      <c r="A32" s="28" t="inlineStr">
        <is>
          <t>Precio unitario de venta ($/Lb)</t>
        </is>
      </c>
      <c r="B32" s="29" t="n"/>
      <c r="C32" s="32">
        <f>C12</f>
        <v/>
      </c>
      <c r="D32" s="32">
        <f>D12</f>
        <v/>
      </c>
      <c r="E32" s="32">
        <f>E12</f>
        <v/>
      </c>
      <c r="F32" s="32">
        <f>F12</f>
        <v/>
      </c>
      <c r="G32" s="32">
        <f>G12</f>
        <v/>
      </c>
      <c r="H32" s="32">
        <f>H12</f>
        <v/>
      </c>
      <c r="I32" s="32">
        <f>I12</f>
        <v/>
      </c>
      <c r="J32" s="32">
        <f>J12</f>
        <v/>
      </c>
      <c r="K32" s="32">
        <f>K12</f>
        <v/>
      </c>
      <c r="L32" s="33">
        <f>L12</f>
        <v/>
      </c>
    </row>
    <row r="33" ht="15.75" customHeight="1" s="1">
      <c r="A33" s="34" t="inlineStr">
        <is>
          <t>Ingresos</t>
        </is>
      </c>
      <c r="B33" s="35" t="n"/>
      <c r="C33" s="36">
        <f>C32*C31</f>
        <v/>
      </c>
      <c r="D33" s="36">
        <f>D32*D31</f>
        <v/>
      </c>
      <c r="E33" s="36">
        <f>E32*E31</f>
        <v/>
      </c>
      <c r="F33" s="36">
        <f>F32*F31</f>
        <v/>
      </c>
      <c r="G33" s="36">
        <f>G32*G31</f>
        <v/>
      </c>
      <c r="H33" s="36">
        <f>H32*H31</f>
        <v/>
      </c>
      <c r="I33" s="36">
        <f>I32*I31</f>
        <v/>
      </c>
      <c r="J33" s="36">
        <f>J32*J31</f>
        <v/>
      </c>
      <c r="K33" s="36">
        <f>K32*K31</f>
        <v/>
      </c>
      <c r="L33" s="37">
        <f>L32*L31</f>
        <v/>
      </c>
    </row>
    <row r="34" ht="14.25" customHeight="1" s="1">
      <c r="B34" s="21" t="n"/>
    </row>
    <row r="35" ht="14.25" customHeight="1" s="1">
      <c r="A35" s="22" t="inlineStr">
        <is>
          <t>2. Costos variables</t>
        </is>
      </c>
      <c r="B35" s="24" t="n"/>
    </row>
    <row r="36" ht="15.75" customHeight="1" s="1">
      <c r="A36" s="23" t="inlineStr">
        <is>
          <t>Calendario de costos variables</t>
        </is>
      </c>
      <c r="B36" s="24" t="n"/>
    </row>
    <row r="37" ht="14.25" customHeight="1" s="1">
      <c r="A37" s="161" t="inlineStr">
        <is>
          <t>Concepto</t>
        </is>
      </c>
      <c r="B37" s="26" t="inlineStr">
        <is>
          <t>Año 0</t>
        </is>
      </c>
      <c r="C37" s="26" t="inlineStr">
        <is>
          <t>Año 1</t>
        </is>
      </c>
      <c r="D37" s="26" t="inlineStr">
        <is>
          <t>Año 2</t>
        </is>
      </c>
      <c r="E37" s="26" t="inlineStr">
        <is>
          <t>Año 3</t>
        </is>
      </c>
      <c r="F37" s="26" t="inlineStr">
        <is>
          <t>Año 4</t>
        </is>
      </c>
      <c r="G37" s="26" t="inlineStr">
        <is>
          <t>Año 5</t>
        </is>
      </c>
      <c r="H37" s="26" t="inlineStr">
        <is>
          <t>Año 6</t>
        </is>
      </c>
      <c r="I37" s="26" t="inlineStr">
        <is>
          <t>Año 7</t>
        </is>
      </c>
      <c r="J37" s="26" t="inlineStr">
        <is>
          <t>Año 8</t>
        </is>
      </c>
      <c r="K37" s="26" t="inlineStr">
        <is>
          <t>Año 9</t>
        </is>
      </c>
      <c r="L37" s="27" t="inlineStr">
        <is>
          <t>Año 10</t>
        </is>
      </c>
    </row>
    <row r="38" ht="14.25" customHeight="1" s="1">
      <c r="A38" s="28" t="inlineStr">
        <is>
          <t>Costos variables</t>
        </is>
      </c>
      <c r="B38" s="29" t="n"/>
      <c r="C38" s="38">
        <f>C15</f>
        <v/>
      </c>
      <c r="D38" s="38">
        <f>D15</f>
        <v/>
      </c>
      <c r="E38" s="38">
        <f>E15</f>
        <v/>
      </c>
      <c r="F38" s="38">
        <f>F15</f>
        <v/>
      </c>
      <c r="G38" s="38">
        <f>G15</f>
        <v/>
      </c>
      <c r="H38" s="38">
        <f>H15</f>
        <v/>
      </c>
      <c r="I38" s="38">
        <f>I15</f>
        <v/>
      </c>
      <c r="J38" s="38">
        <f>J15</f>
        <v/>
      </c>
      <c r="K38" s="38">
        <f>K15</f>
        <v/>
      </c>
      <c r="L38" s="39">
        <f>L15</f>
        <v/>
      </c>
    </row>
    <row r="39" ht="15.75" customHeight="1" s="1">
      <c r="A39" s="40" t="inlineStr">
        <is>
          <t>Total de costos variables</t>
        </is>
      </c>
      <c r="B39" s="41" t="n"/>
      <c r="C39" s="36">
        <f>C38</f>
        <v/>
      </c>
      <c r="D39" s="36">
        <f>D38</f>
        <v/>
      </c>
      <c r="E39" s="36">
        <f>E38</f>
        <v/>
      </c>
      <c r="F39" s="36">
        <f>F38</f>
        <v/>
      </c>
      <c r="G39" s="36">
        <f>G38</f>
        <v/>
      </c>
      <c r="H39" s="36">
        <f>H38</f>
        <v/>
      </c>
      <c r="I39" s="36">
        <f>I38</f>
        <v/>
      </c>
      <c r="J39" s="36">
        <f>J38</f>
        <v/>
      </c>
      <c r="K39" s="36">
        <f>K38</f>
        <v/>
      </c>
      <c r="L39" s="37">
        <f>L38</f>
        <v/>
      </c>
    </row>
    <row r="40" ht="14.25" customHeight="1" s="1">
      <c r="B40" s="21" t="n"/>
    </row>
    <row r="41" ht="14.25" customHeight="1" s="1">
      <c r="A41" s="22" t="inlineStr">
        <is>
          <t xml:space="preserve">3. Costos  fijos </t>
        </is>
      </c>
      <c r="B41" s="24" t="n"/>
    </row>
    <row r="42" ht="15.75" customHeight="1" s="1">
      <c r="A42" s="23" t="inlineStr">
        <is>
          <t>Calendario de los costos fijos</t>
        </is>
      </c>
      <c r="B42" s="24" t="n"/>
    </row>
    <row r="43" ht="14.25" customHeight="1" s="1">
      <c r="A43" s="161" t="inlineStr">
        <is>
          <t>Concepto</t>
        </is>
      </c>
      <c r="B43" s="26" t="inlineStr">
        <is>
          <t>Año 0</t>
        </is>
      </c>
      <c r="C43" s="26" t="inlineStr">
        <is>
          <t>Año 1</t>
        </is>
      </c>
      <c r="D43" s="26" t="inlineStr">
        <is>
          <t>Año 2</t>
        </is>
      </c>
      <c r="E43" s="26" t="inlineStr">
        <is>
          <t>Año 3</t>
        </is>
      </c>
      <c r="F43" s="26" t="inlineStr">
        <is>
          <t>Año 4</t>
        </is>
      </c>
      <c r="G43" s="26" t="inlineStr">
        <is>
          <t>Año 5</t>
        </is>
      </c>
      <c r="H43" s="26" t="inlineStr">
        <is>
          <t>Año 6</t>
        </is>
      </c>
      <c r="I43" s="26" t="inlineStr">
        <is>
          <t>Año 7</t>
        </is>
      </c>
      <c r="J43" s="26" t="inlineStr">
        <is>
          <t>Año 8</t>
        </is>
      </c>
      <c r="K43" s="26" t="inlineStr">
        <is>
          <t>Año 9</t>
        </is>
      </c>
      <c r="L43" s="27" t="inlineStr">
        <is>
          <t>Año 10</t>
        </is>
      </c>
    </row>
    <row r="44" ht="14.25" customHeight="1" s="1">
      <c r="A44" s="28" t="inlineStr">
        <is>
          <t>Costos fijos de producción</t>
        </is>
      </c>
      <c r="B44" s="29" t="n"/>
      <c r="C44" s="38">
        <f>C16</f>
        <v/>
      </c>
      <c r="D44" s="38">
        <f>D16</f>
        <v/>
      </c>
      <c r="E44" s="38">
        <f>E16</f>
        <v/>
      </c>
      <c r="F44" s="38">
        <f>F16</f>
        <v/>
      </c>
      <c r="G44" s="38">
        <f>G16</f>
        <v/>
      </c>
      <c r="H44" s="38">
        <f>H16</f>
        <v/>
      </c>
      <c r="I44" s="38">
        <f>I16</f>
        <v/>
      </c>
      <c r="J44" s="38">
        <f>J16</f>
        <v/>
      </c>
      <c r="K44" s="38">
        <f>K16</f>
        <v/>
      </c>
      <c r="L44" s="39">
        <f>L16</f>
        <v/>
      </c>
    </row>
    <row r="45" ht="14.25" customHeight="1" s="1">
      <c r="A45" s="28" t="inlineStr">
        <is>
          <t>Gastos administrativos</t>
        </is>
      </c>
      <c r="B45" s="29" t="n"/>
      <c r="C45" s="38">
        <f>C17</f>
        <v/>
      </c>
      <c r="D45" s="38">
        <f>D17</f>
        <v/>
      </c>
      <c r="E45" s="38">
        <f>E17</f>
        <v/>
      </c>
      <c r="F45" s="38">
        <f>F17</f>
        <v/>
      </c>
      <c r="G45" s="38">
        <f>G17</f>
        <v/>
      </c>
      <c r="H45" s="38">
        <f>H17</f>
        <v/>
      </c>
      <c r="I45" s="38">
        <f>I17</f>
        <v/>
      </c>
      <c r="J45" s="38">
        <f>J17</f>
        <v/>
      </c>
      <c r="K45" s="38">
        <f>K17</f>
        <v/>
      </c>
      <c r="L45" s="39">
        <f>L17</f>
        <v/>
      </c>
    </row>
    <row r="46" ht="15.75" customHeight="1" s="1">
      <c r="A46" s="40" t="inlineStr">
        <is>
          <t>Total de costos fijos</t>
        </is>
      </c>
      <c r="B46" s="41" t="n"/>
      <c r="C46" s="36">
        <f>SUM(C44:C45)</f>
        <v/>
      </c>
      <c r="D46" s="36">
        <f>SUM(D44:D45)</f>
        <v/>
      </c>
      <c r="E46" s="36">
        <f>SUM(E44:E45)</f>
        <v/>
      </c>
      <c r="F46" s="36">
        <f>SUM(F44:F45)</f>
        <v/>
      </c>
      <c r="G46" s="36">
        <f>SUM(G44:G45)</f>
        <v/>
      </c>
      <c r="H46" s="36">
        <f>SUM(H44:H45)</f>
        <v/>
      </c>
      <c r="I46" s="36">
        <f>SUM(I44:I45)</f>
        <v/>
      </c>
      <c r="J46" s="36">
        <f>SUM(J44:J45)</f>
        <v/>
      </c>
      <c r="K46" s="36">
        <f>SUM(K44:K45)</f>
        <v/>
      </c>
      <c r="L46" s="37">
        <f>SUM(L44:L45)</f>
        <v/>
      </c>
    </row>
    <row r="47" ht="14.25" customHeight="1" s="1">
      <c r="B47" s="21" t="n"/>
    </row>
    <row r="48" ht="14.25" customHeight="1" s="1">
      <c r="A48" s="22" t="inlineStr">
        <is>
          <t>4. Capital de trabajo</t>
        </is>
      </c>
      <c r="B48" s="42" t="n"/>
      <c r="C48" s="43" t="n"/>
      <c r="D48" s="43" t="n"/>
      <c r="E48" s="43" t="n"/>
      <c r="F48" s="43" t="n"/>
      <c r="G48" s="43" t="n"/>
      <c r="H48" s="43" t="n"/>
    </row>
    <row r="49" ht="14.25" customHeight="1" s="1">
      <c r="A49" s="44" t="inlineStr">
        <is>
          <t>Capital de trabajo</t>
        </is>
      </c>
      <c r="B49" s="42" t="n"/>
      <c r="C49" s="43" t="n"/>
      <c r="D49" s="43" t="n"/>
      <c r="E49" s="43" t="n"/>
      <c r="F49" s="43" t="n"/>
      <c r="G49" s="43" t="n"/>
      <c r="H49" s="43" t="n"/>
    </row>
    <row r="50" ht="15.75" customHeight="1" s="1">
      <c r="A50" s="160" t="inlineStr">
        <is>
          <t>Necesidad de Efectivo</t>
        </is>
      </c>
    </row>
    <row r="51" ht="14.25" customHeight="1" s="1">
      <c r="A51" s="161" t="inlineStr">
        <is>
          <t>Concepto</t>
        </is>
      </c>
      <c r="B51" s="26" t="inlineStr">
        <is>
          <t>Año 0</t>
        </is>
      </c>
      <c r="C51" s="26" t="inlineStr">
        <is>
          <t>Año 1</t>
        </is>
      </c>
      <c r="D51" s="26" t="inlineStr">
        <is>
          <t>Año 2</t>
        </is>
      </c>
      <c r="E51" s="26" t="inlineStr">
        <is>
          <t>Año 3</t>
        </is>
      </c>
      <c r="F51" s="26" t="inlineStr">
        <is>
          <t>Año 4</t>
        </is>
      </c>
      <c r="G51" s="26" t="inlineStr">
        <is>
          <t>Año 5</t>
        </is>
      </c>
      <c r="H51" s="26" t="inlineStr">
        <is>
          <t>Año 6</t>
        </is>
      </c>
      <c r="I51" s="26" t="inlineStr">
        <is>
          <t>Año 7</t>
        </is>
      </c>
      <c r="J51" s="26" t="inlineStr">
        <is>
          <t>Año 8</t>
        </is>
      </c>
      <c r="K51" s="26" t="inlineStr">
        <is>
          <t>Año 9</t>
        </is>
      </c>
      <c r="L51" s="27" t="inlineStr">
        <is>
          <t>Año 10</t>
        </is>
      </c>
    </row>
    <row r="52" ht="14.25" customHeight="1" s="1">
      <c r="A52" s="28" t="inlineStr">
        <is>
          <t>Capital de trabajo</t>
        </is>
      </c>
      <c r="B52" s="45" t="n"/>
      <c r="C52" s="38">
        <f>C13+B52</f>
        <v/>
      </c>
      <c r="D52" s="38">
        <f>D13+C52</f>
        <v/>
      </c>
      <c r="E52" s="38">
        <f>E13+D52</f>
        <v/>
      </c>
      <c r="F52" s="38">
        <f>F13+E52</f>
        <v/>
      </c>
      <c r="G52" s="38">
        <f>G13+F52</f>
        <v/>
      </c>
      <c r="H52" s="38">
        <f>H13+G52</f>
        <v/>
      </c>
      <c r="I52" s="38">
        <f>I13+H52</f>
        <v/>
      </c>
      <c r="J52" s="38">
        <f>J13+I52</f>
        <v/>
      </c>
      <c r="K52" s="38">
        <f>K13+J52</f>
        <v/>
      </c>
      <c r="L52" s="38">
        <f>L13+K52</f>
        <v/>
      </c>
    </row>
    <row r="53" ht="15.75" customHeight="1" s="1">
      <c r="A53" s="34" t="inlineStr">
        <is>
          <t>Efectivo requerido en caja</t>
        </is>
      </c>
      <c r="B53" s="46" t="n"/>
      <c r="C53" s="36">
        <f>SUM(C52:C52)</f>
        <v/>
      </c>
      <c r="D53" s="36">
        <f>SUM(D52:D52)</f>
        <v/>
      </c>
      <c r="E53" s="36">
        <f>SUM(E52:E52)</f>
        <v/>
      </c>
      <c r="F53" s="36">
        <f>SUM(F52:F52)</f>
        <v/>
      </c>
      <c r="G53" s="36">
        <f>SUM(G52:G52)</f>
        <v/>
      </c>
      <c r="H53" s="36">
        <f>SUM(H52:H52)</f>
        <v/>
      </c>
      <c r="I53" s="36">
        <f>SUM(I52:I52)</f>
        <v/>
      </c>
      <c r="J53" s="36">
        <f>SUM(J52:J52)</f>
        <v/>
      </c>
      <c r="K53" s="36">
        <f>SUM(K52:K52)</f>
        <v/>
      </c>
      <c r="L53" s="37">
        <f>SUM(L52:L52)</f>
        <v/>
      </c>
    </row>
    <row r="54" ht="14.25" customHeight="1" s="1">
      <c r="A54" s="43" t="n"/>
      <c r="B54" s="42" t="n"/>
      <c r="C54" s="43" t="n"/>
      <c r="D54" s="43" t="n"/>
      <c r="E54" s="43" t="n"/>
      <c r="F54" s="43" t="n"/>
      <c r="G54" s="43" t="n"/>
      <c r="H54" s="43" t="n"/>
    </row>
    <row r="55" ht="15.75" customHeight="1" s="1">
      <c r="A55" s="160" t="inlineStr">
        <is>
          <t>Cálculo del Capital de Trabajo</t>
        </is>
      </c>
    </row>
    <row r="56" ht="14.25" customHeight="1" s="1">
      <c r="A56" s="161" t="inlineStr">
        <is>
          <t>Concepto</t>
        </is>
      </c>
      <c r="B56" s="26" t="inlineStr">
        <is>
          <t>Cobertura</t>
        </is>
      </c>
      <c r="C56" s="26" t="inlineStr">
        <is>
          <t>Año 1</t>
        </is>
      </c>
      <c r="D56" s="26" t="inlineStr">
        <is>
          <t>Año 2</t>
        </is>
      </c>
      <c r="E56" s="26" t="inlineStr">
        <is>
          <t>Año 3</t>
        </is>
      </c>
      <c r="F56" s="26" t="inlineStr">
        <is>
          <t>Año 4</t>
        </is>
      </c>
      <c r="G56" s="26" t="inlineStr">
        <is>
          <t>Año 5</t>
        </is>
      </c>
      <c r="H56" s="26" t="inlineStr">
        <is>
          <t>Año 6</t>
        </is>
      </c>
      <c r="I56" s="26" t="inlineStr">
        <is>
          <t>Año 7</t>
        </is>
      </c>
      <c r="J56" s="26" t="inlineStr">
        <is>
          <t>Año 8</t>
        </is>
      </c>
      <c r="K56" s="26" t="inlineStr">
        <is>
          <t>Año 9</t>
        </is>
      </c>
      <c r="L56" s="27" t="inlineStr">
        <is>
          <t>Año 10</t>
        </is>
      </c>
    </row>
    <row r="57" ht="14.25" customHeight="1" s="1">
      <c r="A57" s="47" t="inlineStr">
        <is>
          <t>Activo circulante</t>
        </is>
      </c>
      <c r="B57" s="48" t="n"/>
      <c r="C57" s="49">
        <f>C58</f>
        <v/>
      </c>
      <c r="D57" s="49">
        <f>D58</f>
        <v/>
      </c>
      <c r="E57" s="49">
        <f>E58</f>
        <v/>
      </c>
      <c r="F57" s="49">
        <f>F58</f>
        <v/>
      </c>
      <c r="G57" s="49">
        <f>G58</f>
        <v/>
      </c>
      <c r="H57" s="49">
        <f>H58</f>
        <v/>
      </c>
      <c r="I57" s="49">
        <f>I58</f>
        <v/>
      </c>
      <c r="J57" s="49">
        <f>J58</f>
        <v/>
      </c>
      <c r="K57" s="49">
        <f>K58</f>
        <v/>
      </c>
      <c r="L57" s="50">
        <f>L58</f>
        <v/>
      </c>
    </row>
    <row r="58" ht="14.25" customHeight="1" s="1">
      <c r="A58" s="28" t="inlineStr">
        <is>
          <t xml:space="preserve">     Efectivo </t>
        </is>
      </c>
      <c r="B58" s="45" t="n"/>
      <c r="C58" s="38">
        <f>C53</f>
        <v/>
      </c>
      <c r="D58" s="38">
        <f>D53</f>
        <v/>
      </c>
      <c r="E58" s="38">
        <f>E53</f>
        <v/>
      </c>
      <c r="F58" s="38">
        <f>F53</f>
        <v/>
      </c>
      <c r="G58" s="38">
        <f>G53</f>
        <v/>
      </c>
      <c r="H58" s="38">
        <f>H53</f>
        <v/>
      </c>
      <c r="I58" s="38">
        <f>I53</f>
        <v/>
      </c>
      <c r="J58" s="38">
        <f>J53</f>
        <v/>
      </c>
      <c r="K58" s="38">
        <f>K53</f>
        <v/>
      </c>
      <c r="L58" s="39">
        <f>L53</f>
        <v/>
      </c>
    </row>
    <row r="59" ht="14.25" customHeight="1" s="1">
      <c r="A59" s="47" t="inlineStr">
        <is>
          <t>Pasivo circulante</t>
        </is>
      </c>
      <c r="B59" s="48" t="n"/>
      <c r="C59" s="49">
        <f>SUM(C60:C61)</f>
        <v/>
      </c>
      <c r="D59" s="49">
        <f>SUM(D60:D61)</f>
        <v/>
      </c>
      <c r="E59" s="49">
        <f>SUM(E60:E61)</f>
        <v/>
      </c>
      <c r="F59" s="49">
        <f>SUM(F60:F61)</f>
        <v/>
      </c>
      <c r="G59" s="49">
        <f>SUM(G60:G61)</f>
        <v/>
      </c>
      <c r="H59" s="49">
        <f>SUM(H60:H61)</f>
        <v/>
      </c>
      <c r="I59" s="49">
        <f>SUM(I60:I61)</f>
        <v/>
      </c>
      <c r="J59" s="49">
        <f>SUM(J60:J61)</f>
        <v/>
      </c>
      <c r="K59" s="49">
        <f>SUM(K60:K61)</f>
        <v/>
      </c>
      <c r="L59" s="50">
        <f>SUM(L60:L61)</f>
        <v/>
      </c>
    </row>
    <row r="60" ht="14.25" customHeight="1" s="1">
      <c r="A60" s="28" t="inlineStr">
        <is>
          <t xml:space="preserve">     Cuentas por pagar</t>
        </is>
      </c>
      <c r="B60" s="45" t="n"/>
      <c r="C60" s="38" t="n">
        <v>0</v>
      </c>
      <c r="D60" s="38" t="n">
        <v>0</v>
      </c>
      <c r="E60" s="38" t="n">
        <v>0</v>
      </c>
      <c r="F60" s="38" t="n">
        <v>0</v>
      </c>
      <c r="G60" s="38" t="n">
        <v>0</v>
      </c>
      <c r="H60" s="38" t="n">
        <v>0</v>
      </c>
      <c r="I60" s="38" t="n">
        <v>0</v>
      </c>
      <c r="J60" s="38" t="n">
        <v>0</v>
      </c>
      <c r="K60" s="38" t="n">
        <v>0</v>
      </c>
      <c r="L60" s="39" t="n">
        <v>0</v>
      </c>
    </row>
    <row r="61" ht="14.25" customHeight="1" s="1">
      <c r="A61" s="28" t="inlineStr">
        <is>
          <t xml:space="preserve">     Proveedores</t>
        </is>
      </c>
      <c r="B61" s="45" t="n"/>
      <c r="C61" s="38" t="n">
        <v>0</v>
      </c>
      <c r="D61" s="38" t="n">
        <v>0</v>
      </c>
      <c r="E61" s="38" t="n">
        <v>0</v>
      </c>
      <c r="F61" s="38" t="n">
        <v>0</v>
      </c>
      <c r="G61" s="38" t="n">
        <v>0</v>
      </c>
      <c r="H61" s="38" t="n">
        <v>0</v>
      </c>
      <c r="I61" s="38" t="n">
        <v>0</v>
      </c>
      <c r="J61" s="38" t="n">
        <v>0</v>
      </c>
      <c r="K61" s="38" t="n">
        <v>0</v>
      </c>
      <c r="L61" s="39" t="n">
        <v>0</v>
      </c>
    </row>
    <row r="62" ht="14.25" customHeight="1" s="1">
      <c r="A62" s="51" t="inlineStr">
        <is>
          <t>Capital de Trabajo (Ac - Pc)</t>
        </is>
      </c>
      <c r="B62" s="52" t="n"/>
      <c r="C62" s="53">
        <f>C57-C59</f>
        <v/>
      </c>
      <c r="D62" s="53">
        <f>D57-D59</f>
        <v/>
      </c>
      <c r="E62" s="53">
        <f>E57-E59</f>
        <v/>
      </c>
      <c r="F62" s="53">
        <f>F57-F59</f>
        <v/>
      </c>
      <c r="G62" s="53">
        <f>G57-G59</f>
        <v/>
      </c>
      <c r="H62" s="53">
        <f>H57-H59</f>
        <v/>
      </c>
      <c r="I62" s="53">
        <f>I57-I59</f>
        <v/>
      </c>
      <c r="J62" s="53">
        <f>J57-J59</f>
        <v/>
      </c>
      <c r="K62" s="53">
        <f>K57-K59</f>
        <v/>
      </c>
      <c r="L62" s="54">
        <f>L57-L59</f>
        <v/>
      </c>
    </row>
    <row r="63" ht="15.75" customHeight="1" s="1">
      <c r="A63" s="34" t="inlineStr">
        <is>
          <t>Incremento Capital Trabajo</t>
        </is>
      </c>
      <c r="B63" s="36">
        <f>C62-B62</f>
        <v/>
      </c>
      <c r="C63" s="36">
        <f>D62-C62</f>
        <v/>
      </c>
      <c r="D63" s="36">
        <f>E62-D62</f>
        <v/>
      </c>
      <c r="E63" s="36">
        <f>F62-E62</f>
        <v/>
      </c>
      <c r="F63" s="36">
        <f>G62-F62</f>
        <v/>
      </c>
      <c r="G63" s="36">
        <f>H62-G62</f>
        <v/>
      </c>
      <c r="H63" s="36">
        <f>I62-H62</f>
        <v/>
      </c>
      <c r="I63" s="36">
        <f>J62-I62</f>
        <v/>
      </c>
      <c r="J63" s="36">
        <f>K62-J62</f>
        <v/>
      </c>
      <c r="K63" s="36">
        <f>L62-K62</f>
        <v/>
      </c>
      <c r="L63" s="37">
        <f>M62-L62</f>
        <v/>
      </c>
    </row>
    <row r="64" ht="14.25" customHeight="1" s="1">
      <c r="B64" s="24" t="n"/>
    </row>
    <row r="65" ht="14.25" customHeight="1" s="1">
      <c r="A65" s="22" t="inlineStr">
        <is>
          <t>5. Inversiones</t>
        </is>
      </c>
      <c r="B65" s="24" t="n"/>
    </row>
    <row r="66" ht="15.75" customHeight="1" s="1">
      <c r="A66" s="23" t="inlineStr">
        <is>
          <t>Calendario de inversiones</t>
        </is>
      </c>
      <c r="B66" s="24" t="n"/>
    </row>
    <row r="67" ht="14.25" customHeight="1" s="1">
      <c r="A67" s="161" t="inlineStr">
        <is>
          <t>Concepto</t>
        </is>
      </c>
      <c r="B67" s="26" t="inlineStr">
        <is>
          <t>Año 0</t>
        </is>
      </c>
      <c r="C67" s="26" t="inlineStr">
        <is>
          <t>Año 1</t>
        </is>
      </c>
      <c r="D67" s="26" t="inlineStr">
        <is>
          <t>Año 2</t>
        </is>
      </c>
      <c r="E67" s="26" t="inlineStr">
        <is>
          <t>Año 3</t>
        </is>
      </c>
      <c r="F67" s="26" t="inlineStr">
        <is>
          <t>Año 4</t>
        </is>
      </c>
      <c r="G67" s="26" t="inlineStr">
        <is>
          <t>Año 5</t>
        </is>
      </c>
      <c r="H67" s="26" t="inlineStr">
        <is>
          <t>Año 6</t>
        </is>
      </c>
      <c r="I67" s="26" t="inlineStr">
        <is>
          <t>Año 7</t>
        </is>
      </c>
      <c r="J67" s="26" t="inlineStr">
        <is>
          <t>Año 8</t>
        </is>
      </c>
      <c r="K67" s="26" t="inlineStr">
        <is>
          <t>Año 9</t>
        </is>
      </c>
      <c r="L67" s="27" t="inlineStr">
        <is>
          <t>Año 10</t>
        </is>
      </c>
    </row>
    <row r="68" ht="14.25" customHeight="1" s="1">
      <c r="A68" s="47" t="inlineStr">
        <is>
          <t>Activos Fijos</t>
        </is>
      </c>
      <c r="B68" s="55" t="n"/>
      <c r="C68" s="55" t="n"/>
      <c r="D68" s="55" t="n"/>
      <c r="E68" s="55" t="n"/>
      <c r="F68" s="55" t="n"/>
      <c r="G68" s="55" t="n"/>
      <c r="H68" s="55" t="n"/>
      <c r="I68" s="55" t="n"/>
      <c r="J68" s="55" t="n"/>
      <c r="K68" s="55" t="n"/>
      <c r="L68" s="56" t="n"/>
    </row>
    <row r="69" ht="14.25" customHeight="1" s="1">
      <c r="A69" s="28" t="inlineStr">
        <is>
          <t xml:space="preserve">   Inversiones a 20 años</t>
        </is>
      </c>
      <c r="B69" s="57">
        <f>100000*$P$5</f>
        <v/>
      </c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6" t="n"/>
    </row>
    <row r="70" ht="14.25" customHeight="1" s="1">
      <c r="A70" s="28" t="inlineStr">
        <is>
          <t xml:space="preserve">  Inversiones a 10 años</t>
        </is>
      </c>
      <c r="B70" s="57">
        <f>(3000000+200000+450000+50000)*$P$5</f>
        <v/>
      </c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6" t="n"/>
    </row>
    <row r="71" ht="14.25" customHeight="1" s="1">
      <c r="A71" s="28" t="inlineStr">
        <is>
          <t xml:space="preserve">  Inversiones a 5 años</t>
        </is>
      </c>
      <c r="B71" s="57">
        <f>(300000+100000)*$P$5</f>
        <v/>
      </c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6" t="n"/>
    </row>
    <row r="72" ht="14.25" customHeight="1" s="1">
      <c r="A72" s="28" t="inlineStr">
        <is>
          <t xml:space="preserve">  Inversion terrenos</t>
        </is>
      </c>
      <c r="B72" s="57">
        <f>750000*$P$5</f>
        <v/>
      </c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6" t="n"/>
    </row>
    <row r="73" ht="14.25" customHeight="1" s="1">
      <c r="A73" s="47" t="inlineStr">
        <is>
          <t>Gastos Pre-operativos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6" t="n"/>
    </row>
    <row r="74" ht="14.25" customHeight="1" s="1">
      <c r="A74" s="28" t="inlineStr">
        <is>
          <t xml:space="preserve">  Gastos puesta en marcha</t>
        </is>
      </c>
      <c r="B74" s="57" t="n">
        <v>0</v>
      </c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6" t="n"/>
    </row>
    <row r="75" ht="14.25" customHeight="1" s="1">
      <c r="A75" s="47" t="inlineStr">
        <is>
          <t>Capital de trabajo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6" t="n"/>
    </row>
    <row r="76" ht="14.25" customHeight="1" s="1">
      <c r="A76" s="28" t="inlineStr">
        <is>
          <t xml:space="preserve">   Capital de trabajo</t>
        </is>
      </c>
      <c r="B76" s="57">
        <f>B63</f>
        <v/>
      </c>
      <c r="C76" s="57">
        <f>C63</f>
        <v/>
      </c>
      <c r="D76" s="57">
        <f>D63</f>
        <v/>
      </c>
      <c r="E76" s="57">
        <f>E63</f>
        <v/>
      </c>
      <c r="F76" s="57">
        <f>F63</f>
        <v/>
      </c>
      <c r="G76" s="57">
        <f>G63</f>
        <v/>
      </c>
      <c r="H76" s="57">
        <f>H63</f>
        <v/>
      </c>
      <c r="I76" s="57">
        <f>I63</f>
        <v/>
      </c>
      <c r="J76" s="57">
        <f>J63</f>
        <v/>
      </c>
      <c r="K76" s="57">
        <f>K63</f>
        <v/>
      </c>
      <c r="L76" s="58">
        <f>L63</f>
        <v/>
      </c>
    </row>
    <row r="77" ht="15.75" customHeight="1" s="1">
      <c r="A77" s="40" t="inlineStr">
        <is>
          <t>Total Inversiones</t>
        </is>
      </c>
      <c r="B77" s="59">
        <f>SUM(B68:B76)</f>
        <v/>
      </c>
      <c r="C77" s="59">
        <f>SUM(C68:C76)</f>
        <v/>
      </c>
      <c r="D77" s="59">
        <f>SUM(D68:D76)</f>
        <v/>
      </c>
      <c r="E77" s="59">
        <f>SUM(E68:E76)</f>
        <v/>
      </c>
      <c r="F77" s="59">
        <f>SUM(F68:F76)</f>
        <v/>
      </c>
      <c r="G77" s="59">
        <f>SUM(G68:G76)</f>
        <v/>
      </c>
      <c r="H77" s="59">
        <f>SUM(H68:H76)</f>
        <v/>
      </c>
      <c r="I77" s="59">
        <f>SUM(I68:I76)</f>
        <v/>
      </c>
      <c r="J77" s="59">
        <f>SUM(J68:J76)</f>
        <v/>
      </c>
      <c r="K77" s="59">
        <f>SUM(K68:K76)</f>
        <v/>
      </c>
      <c r="L77" s="60">
        <f>SUM(L68:L76)</f>
        <v/>
      </c>
    </row>
    <row r="78" ht="14.25" customHeight="1" s="1">
      <c r="B78" s="21" t="n"/>
    </row>
    <row r="79" ht="14.25" customHeight="1" s="1">
      <c r="A79" s="22" t="inlineStr">
        <is>
          <t>6.  Depreciaciones y Amortizaciones</t>
        </is>
      </c>
      <c r="B79" s="24" t="n"/>
    </row>
    <row r="80" ht="15.75" customHeight="1" s="1">
      <c r="A80" s="23" t="inlineStr">
        <is>
          <t>Calendario de Depreciaciones y Amortizaciones</t>
        </is>
      </c>
      <c r="B80" s="24" t="n"/>
    </row>
    <row r="81" ht="14.25" customHeight="1" s="1">
      <c r="A81" s="161" t="inlineStr">
        <is>
          <t>Concepto</t>
        </is>
      </c>
      <c r="B81" s="26" t="inlineStr">
        <is>
          <t>Año 0</t>
        </is>
      </c>
      <c r="C81" s="26" t="inlineStr">
        <is>
          <t>Año 1</t>
        </is>
      </c>
      <c r="D81" s="26" t="inlineStr">
        <is>
          <t>Año 2</t>
        </is>
      </c>
      <c r="E81" s="26" t="inlineStr">
        <is>
          <t>Año 3</t>
        </is>
      </c>
      <c r="F81" s="26" t="inlineStr">
        <is>
          <t>Año 4</t>
        </is>
      </c>
      <c r="G81" s="26" t="inlineStr">
        <is>
          <t>Año 5</t>
        </is>
      </c>
      <c r="H81" s="26" t="inlineStr">
        <is>
          <t>Año 6</t>
        </is>
      </c>
      <c r="I81" s="26" t="inlineStr">
        <is>
          <t>Año 7</t>
        </is>
      </c>
      <c r="J81" s="26" t="inlineStr">
        <is>
          <t>Año 8</t>
        </is>
      </c>
      <c r="K81" s="26" t="inlineStr">
        <is>
          <t>Año 9</t>
        </is>
      </c>
      <c r="L81" s="27" t="inlineStr">
        <is>
          <t>Año 10</t>
        </is>
      </c>
      <c r="R81" s="61" t="inlineStr">
        <is>
          <t>Inversión</t>
        </is>
      </c>
      <c r="S81" s="62" t="inlineStr">
        <is>
          <t>Valor Activo</t>
        </is>
      </c>
      <c r="T81" s="62" t="inlineStr">
        <is>
          <t>Valor residual</t>
        </is>
      </c>
      <c r="U81" s="62" t="inlineStr">
        <is>
          <t>Vida útil</t>
        </is>
      </c>
      <c r="V81" s="62" t="inlineStr">
        <is>
          <t>Dep. Anual</t>
        </is>
      </c>
    </row>
    <row r="82" ht="14.25" customHeight="1" s="1">
      <c r="A82" s="28" t="inlineStr">
        <is>
          <t>Inversiones a 20 años</t>
        </is>
      </c>
      <c r="B82" s="55" t="n"/>
      <c r="C82" s="57">
        <f>$V$82</f>
        <v/>
      </c>
      <c r="D82" s="57">
        <f>$V$82</f>
        <v/>
      </c>
      <c r="E82" s="57">
        <f>$V$82</f>
        <v/>
      </c>
      <c r="F82" s="57">
        <f>$V$82</f>
        <v/>
      </c>
      <c r="G82" s="57">
        <f>$V$82</f>
        <v/>
      </c>
      <c r="H82" s="57">
        <f>$V$82</f>
        <v/>
      </c>
      <c r="I82" s="57">
        <f>$V$82</f>
        <v/>
      </c>
      <c r="J82" s="57">
        <f>$V$82</f>
        <v/>
      </c>
      <c r="K82" s="57">
        <f>$V$82</f>
        <v/>
      </c>
      <c r="L82" s="57">
        <f>$V$82</f>
        <v/>
      </c>
      <c r="R82" s="63" t="inlineStr">
        <is>
          <t>Edificio</t>
        </is>
      </c>
      <c r="S82" s="15">
        <f>B69</f>
        <v/>
      </c>
      <c r="T82" s="64" t="n">
        <v>50000</v>
      </c>
      <c r="U82" s="65" t="n">
        <v>20</v>
      </c>
      <c r="V82" s="15">
        <f>(S82-T82)/U82</f>
        <v/>
      </c>
    </row>
    <row r="83" ht="14.25" customHeight="1" s="1">
      <c r="A83" s="28" t="inlineStr">
        <is>
          <t>Inversiones a 10 años</t>
        </is>
      </c>
      <c r="B83" s="55" t="n"/>
      <c r="C83" s="57">
        <f>$V$83+$V$84</f>
        <v/>
      </c>
      <c r="D83" s="57">
        <f>$V$83+$V$84</f>
        <v/>
      </c>
      <c r="E83" s="57">
        <f>$V$83+$V$84</f>
        <v/>
      </c>
      <c r="F83" s="57">
        <f>$V$83+$V$84</f>
        <v/>
      </c>
      <c r="G83" s="57">
        <f>$V$83+$V$84</f>
        <v/>
      </c>
      <c r="H83" s="57">
        <f>$V$83+$V$84</f>
        <v/>
      </c>
      <c r="I83" s="57">
        <f>$V$83+$V$84</f>
        <v/>
      </c>
      <c r="J83" s="57">
        <f>$V$83+$V$84</f>
        <v/>
      </c>
      <c r="K83" s="57">
        <f>$V$83+$V$84</f>
        <v/>
      </c>
      <c r="L83" s="57">
        <f>$V$83+$V$84</f>
        <v/>
      </c>
      <c r="R83" s="63" t="inlineStr">
        <is>
          <t>Estanque y canales</t>
        </is>
      </c>
      <c r="S83" s="15">
        <f>3000000*$P$5</f>
        <v/>
      </c>
      <c r="T83" s="64" t="n">
        <v>1000000</v>
      </c>
      <c r="U83" s="66" t="n">
        <v>10</v>
      </c>
      <c r="V83" s="15">
        <f>(S83-T83)/U83</f>
        <v/>
      </c>
    </row>
    <row r="84" ht="14.25" customHeight="1" s="1">
      <c r="A84" s="28" t="inlineStr">
        <is>
          <t>Inversiones a 5 años</t>
        </is>
      </c>
      <c r="B84" s="55" t="n"/>
      <c r="C84" s="57">
        <f>$V$85</f>
        <v/>
      </c>
      <c r="D84" s="57">
        <f>$V$85</f>
        <v/>
      </c>
      <c r="E84" s="57">
        <f>$V$85</f>
        <v/>
      </c>
      <c r="F84" s="57">
        <f>$V$85</f>
        <v/>
      </c>
      <c r="G84" s="57">
        <f>$V$85</f>
        <v/>
      </c>
      <c r="H84" s="57" t="n">
        <v>0</v>
      </c>
      <c r="I84" s="57" t="n">
        <v>0</v>
      </c>
      <c r="J84" s="57" t="n">
        <v>0</v>
      </c>
      <c r="K84" s="57" t="n">
        <v>0</v>
      </c>
      <c r="L84" s="57" t="n">
        <v>0</v>
      </c>
      <c r="R84" s="63" t="inlineStr">
        <is>
          <t>Maq &amp; Equipo</t>
        </is>
      </c>
      <c r="S84" s="67">
        <f>B70-S83</f>
        <v/>
      </c>
      <c r="T84" s="63" t="n">
        <v>0</v>
      </c>
      <c r="U84" s="65" t="n">
        <v>10</v>
      </c>
      <c r="V84" s="15">
        <f>(S84-T84)/U84</f>
        <v/>
      </c>
    </row>
    <row r="85" ht="14.25" customHeight="1" s="1">
      <c r="A85" s="68" t="inlineStr">
        <is>
          <t>Total Depreciación</t>
        </is>
      </c>
      <c r="B85" s="69" t="n"/>
      <c r="C85" s="70">
        <f>SUM(C82:C84)</f>
        <v/>
      </c>
      <c r="D85" s="70">
        <f>SUM(D82:D84)</f>
        <v/>
      </c>
      <c r="E85" s="70">
        <f>SUM(E82:E84)</f>
        <v/>
      </c>
      <c r="F85" s="70">
        <f>SUM(F82:F84)</f>
        <v/>
      </c>
      <c r="G85" s="70">
        <f>SUM(G82:G84)</f>
        <v/>
      </c>
      <c r="H85" s="70">
        <f>SUM(H82:H84)</f>
        <v/>
      </c>
      <c r="I85" s="70">
        <f>SUM(I82:I84)</f>
        <v/>
      </c>
      <c r="J85" s="70">
        <f>SUM(J82:J84)</f>
        <v/>
      </c>
      <c r="K85" s="70">
        <f>SUM(K82:K84)</f>
        <v/>
      </c>
      <c r="L85" s="70">
        <f>SUM(L82:L84)</f>
        <v/>
      </c>
      <c r="R85" s="63" t="inlineStr">
        <is>
          <t>Vehículos y embarcaciones</t>
        </is>
      </c>
      <c r="S85" s="15">
        <f>B71</f>
        <v/>
      </c>
      <c r="T85" s="64" t="n">
        <v>0</v>
      </c>
      <c r="U85" s="66" t="n">
        <v>5</v>
      </c>
      <c r="V85" s="15">
        <f>(S85-T85)/U85</f>
        <v/>
      </c>
    </row>
    <row r="86" ht="14.25" customHeight="1" s="1">
      <c r="A86" s="71" t="n"/>
      <c r="B86" s="55" t="n"/>
      <c r="C86" s="55" t="n"/>
      <c r="D86" s="55" t="n"/>
      <c r="E86" s="55" t="n"/>
      <c r="F86" s="55" t="n"/>
      <c r="G86" s="55" t="n"/>
      <c r="H86" s="55" t="n"/>
      <c r="I86" s="55" t="n"/>
      <c r="J86" s="55" t="n"/>
      <c r="K86" s="55" t="n"/>
      <c r="L86" s="56" t="n"/>
      <c r="S86" s="72">
        <f>SUM(S82:S85)</f>
        <v/>
      </c>
    </row>
    <row r="87" ht="14.25" customHeight="1" s="1">
      <c r="A87" s="28" t="inlineStr">
        <is>
          <t>Amortización pre-operativos</t>
        </is>
      </c>
      <c r="B87" s="55" t="n"/>
      <c r="C87" s="57">
        <f>$B$74/10</f>
        <v/>
      </c>
      <c r="D87" s="57">
        <f>$B$74/10</f>
        <v/>
      </c>
      <c r="E87" s="57">
        <f>$B$74/10</f>
        <v/>
      </c>
      <c r="F87" s="57">
        <f>$B$74/10</f>
        <v/>
      </c>
      <c r="G87" s="57">
        <f>$B$74/10</f>
        <v/>
      </c>
      <c r="H87" s="57">
        <f>$B$74/10</f>
        <v/>
      </c>
      <c r="I87" s="57">
        <f>$B$74/10</f>
        <v/>
      </c>
      <c r="J87" s="57">
        <f>$B$74/10</f>
        <v/>
      </c>
      <c r="K87" s="57">
        <f>$B$74/10</f>
        <v/>
      </c>
      <c r="L87" s="73">
        <f>$B$74/10</f>
        <v/>
      </c>
      <c r="O87" s="74" t="n"/>
    </row>
    <row r="88" ht="15.75" customHeight="1" s="1">
      <c r="A88" s="40" t="inlineStr">
        <is>
          <t>Total Amortización</t>
        </is>
      </c>
      <c r="B88" s="75" t="n"/>
      <c r="C88" s="59">
        <f>SUM(C87)</f>
        <v/>
      </c>
      <c r="D88" s="59">
        <f>SUM(D87)</f>
        <v/>
      </c>
      <c r="E88" s="59">
        <f>SUM(E87)</f>
        <v/>
      </c>
      <c r="F88" s="59">
        <f>SUM(F87)</f>
        <v/>
      </c>
      <c r="G88" s="59">
        <f>SUM(G87)</f>
        <v/>
      </c>
      <c r="H88" s="59">
        <f>SUM(H87)</f>
        <v/>
      </c>
      <c r="I88" s="59">
        <f>SUM(I87)</f>
        <v/>
      </c>
      <c r="J88" s="59">
        <f>SUM(J87)</f>
        <v/>
      </c>
      <c r="K88" s="59">
        <f>SUM(K87)</f>
        <v/>
      </c>
      <c r="L88" s="60">
        <f>SUM(L87)</f>
        <v/>
      </c>
      <c r="O88" s="74" t="n"/>
    </row>
    <row r="89" ht="14.25" customHeight="1" s="1">
      <c r="B89" s="21" t="n"/>
    </row>
    <row r="90" ht="14.25" customHeight="1" s="1">
      <c r="A90" s="22" t="inlineStr">
        <is>
          <t>7. Valor de desecho del proyecto</t>
        </is>
      </c>
      <c r="B90" s="24" t="n"/>
    </row>
    <row r="91" ht="15.75" customHeight="1" s="1">
      <c r="A91" s="23" t="inlineStr">
        <is>
          <t>Clalculo del valor de desecho del proyecto (método contable)</t>
        </is>
      </c>
      <c r="B91" s="24" t="n"/>
    </row>
    <row r="92" ht="14.25" customHeight="1" s="1">
      <c r="A92" s="161" t="inlineStr">
        <is>
          <t>Concepto</t>
        </is>
      </c>
      <c r="B92" s="162" t="inlineStr">
        <is>
          <t>Valor del</t>
        </is>
      </c>
      <c r="C92" s="162" t="inlineStr">
        <is>
          <t>Depreciación por periodo</t>
        </is>
      </c>
      <c r="D92" s="170" t="n"/>
      <c r="E92" s="170" t="n"/>
      <c r="F92" s="170" t="n"/>
      <c r="G92" s="170" t="n"/>
      <c r="H92" s="170" t="n"/>
      <c r="I92" s="170" t="n"/>
      <c r="J92" s="170" t="n"/>
      <c r="K92" s="170" t="n"/>
      <c r="L92" s="171" t="n"/>
      <c r="M92" s="77" t="inlineStr">
        <is>
          <t>Valor de</t>
        </is>
      </c>
    </row>
    <row r="93" ht="14.25" customHeight="1" s="1">
      <c r="A93" s="172" t="n"/>
      <c r="B93" s="62" t="inlineStr">
        <is>
          <t>Activo</t>
        </is>
      </c>
      <c r="C93" s="78" t="inlineStr">
        <is>
          <t>Año 1</t>
        </is>
      </c>
      <c r="D93" s="78" t="inlineStr">
        <is>
          <t>Año 2</t>
        </is>
      </c>
      <c r="E93" s="78" t="inlineStr">
        <is>
          <t>Año 3</t>
        </is>
      </c>
      <c r="F93" s="78" t="inlineStr">
        <is>
          <t>Año 4</t>
        </is>
      </c>
      <c r="G93" s="78" t="inlineStr">
        <is>
          <t>Año 5</t>
        </is>
      </c>
      <c r="H93" s="78" t="inlineStr">
        <is>
          <t>Año 6</t>
        </is>
      </c>
      <c r="I93" s="78" t="inlineStr">
        <is>
          <t>Año 7</t>
        </is>
      </c>
      <c r="J93" s="78" t="inlineStr">
        <is>
          <t>Año 8</t>
        </is>
      </c>
      <c r="K93" s="78" t="inlineStr">
        <is>
          <t>Año 9</t>
        </is>
      </c>
      <c r="L93" s="78" t="inlineStr">
        <is>
          <t>Año 10</t>
        </is>
      </c>
      <c r="M93" s="79" t="inlineStr">
        <is>
          <t>Desecho</t>
        </is>
      </c>
    </row>
    <row r="94" ht="14.25" customHeight="1" s="1">
      <c r="A94" s="28" t="inlineStr">
        <is>
          <t>Inversiones a 20 años</t>
        </is>
      </c>
      <c r="B94" s="57">
        <f>B69</f>
        <v/>
      </c>
      <c r="C94" s="57">
        <f>C82</f>
        <v/>
      </c>
      <c r="D94" s="57">
        <f>D82</f>
        <v/>
      </c>
      <c r="E94" s="57">
        <f>E82</f>
        <v/>
      </c>
      <c r="F94" s="57">
        <f>F82</f>
        <v/>
      </c>
      <c r="G94" s="57">
        <f>G82</f>
        <v/>
      </c>
      <c r="H94" s="57">
        <f>H82</f>
        <v/>
      </c>
      <c r="I94" s="57">
        <f>I82</f>
        <v/>
      </c>
      <c r="J94" s="57">
        <f>J82</f>
        <v/>
      </c>
      <c r="K94" s="57">
        <f>K82</f>
        <v/>
      </c>
      <c r="L94" s="57">
        <f>L82</f>
        <v/>
      </c>
      <c r="M94" s="73">
        <f>B94-SUM(C94:L94)</f>
        <v/>
      </c>
    </row>
    <row r="95" ht="14.25" customHeight="1" s="1">
      <c r="A95" s="28" t="inlineStr">
        <is>
          <t>Inversiones a 10 años</t>
        </is>
      </c>
      <c r="B95" s="57">
        <f>B70</f>
        <v/>
      </c>
      <c r="C95" s="57">
        <f>C83</f>
        <v/>
      </c>
      <c r="D95" s="57">
        <f>D83</f>
        <v/>
      </c>
      <c r="E95" s="57">
        <f>E83</f>
        <v/>
      </c>
      <c r="F95" s="57">
        <f>F83</f>
        <v/>
      </c>
      <c r="G95" s="57">
        <f>G83</f>
        <v/>
      </c>
      <c r="H95" s="57">
        <f>H83</f>
        <v/>
      </c>
      <c r="I95" s="57">
        <f>I83</f>
        <v/>
      </c>
      <c r="J95" s="57">
        <f>J83</f>
        <v/>
      </c>
      <c r="K95" s="57">
        <f>K83</f>
        <v/>
      </c>
      <c r="L95" s="57">
        <f>L83</f>
        <v/>
      </c>
      <c r="M95" s="73">
        <f>B95-SUM(C95:L95)</f>
        <v/>
      </c>
    </row>
    <row r="96" ht="14.25" customHeight="1" s="1">
      <c r="A96" s="28" t="inlineStr">
        <is>
          <t>Inversiones a 5 años</t>
        </is>
      </c>
      <c r="B96" s="57">
        <f>B71</f>
        <v/>
      </c>
      <c r="C96" s="57">
        <f>C84</f>
        <v/>
      </c>
      <c r="D96" s="57">
        <f>D84</f>
        <v/>
      </c>
      <c r="E96" s="57">
        <f>E84</f>
        <v/>
      </c>
      <c r="F96" s="57">
        <f>F84</f>
        <v/>
      </c>
      <c r="G96" s="57">
        <f>G84</f>
        <v/>
      </c>
      <c r="H96" s="57">
        <f>H84</f>
        <v/>
      </c>
      <c r="I96" s="57">
        <f>I84</f>
        <v/>
      </c>
      <c r="J96" s="57">
        <f>J84</f>
        <v/>
      </c>
      <c r="K96" s="57">
        <f>K84</f>
        <v/>
      </c>
      <c r="L96" s="57">
        <f>L84</f>
        <v/>
      </c>
      <c r="M96" s="73">
        <f>B96-SUM(C96:L96)</f>
        <v/>
      </c>
    </row>
    <row r="97" ht="15.75" customHeight="1" s="1">
      <c r="A97" s="80" t="inlineStr">
        <is>
          <t>Amortización pre-operativos</t>
        </is>
      </c>
      <c r="B97" s="81">
        <f>B74</f>
        <v/>
      </c>
      <c r="C97" s="81">
        <f>C87</f>
        <v/>
      </c>
      <c r="D97" s="81">
        <f>D87</f>
        <v/>
      </c>
      <c r="E97" s="81">
        <f>E87</f>
        <v/>
      </c>
      <c r="F97" s="81">
        <f>F87</f>
        <v/>
      </c>
      <c r="G97" s="81">
        <f>G87</f>
        <v/>
      </c>
      <c r="H97" s="81">
        <f>H87</f>
        <v/>
      </c>
      <c r="I97" s="81">
        <f>I87</f>
        <v/>
      </c>
      <c r="J97" s="81">
        <f>J87</f>
        <v/>
      </c>
      <c r="K97" s="81">
        <f>K87</f>
        <v/>
      </c>
      <c r="L97" s="81">
        <f>L87</f>
        <v/>
      </c>
      <c r="M97" s="82">
        <f>B97-SUM(C97:L97)</f>
        <v/>
      </c>
    </row>
    <row r="98" ht="15.75" customHeight="1" s="1">
      <c r="A98" s="163" t="inlineStr">
        <is>
          <t>Valor de desecho total</t>
        </is>
      </c>
      <c r="B98" s="173" t="n"/>
      <c r="C98" s="173" t="n"/>
      <c r="D98" s="173" t="n"/>
      <c r="E98" s="173" t="n"/>
      <c r="F98" s="173" t="n"/>
      <c r="G98" s="173" t="n"/>
      <c r="H98" s="173" t="n"/>
      <c r="I98" s="173" t="n"/>
      <c r="J98" s="173" t="n"/>
      <c r="K98" s="173" t="n"/>
      <c r="L98" s="174" t="n"/>
      <c r="M98" s="83">
        <f>SUM(M94:M97)</f>
        <v/>
      </c>
    </row>
    <row r="99" ht="14.25" customHeight="1" s="1">
      <c r="B99" s="21" t="n"/>
    </row>
    <row r="100" ht="14.25" customHeight="1" s="1">
      <c r="A100" s="22" t="inlineStr">
        <is>
          <t>8. Financiamiento</t>
        </is>
      </c>
      <c r="B100" s="24" t="n"/>
      <c r="J100" s="122" t="inlineStr">
        <is>
          <t>C =</t>
        </is>
      </c>
      <c r="K100" s="20">
        <f>B102</f>
        <v/>
      </c>
      <c r="L100" s="24" t="n"/>
    </row>
    <row r="101" ht="15.75" customHeight="1" s="1">
      <c r="A101" s="44" t="inlineStr">
        <is>
          <t>Cálculo del Financiamiento</t>
        </is>
      </c>
      <c r="B101" s="42" t="n"/>
      <c r="C101" s="43" t="n"/>
      <c r="D101" s="43" t="n"/>
      <c r="E101" s="43" t="n"/>
      <c r="J101" s="122" t="inlineStr">
        <is>
          <t xml:space="preserve">i* = </t>
        </is>
      </c>
      <c r="K101" s="123">
        <f>B103</f>
        <v/>
      </c>
      <c r="L101" s="24" t="n"/>
    </row>
    <row r="102" ht="14.25" customHeight="1" s="1">
      <c r="A102" s="84" t="inlineStr">
        <is>
          <t>Financiamiento bancario (valor)</t>
        </is>
      </c>
      <c r="B102" s="85">
        <f>B77*E102</f>
        <v/>
      </c>
      <c r="C102" s="86" t="n"/>
      <c r="D102" s="43" t="n"/>
      <c r="E102" s="87" t="n">
        <v>0.5</v>
      </c>
      <c r="J102" s="122" t="inlineStr">
        <is>
          <t>n =</t>
        </is>
      </c>
      <c r="K102" s="20" t="n">
        <v>5</v>
      </c>
      <c r="L102" s="20" t="inlineStr">
        <is>
          <t>Años</t>
        </is>
      </c>
    </row>
    <row r="103" ht="14.25" customHeight="1" s="1">
      <c r="A103" s="28" t="inlineStr">
        <is>
          <t>Financiamiento bancario (tasa)</t>
        </is>
      </c>
      <c r="B103" s="88">
        <f>B22</f>
        <v/>
      </c>
      <c r="C103" s="89" t="n"/>
      <c r="D103" s="43" t="n"/>
      <c r="E103" s="43" t="n"/>
      <c r="J103" s="122" t="inlineStr">
        <is>
          <t>i =</t>
        </is>
      </c>
      <c r="K103" s="124">
        <f>K101/(1-K101)</f>
        <v/>
      </c>
      <c r="L103" s="24" t="n"/>
    </row>
    <row r="104" ht="14.25" customHeight="1" s="1">
      <c r="A104" s="28" t="inlineStr">
        <is>
          <t>Financiamiento bancario (periodos)</t>
        </is>
      </c>
      <c r="B104" s="90" t="n">
        <v>7</v>
      </c>
      <c r="C104" s="91" t="inlineStr">
        <is>
          <t>años</t>
        </is>
      </c>
      <c r="D104" s="43" t="n"/>
      <c r="E104" s="43" t="n"/>
      <c r="J104" s="122" t="inlineStr">
        <is>
          <t>C* =</t>
        </is>
      </c>
      <c r="K104" s="20">
        <f>K100*(1-K101)</f>
        <v/>
      </c>
      <c r="L104" s="24" t="n"/>
    </row>
    <row r="105" ht="15.75" customHeight="1" s="1">
      <c r="A105" s="92" t="inlineStr">
        <is>
          <t>Modalidad</t>
        </is>
      </c>
      <c r="B105" s="159" t="inlineStr">
        <is>
          <t>Pagos exactos</t>
        </is>
      </c>
      <c r="C105" s="175" t="n"/>
      <c r="D105" s="43" t="n"/>
      <c r="E105" s="43" t="n"/>
      <c r="J105" s="122" t="inlineStr">
        <is>
          <t>A =</t>
        </is>
      </c>
      <c r="K105" s="20">
        <f>PMT(K103,K102,-K104)</f>
        <v/>
      </c>
      <c r="L105" s="24" t="n"/>
    </row>
    <row r="106" ht="15.75" customHeight="1" s="1">
      <c r="A106" s="43" t="n"/>
      <c r="B106" s="42" t="n"/>
      <c r="C106" s="43" t="n"/>
      <c r="D106" s="43" t="n"/>
      <c r="E106" s="125" t="n">
        <v>1</v>
      </c>
      <c r="F106" s="4" t="n">
        <v>2</v>
      </c>
      <c r="G106" s="4" t="n">
        <v>3</v>
      </c>
      <c r="H106" s="4" t="n">
        <v>4</v>
      </c>
      <c r="I106" s="4" t="n">
        <v>5</v>
      </c>
      <c r="L106" s="24" t="n"/>
    </row>
    <row r="107" ht="14.25" customHeight="1" s="1">
      <c r="A107" s="161" t="inlineStr">
        <is>
          <t>Concepto</t>
        </is>
      </c>
      <c r="B107" s="26" t="inlineStr">
        <is>
          <t>Año 0</t>
        </is>
      </c>
      <c r="C107" s="26" t="inlineStr">
        <is>
          <t>Año 1</t>
        </is>
      </c>
      <c r="D107" s="26" t="inlineStr">
        <is>
          <t>Año 2</t>
        </is>
      </c>
      <c r="E107" s="26" t="inlineStr">
        <is>
          <t>Año 3</t>
        </is>
      </c>
      <c r="F107" s="26" t="inlineStr">
        <is>
          <t>Año 4</t>
        </is>
      </c>
      <c r="G107" s="26" t="inlineStr">
        <is>
          <t>Año 5</t>
        </is>
      </c>
      <c r="H107" s="26" t="inlineStr">
        <is>
          <t>Año 6</t>
        </is>
      </c>
      <c r="I107" s="26" t="inlineStr">
        <is>
          <t>Año 7</t>
        </is>
      </c>
      <c r="L107" s="24" t="n"/>
    </row>
    <row r="108" ht="14.25" customHeight="1" s="1">
      <c r="A108" s="28" t="inlineStr">
        <is>
          <t xml:space="preserve">Saldo crédito </t>
        </is>
      </c>
      <c r="B108" s="57">
        <f>B102</f>
        <v/>
      </c>
      <c r="C108" s="57">
        <f>B108-C111</f>
        <v/>
      </c>
      <c r="D108" s="57">
        <f>C108-D111</f>
        <v/>
      </c>
      <c r="E108" s="57">
        <f>D108-E111</f>
        <v/>
      </c>
      <c r="F108" s="57">
        <f>E108-F111</f>
        <v/>
      </c>
      <c r="G108" s="57">
        <f>F108-G111</f>
        <v/>
      </c>
      <c r="H108" s="57">
        <f>G108-H111</f>
        <v/>
      </c>
      <c r="I108" s="57">
        <f>H108-I111</f>
        <v/>
      </c>
    </row>
    <row r="109" ht="14.25" customHeight="1" s="1">
      <c r="A109" s="28" t="inlineStr">
        <is>
          <t>Cuota mensual (anualidad)</t>
        </is>
      </c>
      <c r="B109" s="57">
        <f>B110</f>
        <v/>
      </c>
      <c r="C109" s="57">
        <f>C110</f>
        <v/>
      </c>
      <c r="D109" s="57">
        <f>D110</f>
        <v/>
      </c>
      <c r="E109" s="57">
        <f>$K$105</f>
        <v/>
      </c>
      <c r="F109" s="57">
        <f>$K$105</f>
        <v/>
      </c>
      <c r="G109" s="57">
        <f>$K$105</f>
        <v/>
      </c>
      <c r="H109" s="57">
        <f>$K$105</f>
        <v/>
      </c>
      <c r="I109" s="57">
        <f>$K$105</f>
        <v/>
      </c>
    </row>
    <row r="110" ht="14.25" customHeight="1" s="1">
      <c r="A110" s="28" t="inlineStr">
        <is>
          <t>Intereses</t>
        </is>
      </c>
      <c r="B110" s="57">
        <f>B108*$B$103</f>
        <v/>
      </c>
      <c r="C110" s="57">
        <f>B108*$B$103</f>
        <v/>
      </c>
      <c r="D110" s="57">
        <f>C108*$B$103</f>
        <v/>
      </c>
      <c r="E110" s="57">
        <f>E108*$B$103</f>
        <v/>
      </c>
      <c r="F110" s="57">
        <f>F108*$B$103</f>
        <v/>
      </c>
      <c r="G110" s="57">
        <f>G108*$B$103</f>
        <v/>
      </c>
      <c r="H110" s="57">
        <f>H108*$B$103</f>
        <v/>
      </c>
      <c r="I110" s="57">
        <f>I108*$B$103</f>
        <v/>
      </c>
    </row>
    <row r="111" ht="15.75" customHeight="1" s="1">
      <c r="A111" s="92" t="inlineStr">
        <is>
          <t>Abono a capital (amortización)</t>
        </is>
      </c>
      <c r="B111" s="93" t="n"/>
      <c r="C111" s="81">
        <f>C109-C110</f>
        <v/>
      </c>
      <c r="D111" s="81">
        <f>D109-D110</f>
        <v/>
      </c>
      <c r="E111" s="81">
        <f>((E109*(1-$K$101)^($K$102-E106)))</f>
        <v/>
      </c>
      <c r="F111" s="81">
        <f>((F109*(1-$K$101)^($K$102-F106)))</f>
        <v/>
      </c>
      <c r="G111" s="81">
        <f>((G109*(1-$K$101)^($K$102-G106)))</f>
        <v/>
      </c>
      <c r="H111" s="81">
        <f>((H109*(1-$K$101)^($K$102-H106)))</f>
        <v/>
      </c>
      <c r="I111" s="81">
        <f>((I109*(1-$K$101)^($K$102-I106)))</f>
        <v/>
      </c>
    </row>
    <row r="112" ht="14.25" customHeight="1" s="1">
      <c r="B112" s="21" t="n"/>
    </row>
    <row r="113" ht="14.25" customHeight="1" s="1">
      <c r="A113" s="22" t="inlineStr">
        <is>
          <t>9.Flujo de caja del proyecto</t>
        </is>
      </c>
      <c r="B113" s="24" t="n"/>
    </row>
    <row r="114" ht="15.75" customHeight="1" s="1">
      <c r="A114" s="4" t="inlineStr">
        <is>
          <t>Flujo de caja del proyecto (con) Financiamiento)</t>
        </is>
      </c>
      <c r="B114" s="24" t="n"/>
    </row>
    <row r="115" ht="14.25" customHeight="1" s="1">
      <c r="A115" s="161" t="inlineStr">
        <is>
          <t>Concepto</t>
        </is>
      </c>
      <c r="B115" s="26" t="inlineStr">
        <is>
          <t>Año 0</t>
        </is>
      </c>
      <c r="C115" s="26" t="inlineStr">
        <is>
          <t>Año 1</t>
        </is>
      </c>
      <c r="D115" s="26" t="inlineStr">
        <is>
          <t>Año 2</t>
        </is>
      </c>
      <c r="E115" s="26" t="inlineStr">
        <is>
          <t>Año 3</t>
        </is>
      </c>
      <c r="F115" s="26" t="inlineStr">
        <is>
          <t>Año 4</t>
        </is>
      </c>
      <c r="G115" s="26" t="inlineStr">
        <is>
          <t>Año 5</t>
        </is>
      </c>
      <c r="H115" s="26" t="inlineStr">
        <is>
          <t>Año 6</t>
        </is>
      </c>
      <c r="I115" s="26" t="inlineStr">
        <is>
          <t>Año 7</t>
        </is>
      </c>
      <c r="J115" s="26" t="inlineStr">
        <is>
          <t>Año 8</t>
        </is>
      </c>
      <c r="K115" s="26" t="inlineStr">
        <is>
          <t>Año 9</t>
        </is>
      </c>
      <c r="L115" s="27" t="inlineStr">
        <is>
          <t>Año 10</t>
        </is>
      </c>
    </row>
    <row r="116" ht="14.25" customHeight="1" s="1">
      <c r="A116" s="94" t="inlineStr">
        <is>
          <t>+ Ingreso por ventas</t>
        </is>
      </c>
      <c r="B116" s="95" t="n"/>
      <c r="C116" s="96">
        <f>C33</f>
        <v/>
      </c>
      <c r="D116" s="96">
        <f>D33</f>
        <v/>
      </c>
      <c r="E116" s="96">
        <f>E33</f>
        <v/>
      </c>
      <c r="F116" s="96">
        <f>F33</f>
        <v/>
      </c>
      <c r="G116" s="96">
        <f>G33</f>
        <v/>
      </c>
      <c r="H116" s="96">
        <f>H33</f>
        <v/>
      </c>
      <c r="I116" s="96">
        <f>I33</f>
        <v/>
      </c>
      <c r="J116" s="96">
        <f>J33</f>
        <v/>
      </c>
      <c r="K116" s="96">
        <f>K33</f>
        <v/>
      </c>
      <c r="L116" s="97">
        <f>L33</f>
        <v/>
      </c>
    </row>
    <row r="117" ht="14.25" customHeight="1" s="1">
      <c r="A117" s="98" t="inlineStr">
        <is>
          <t>Ingreso por venta del terreno</t>
        </is>
      </c>
      <c r="B117" s="95" t="n"/>
      <c r="C117" s="95" t="n"/>
      <c r="D117" s="95" t="n"/>
      <c r="E117" s="95" t="n"/>
      <c r="F117" s="95" t="n"/>
      <c r="G117" s="95" t="n"/>
      <c r="H117" s="95" t="n"/>
      <c r="I117" s="95" t="n"/>
      <c r="J117" s="95" t="n"/>
      <c r="K117" s="95" t="n"/>
      <c r="L117" s="97">
        <f>B19</f>
        <v/>
      </c>
    </row>
    <row r="118" ht="14.25" customHeight="1" s="1">
      <c r="A118" s="94" t="inlineStr">
        <is>
          <t>- Egresos deducibles de impuestos</t>
        </is>
      </c>
      <c r="B118" s="96">
        <f>SUM(B119:B121)</f>
        <v/>
      </c>
      <c r="C118" s="96">
        <f>SUM(C119:C121)</f>
        <v/>
      </c>
      <c r="D118" s="96">
        <f>SUM(D119:D121)</f>
        <v/>
      </c>
      <c r="E118" s="96">
        <f>SUM(E119:E121)</f>
        <v/>
      </c>
      <c r="F118" s="96">
        <f>SUM(F119:F121)</f>
        <v/>
      </c>
      <c r="G118" s="96">
        <f>SUM(G119:G121)</f>
        <v/>
      </c>
      <c r="H118" s="96">
        <f>SUM(H119:H121)</f>
        <v/>
      </c>
      <c r="I118" s="96">
        <f>SUM(I119:I121)</f>
        <v/>
      </c>
      <c r="J118" s="96">
        <f>SUM(J119:J121)</f>
        <v/>
      </c>
      <c r="K118" s="96">
        <f>SUM(K119:K121)</f>
        <v/>
      </c>
      <c r="L118" s="97">
        <f>SUM(L119:L121)</f>
        <v/>
      </c>
    </row>
    <row r="119" ht="14.25" customHeight="1" s="1">
      <c r="A119" s="99" t="inlineStr">
        <is>
          <t xml:space="preserve">     Costos variables</t>
        </is>
      </c>
      <c r="B119" s="100" t="n"/>
      <c r="C119" s="15">
        <f>C39</f>
        <v/>
      </c>
      <c r="D119" s="15">
        <f>D39</f>
        <v/>
      </c>
      <c r="E119" s="15">
        <f>E39</f>
        <v/>
      </c>
      <c r="F119" s="15">
        <f>F39</f>
        <v/>
      </c>
      <c r="G119" s="15">
        <f>G39</f>
        <v/>
      </c>
      <c r="H119" s="15">
        <f>H39</f>
        <v/>
      </c>
      <c r="I119" s="15">
        <f>I39</f>
        <v/>
      </c>
      <c r="J119" s="15">
        <f>J39</f>
        <v/>
      </c>
      <c r="K119" s="15">
        <f>K39</f>
        <v/>
      </c>
      <c r="L119" s="101">
        <f>L39</f>
        <v/>
      </c>
    </row>
    <row r="120" ht="14.25" customHeight="1" s="1">
      <c r="A120" s="99" t="inlineStr">
        <is>
          <t xml:space="preserve">     Costos Fijos</t>
        </is>
      </c>
      <c r="B120" s="100" t="n"/>
      <c r="C120" s="15">
        <f>C46</f>
        <v/>
      </c>
      <c r="D120" s="15">
        <f>D46</f>
        <v/>
      </c>
      <c r="E120" s="15">
        <f>E46</f>
        <v/>
      </c>
      <c r="F120" s="15">
        <f>F46</f>
        <v/>
      </c>
      <c r="G120" s="15">
        <f>G46</f>
        <v/>
      </c>
      <c r="H120" s="15">
        <f>H46</f>
        <v/>
      </c>
      <c r="I120" s="15">
        <f>I46</f>
        <v/>
      </c>
      <c r="J120" s="15">
        <f>J46</f>
        <v/>
      </c>
      <c r="K120" s="15">
        <f>K46</f>
        <v/>
      </c>
      <c r="L120" s="101">
        <f>L46</f>
        <v/>
      </c>
    </row>
    <row r="121" ht="14.25" customHeight="1" s="1">
      <c r="A121" s="99" t="inlineStr">
        <is>
          <t xml:space="preserve">     Gastos financieros</t>
        </is>
      </c>
      <c r="B121" s="15">
        <f>B110</f>
        <v/>
      </c>
      <c r="C121" s="15">
        <f>C110</f>
        <v/>
      </c>
      <c r="D121" s="15">
        <f>D110</f>
        <v/>
      </c>
      <c r="E121" s="15">
        <f>E110</f>
        <v/>
      </c>
      <c r="F121" s="15">
        <f>F110</f>
        <v/>
      </c>
      <c r="G121" s="15">
        <f>G110</f>
        <v/>
      </c>
      <c r="H121" s="15">
        <f>H110</f>
        <v/>
      </c>
      <c r="I121" s="15">
        <f>I110</f>
        <v/>
      </c>
      <c r="J121" s="15">
        <f>J110</f>
        <v/>
      </c>
      <c r="K121" s="15">
        <f>K110</f>
        <v/>
      </c>
      <c r="L121" s="101">
        <f>L110</f>
        <v/>
      </c>
    </row>
    <row r="122" ht="14.25" customHeight="1" s="1">
      <c r="A122" s="94" t="inlineStr">
        <is>
          <t>- Gastos no desembolsables</t>
        </is>
      </c>
      <c r="B122" s="95" t="n"/>
      <c r="C122" s="96">
        <f>SUM(C123:C124)</f>
        <v/>
      </c>
      <c r="D122" s="96">
        <f>SUM(D123:D124)</f>
        <v/>
      </c>
      <c r="E122" s="96">
        <f>SUM(E123:E124)</f>
        <v/>
      </c>
      <c r="F122" s="96">
        <f>SUM(F123:F124)</f>
        <v/>
      </c>
      <c r="G122" s="96">
        <f>SUM(G123:G124)</f>
        <v/>
      </c>
      <c r="H122" s="96">
        <f>SUM(H123:H124)</f>
        <v/>
      </c>
      <c r="I122" s="96">
        <f>SUM(I123:I124)</f>
        <v/>
      </c>
      <c r="J122" s="96">
        <f>SUM(J123:J124)</f>
        <v/>
      </c>
      <c r="K122" s="96">
        <f>SUM(K123:K124)</f>
        <v/>
      </c>
      <c r="L122" s="97">
        <f>SUM(L123:L124)</f>
        <v/>
      </c>
    </row>
    <row r="123" ht="14.25" customHeight="1" s="1">
      <c r="A123" s="99" t="inlineStr">
        <is>
          <t xml:space="preserve">     Depreciación de activos</t>
        </is>
      </c>
      <c r="B123" s="100" t="n"/>
      <c r="C123" s="15">
        <f>C85</f>
        <v/>
      </c>
      <c r="D123" s="15">
        <f>D85</f>
        <v/>
      </c>
      <c r="E123" s="15">
        <f>E85</f>
        <v/>
      </c>
      <c r="F123" s="15">
        <f>F85</f>
        <v/>
      </c>
      <c r="G123" s="15">
        <f>G85</f>
        <v/>
      </c>
      <c r="H123" s="15">
        <f>H85</f>
        <v/>
      </c>
      <c r="I123" s="15">
        <f>I85</f>
        <v/>
      </c>
      <c r="J123" s="15">
        <f>J85</f>
        <v/>
      </c>
      <c r="K123" s="15">
        <f>K85</f>
        <v/>
      </c>
      <c r="L123" s="101">
        <f>L85</f>
        <v/>
      </c>
    </row>
    <row r="124" ht="14.25" customHeight="1" s="1">
      <c r="A124" s="99" t="inlineStr">
        <is>
          <t xml:space="preserve">     Amortización de pre-operativos</t>
        </is>
      </c>
      <c r="B124" s="100" t="n"/>
      <c r="C124" s="15">
        <f>C87</f>
        <v/>
      </c>
      <c r="D124" s="15">
        <f>D87</f>
        <v/>
      </c>
      <c r="E124" s="15">
        <f>E87</f>
        <v/>
      </c>
      <c r="F124" s="15">
        <f>F87</f>
        <v/>
      </c>
      <c r="G124" s="15">
        <f>G87</f>
        <v/>
      </c>
      <c r="H124" s="15">
        <f>H87</f>
        <v/>
      </c>
      <c r="I124" s="15">
        <f>I87</f>
        <v/>
      </c>
      <c r="J124" s="15">
        <f>J87</f>
        <v/>
      </c>
      <c r="K124" s="15">
        <f>K87</f>
        <v/>
      </c>
      <c r="L124" s="101">
        <f>L87</f>
        <v/>
      </c>
    </row>
    <row r="125" ht="14.25" customHeight="1" s="1">
      <c r="A125" s="94" t="inlineStr">
        <is>
          <t>= Utilidad antes de impuestos</t>
        </is>
      </c>
      <c r="B125" s="96">
        <f>B116+B117-B118-B122</f>
        <v/>
      </c>
      <c r="C125" s="96">
        <f>C116+C117-C118-C122</f>
        <v/>
      </c>
      <c r="D125" s="96">
        <f>D116+D117-D118-D122</f>
        <v/>
      </c>
      <c r="E125" s="96">
        <f>E116+E117-E118-E122</f>
        <v/>
      </c>
      <c r="F125" s="96">
        <f>F116+F117-F118-F122</f>
        <v/>
      </c>
      <c r="G125" s="96">
        <f>G116+G117-G118-G122</f>
        <v/>
      </c>
      <c r="H125" s="96">
        <f>H116+H117-H118-H122</f>
        <v/>
      </c>
      <c r="I125" s="96">
        <f>I116+I117-I118-I122</f>
        <v/>
      </c>
      <c r="J125" s="96">
        <f>J116+J117-J118-J122</f>
        <v/>
      </c>
      <c r="K125" s="96">
        <f>K116+K117-K118-K122</f>
        <v/>
      </c>
      <c r="L125" s="96">
        <f>L116+L117-L118-L122</f>
        <v/>
      </c>
    </row>
    <row r="126" ht="14.25" customHeight="1" s="1">
      <c r="A126" s="99" t="inlineStr">
        <is>
          <t>- Impuestos (30%)</t>
        </is>
      </c>
      <c r="B126" s="100" t="n"/>
      <c r="C126" s="10">
        <f>C125*$B$26</f>
        <v/>
      </c>
      <c r="D126" s="15">
        <f>D125*$B$26</f>
        <v/>
      </c>
      <c r="E126" s="15">
        <f>E125*$B$26</f>
        <v/>
      </c>
      <c r="F126" s="15">
        <f>F125*$B$26</f>
        <v/>
      </c>
      <c r="G126" s="15">
        <f>G125*$B$26</f>
        <v/>
      </c>
      <c r="H126" s="15">
        <f>H125*$B$26</f>
        <v/>
      </c>
      <c r="I126" s="15">
        <f>I125*$B$26</f>
        <v/>
      </c>
      <c r="J126" s="15">
        <f>J125*$B$26</f>
        <v/>
      </c>
      <c r="K126" s="15">
        <f>K125*$B$26</f>
        <v/>
      </c>
      <c r="L126" s="101">
        <f>L125*$B$26</f>
        <v/>
      </c>
    </row>
    <row r="127" ht="14.25" customHeight="1" s="1">
      <c r="A127" s="94" t="inlineStr">
        <is>
          <t>= Utilidad después de impuestos</t>
        </is>
      </c>
      <c r="B127" s="96">
        <f>B125-B126</f>
        <v/>
      </c>
      <c r="C127" s="96">
        <f>C125-C126</f>
        <v/>
      </c>
      <c r="D127" s="96">
        <f>D125-D126</f>
        <v/>
      </c>
      <c r="E127" s="96">
        <f>E125-E126</f>
        <v/>
      </c>
      <c r="F127" s="96">
        <f>F125-F126</f>
        <v/>
      </c>
      <c r="G127" s="96">
        <f>G125-G126</f>
        <v/>
      </c>
      <c r="H127" s="96">
        <f>H125-H126</f>
        <v/>
      </c>
      <c r="I127" s="96">
        <f>I125-I126</f>
        <v/>
      </c>
      <c r="J127" s="96">
        <f>J125-J126</f>
        <v/>
      </c>
      <c r="K127" s="96">
        <f>K125-K126</f>
        <v/>
      </c>
      <c r="L127" s="97">
        <f>L125-L126</f>
        <v/>
      </c>
    </row>
    <row r="128" ht="14.25" customHeight="1" s="1">
      <c r="A128" s="98" t="inlineStr">
        <is>
          <t>+ Gastos no desembolsables</t>
        </is>
      </c>
      <c r="B128" s="95" t="n"/>
      <c r="C128" s="96">
        <f>SUM(C129:C130)</f>
        <v/>
      </c>
      <c r="D128" s="96">
        <f>SUM(D129:D130)</f>
        <v/>
      </c>
      <c r="E128" s="96">
        <f>SUM(E129:E130)</f>
        <v/>
      </c>
      <c r="F128" s="96">
        <f>SUM(F129:F130)</f>
        <v/>
      </c>
      <c r="G128" s="96">
        <f>SUM(G129:G130)</f>
        <v/>
      </c>
      <c r="H128" s="96">
        <f>SUM(H129:H130)</f>
        <v/>
      </c>
      <c r="I128" s="96">
        <f>SUM(I129:I130)</f>
        <v/>
      </c>
      <c r="J128" s="96">
        <f>SUM(J129:J130)</f>
        <v/>
      </c>
      <c r="K128" s="96">
        <f>SUM(K129:K130)</f>
        <v/>
      </c>
      <c r="L128" s="97">
        <f>SUM(L129:L130)</f>
        <v/>
      </c>
    </row>
    <row r="129" ht="14.25" customHeight="1" s="1">
      <c r="A129" s="99" t="inlineStr">
        <is>
          <t xml:space="preserve">     Depreciación de activos</t>
        </is>
      </c>
      <c r="B129" s="100" t="n"/>
      <c r="C129" s="15">
        <f>C123</f>
        <v/>
      </c>
      <c r="D129" s="15">
        <f>D123</f>
        <v/>
      </c>
      <c r="E129" s="15">
        <f>E123</f>
        <v/>
      </c>
      <c r="F129" s="15">
        <f>F123</f>
        <v/>
      </c>
      <c r="G129" s="15">
        <f>G123</f>
        <v/>
      </c>
      <c r="H129" s="15">
        <f>H123</f>
        <v/>
      </c>
      <c r="I129" s="15">
        <f>I123</f>
        <v/>
      </c>
      <c r="J129" s="15">
        <f>J123</f>
        <v/>
      </c>
      <c r="K129" s="15">
        <f>K123</f>
        <v/>
      </c>
      <c r="L129" s="101">
        <f>L123</f>
        <v/>
      </c>
    </row>
    <row r="130" ht="14.25" customHeight="1" s="1">
      <c r="A130" s="99" t="inlineStr">
        <is>
          <t xml:space="preserve">     Amortización de pre-operativos</t>
        </is>
      </c>
      <c r="B130" s="100" t="n"/>
      <c r="C130" s="15">
        <f>C124</f>
        <v/>
      </c>
      <c r="D130" s="15">
        <f>D124</f>
        <v/>
      </c>
      <c r="E130" s="15">
        <f>E124</f>
        <v/>
      </c>
      <c r="F130" s="15">
        <f>F124</f>
        <v/>
      </c>
      <c r="G130" s="15">
        <f>G124</f>
        <v/>
      </c>
      <c r="H130" s="15">
        <f>H124</f>
        <v/>
      </c>
      <c r="I130" s="15">
        <f>I124</f>
        <v/>
      </c>
      <c r="J130" s="15">
        <f>J124</f>
        <v/>
      </c>
      <c r="K130" s="15">
        <f>K124</f>
        <v/>
      </c>
      <c r="L130" s="101">
        <f>L124</f>
        <v/>
      </c>
    </row>
    <row r="131" ht="14.25" customHeight="1" s="1">
      <c r="A131" s="94" t="inlineStr">
        <is>
          <t>+ Ingresos no sujetos a impuestos</t>
        </is>
      </c>
      <c r="B131" s="96">
        <f>SUM(B132:B134)</f>
        <v/>
      </c>
      <c r="C131" s="96">
        <f>SUM(C132:C134)</f>
        <v/>
      </c>
      <c r="D131" s="96">
        <f>SUM(D132:D134)</f>
        <v/>
      </c>
      <c r="E131" s="96">
        <f>SUM(E132:E134)</f>
        <v/>
      </c>
      <c r="F131" s="96">
        <f>SUM(F132:F134)</f>
        <v/>
      </c>
      <c r="G131" s="96">
        <f>SUM(G132:G134)</f>
        <v/>
      </c>
      <c r="H131" s="96">
        <f>SUM(H132:H134)</f>
        <v/>
      </c>
      <c r="I131" s="96">
        <f>SUM(I132:I134)</f>
        <v/>
      </c>
      <c r="J131" s="96">
        <f>SUM(J132:J134)</f>
        <v/>
      </c>
      <c r="K131" s="96">
        <f>SUM(K132:K134)</f>
        <v/>
      </c>
      <c r="L131" s="97">
        <f>SUM(L132:L134)</f>
        <v/>
      </c>
    </row>
    <row r="132" ht="14.25" customHeight="1" s="1">
      <c r="A132" s="99" t="inlineStr">
        <is>
          <t xml:space="preserve">     Valor de desecho</t>
        </is>
      </c>
      <c r="B132" s="100" t="n"/>
      <c r="C132" s="100" t="n"/>
      <c r="D132" s="100" t="n"/>
      <c r="E132" s="100" t="n"/>
      <c r="F132" s="100" t="n"/>
      <c r="G132" s="100" t="n"/>
      <c r="H132" s="100" t="n"/>
      <c r="I132" s="100" t="n"/>
      <c r="J132" s="100" t="n"/>
      <c r="K132" s="100" t="n"/>
      <c r="L132" s="101">
        <f>M98</f>
        <v/>
      </c>
    </row>
    <row r="133" ht="14.25" customHeight="1" s="1">
      <c r="A133" s="99" t="inlineStr">
        <is>
          <t xml:space="preserve">     Recuperación del capital de trabajo</t>
        </is>
      </c>
      <c r="B133" s="100" t="n"/>
      <c r="C133" s="100" t="n"/>
      <c r="D133" s="100" t="n"/>
      <c r="E133" s="100" t="n"/>
      <c r="F133" s="100" t="n"/>
      <c r="G133" s="100" t="n"/>
      <c r="H133" s="100" t="n"/>
      <c r="I133" s="100" t="n"/>
      <c r="J133" s="100" t="n"/>
      <c r="K133" s="100" t="n"/>
      <c r="L133" s="101">
        <f>-L77</f>
        <v/>
      </c>
    </row>
    <row r="134" ht="14.25" customHeight="1" s="1">
      <c r="A134" s="99" t="inlineStr">
        <is>
          <t xml:space="preserve">     Préstamo bancario</t>
        </is>
      </c>
      <c r="B134" s="15">
        <f>B102</f>
        <v/>
      </c>
      <c r="C134" s="100" t="n"/>
      <c r="D134" s="100" t="n"/>
      <c r="E134" s="100" t="n"/>
      <c r="F134" s="100" t="n"/>
      <c r="G134" s="100" t="n"/>
      <c r="H134" s="100" t="n"/>
      <c r="I134" s="100" t="n"/>
      <c r="J134" s="100" t="n"/>
      <c r="K134" s="100" t="n"/>
      <c r="L134" s="102" t="n"/>
    </row>
    <row r="135" ht="14.25" customHeight="1" s="1">
      <c r="A135" s="94" t="inlineStr">
        <is>
          <t>- Egresos no deducibles de impuestos</t>
        </is>
      </c>
      <c r="B135" s="96">
        <f>SUM(B136:B139)</f>
        <v/>
      </c>
      <c r="C135" s="96">
        <f>SUM(C136:C139)</f>
        <v/>
      </c>
      <c r="D135" s="96">
        <f>SUM(D136:D139)</f>
        <v/>
      </c>
      <c r="E135" s="96">
        <f>SUM(E136:E139)</f>
        <v/>
      </c>
      <c r="F135" s="96">
        <f>SUM(F136:F139)</f>
        <v/>
      </c>
      <c r="G135" s="96">
        <f>SUM(G136:G139)</f>
        <v/>
      </c>
      <c r="H135" s="96">
        <f>SUM(H136:H139)</f>
        <v/>
      </c>
      <c r="I135" s="96">
        <f>SUM(I136:I139)</f>
        <v/>
      </c>
      <c r="J135" s="96">
        <f>SUM(J136:J139)</f>
        <v/>
      </c>
      <c r="K135" s="96">
        <f>SUM(K136:K139)</f>
        <v/>
      </c>
      <c r="L135" s="97">
        <f>SUM(L136:L139)</f>
        <v/>
      </c>
    </row>
    <row r="136" ht="14.25" customHeight="1" s="1">
      <c r="A136" s="99" t="inlineStr">
        <is>
          <t xml:space="preserve">     Activos (inv. 20 años, 10 años, 5 años, terreno)</t>
        </is>
      </c>
      <c r="B136" s="96">
        <f>SUM(B69:B72)</f>
        <v/>
      </c>
      <c r="C136" s="95" t="n"/>
      <c r="D136" s="95" t="n"/>
      <c r="E136" s="95" t="n"/>
      <c r="F136" s="95" t="n"/>
      <c r="G136" s="96">
        <f>G69</f>
        <v/>
      </c>
      <c r="H136" s="95" t="n"/>
      <c r="I136" s="95" t="n"/>
      <c r="J136" s="95" t="n"/>
      <c r="K136" s="95" t="n"/>
      <c r="L136" s="103" t="n"/>
    </row>
    <row r="137" ht="14.25" customHeight="1" s="1">
      <c r="A137" s="99" t="inlineStr">
        <is>
          <t xml:space="preserve">     Gastos de puesta en marcha (pre-operativos)</t>
        </is>
      </c>
      <c r="B137" s="15">
        <f>B74</f>
        <v/>
      </c>
      <c r="C137" s="100" t="n"/>
      <c r="D137" s="100" t="n"/>
      <c r="E137" s="100" t="n"/>
      <c r="F137" s="100" t="n"/>
      <c r="G137" s="100" t="n"/>
      <c r="H137" s="100" t="n"/>
      <c r="I137" s="100" t="n"/>
      <c r="J137" s="100" t="n"/>
      <c r="K137" s="100" t="n"/>
      <c r="L137" s="102" t="n"/>
    </row>
    <row r="138" ht="14.25" customHeight="1" s="1">
      <c r="A138" s="99" t="inlineStr">
        <is>
          <t xml:space="preserve">     Inversión en capital de trabajo</t>
        </is>
      </c>
      <c r="B138" s="15">
        <f>B76</f>
        <v/>
      </c>
      <c r="C138" s="15">
        <f>C76</f>
        <v/>
      </c>
      <c r="D138" s="15">
        <f>D76</f>
        <v/>
      </c>
      <c r="E138" s="15">
        <f>E76</f>
        <v/>
      </c>
      <c r="F138" s="15">
        <f>F76</f>
        <v/>
      </c>
      <c r="G138" s="15">
        <f>G76</f>
        <v/>
      </c>
      <c r="H138" s="15">
        <f>H76</f>
        <v/>
      </c>
      <c r="I138" s="15">
        <f>I76</f>
        <v/>
      </c>
      <c r="J138" s="15">
        <f>J76</f>
        <v/>
      </c>
      <c r="K138" s="15">
        <f>K76</f>
        <v/>
      </c>
      <c r="L138" s="102" t="n"/>
    </row>
    <row r="139" ht="14.25" customHeight="1" s="1">
      <c r="A139" s="99" t="inlineStr">
        <is>
          <t xml:space="preserve">     Pago préstamo bancario</t>
        </is>
      </c>
      <c r="B139" s="100" t="n"/>
      <c r="C139" s="15">
        <f>C111</f>
        <v/>
      </c>
      <c r="D139" s="15">
        <f>D111</f>
        <v/>
      </c>
      <c r="E139" s="15">
        <f>E111</f>
        <v/>
      </c>
      <c r="F139" s="15">
        <f>F111</f>
        <v/>
      </c>
      <c r="G139" s="15">
        <f>G111</f>
        <v/>
      </c>
      <c r="H139" s="15">
        <f>H111</f>
        <v/>
      </c>
      <c r="I139" s="15">
        <f>I111</f>
        <v/>
      </c>
      <c r="J139" s="15">
        <f>J111</f>
        <v/>
      </c>
      <c r="K139" s="15">
        <f>K111</f>
        <v/>
      </c>
      <c r="L139" s="101">
        <f>L111</f>
        <v/>
      </c>
    </row>
    <row r="140" ht="14.25" customHeight="1" s="1">
      <c r="A140" s="104" t="inlineStr">
        <is>
          <t>= Flujo de caja</t>
        </is>
      </c>
      <c r="B140" s="53">
        <f>B127+B128+B131-B135</f>
        <v/>
      </c>
      <c r="C140" s="53">
        <f>C127+C128+C131-C135</f>
        <v/>
      </c>
      <c r="D140" s="53">
        <f>D127+D128+D131-D135</f>
        <v/>
      </c>
      <c r="E140" s="53">
        <f>E127+E128+E131-E135</f>
        <v/>
      </c>
      <c r="F140" s="53">
        <f>F127+F128+F131-F135</f>
        <v/>
      </c>
      <c r="G140" s="53">
        <f>G127+G128+G131-G135</f>
        <v/>
      </c>
      <c r="H140" s="53">
        <f>H127+H128+H131-H135</f>
        <v/>
      </c>
      <c r="I140" s="53">
        <f>I127+I128+I131-I135</f>
        <v/>
      </c>
      <c r="J140" s="53">
        <f>J127+J128+J131-J135</f>
        <v/>
      </c>
      <c r="K140" s="53">
        <f>K127+K128+K131-K135</f>
        <v/>
      </c>
      <c r="L140" s="53">
        <f>L127+L128+L131-L135</f>
        <v/>
      </c>
    </row>
    <row r="141" ht="14.25" customHeight="1" s="1">
      <c r="A141" s="146" t="inlineStr">
        <is>
          <t>Flujo de caja acumulado (PRI)</t>
        </is>
      </c>
    </row>
    <row r="142" ht="14.25" customHeight="1" s="1">
      <c r="A142" s="145" t="inlineStr">
        <is>
          <t xml:space="preserve">     Flujo acumulado</t>
        </is>
      </c>
      <c r="B142" s="53">
        <f>B140</f>
        <v/>
      </c>
      <c r="C142" s="53">
        <f>B142+C140</f>
        <v/>
      </c>
      <c r="D142" s="53">
        <f>C142+D140</f>
        <v/>
      </c>
      <c r="E142" s="53">
        <f>D142+E140</f>
        <v/>
      </c>
      <c r="F142" s="53">
        <f>E142+F140</f>
        <v/>
      </c>
      <c r="G142" s="53">
        <f>F142+G140</f>
        <v/>
      </c>
      <c r="H142" s="53">
        <f>G142+H140</f>
        <v/>
      </c>
      <c r="I142" s="53">
        <f>H142+I140</f>
        <v/>
      </c>
      <c r="J142" s="53">
        <f>I142+J140</f>
        <v/>
      </c>
      <c r="K142" s="53">
        <f>J142+K140</f>
        <v/>
      </c>
      <c r="L142" s="53">
        <f>K142+L140</f>
        <v/>
      </c>
    </row>
    <row r="143" ht="14.25" customHeight="1" s="1">
      <c r="A143" s="146" t="inlineStr">
        <is>
          <t>Flujo descontado acumulado (PRID)</t>
        </is>
      </c>
    </row>
    <row r="144" ht="14.25" customHeight="1" s="1">
      <c r="A144" s="145" t="inlineStr">
        <is>
          <t xml:space="preserve">     Flujo desc. acumulado</t>
        </is>
      </c>
      <c r="B144" s="53">
        <f>B140</f>
        <v/>
      </c>
      <c r="C144" s="53">
        <f>B144+C140/(1+E150)^1</f>
        <v/>
      </c>
      <c r="D144" s="53">
        <f>C144+D140/(1+E150)^2</f>
        <v/>
      </c>
      <c r="E144" s="53">
        <f>D144+E140/(1+E150)^3</f>
        <v/>
      </c>
      <c r="F144" s="53">
        <f>E144+F140/(1+E150)^4</f>
        <v/>
      </c>
      <c r="G144" s="53">
        <f>F144+G140/(1+E150)^5</f>
        <v/>
      </c>
      <c r="H144" s="53">
        <f>G144+H140/(1+E150)^6</f>
        <v/>
      </c>
      <c r="I144" s="53">
        <f>H144+I140/(1+E150)^7</f>
        <v/>
      </c>
      <c r="J144" s="53">
        <f>I144+J140/(1+E150)^8</f>
        <v/>
      </c>
      <c r="K144" s="53">
        <f>J144+K140/(1+E150)^9</f>
        <v/>
      </c>
      <c r="L144" s="53">
        <f>K144+L140/(1+E150)^10</f>
        <v/>
      </c>
    </row>
    <row r="145" ht="14.25" customHeight="1" s="1">
      <c r="B145" s="21" t="n"/>
      <c r="F145" s="106" t="n"/>
    </row>
    <row r="146" ht="14.25" customHeight="1" s="1">
      <c r="A146" s="22" t="inlineStr">
        <is>
          <t>10. Costo del capital</t>
        </is>
      </c>
    </row>
    <row r="147" ht="14.25" customHeight="1" s="1">
      <c r="B147" s="107" t="inlineStr">
        <is>
          <t>Participación ($)</t>
        </is>
      </c>
      <c r="C147" s="107" t="inlineStr">
        <is>
          <t>Participación (%)</t>
        </is>
      </c>
      <c r="D147" s="107" t="inlineStr">
        <is>
          <t>Costo</t>
        </is>
      </c>
      <c r="E147" s="107" t="inlineStr">
        <is>
          <t>Costo promedio</t>
        </is>
      </c>
    </row>
    <row r="148" ht="14.25" customHeight="1" s="1">
      <c r="A148" s="4" t="inlineStr">
        <is>
          <t>Préstamo bancario</t>
        </is>
      </c>
      <c r="B148" s="147">
        <f>B102</f>
        <v/>
      </c>
      <c r="C148" s="149">
        <f>E102</f>
        <v/>
      </c>
      <c r="D148" s="149">
        <f>B103*(1-B26)</f>
        <v/>
      </c>
      <c r="E148" s="149">
        <f>C148*D148</f>
        <v/>
      </c>
    </row>
    <row r="149" ht="18" customHeight="1" s="1">
      <c r="A149" s="4" t="inlineStr">
        <is>
          <t>Fondos propios</t>
        </is>
      </c>
      <c r="B149" s="148">
        <f>B77-B148</f>
        <v/>
      </c>
      <c r="C149" s="150">
        <f>1-C148</f>
        <v/>
      </c>
      <c r="D149" s="149">
        <f>B25</f>
        <v/>
      </c>
      <c r="E149" s="150">
        <f>C149*D149</f>
        <v/>
      </c>
    </row>
    <row r="150" ht="14.25" customHeight="1" s="1">
      <c r="B150" s="147">
        <f>B148+B149</f>
        <v/>
      </c>
      <c r="C150" s="149">
        <f>C148+C149</f>
        <v/>
      </c>
      <c r="D150" s="108" t="n"/>
      <c r="E150" s="149">
        <f>E148+E149</f>
        <v/>
      </c>
    </row>
    <row r="152" ht="14.25" customHeight="1" s="1">
      <c r="A152" s="22" t="inlineStr">
        <is>
          <t>11. Indicadores financieros</t>
        </is>
      </c>
    </row>
    <row r="153" ht="14.25" customHeight="1" s="1">
      <c r="A153" s="109" t="inlineStr">
        <is>
          <t>VAN(WACC) =</t>
        </is>
      </c>
      <c r="B153" s="110">
        <f>RiskOutput("VAN - Alemán")+NPV(E150,C140:L140)+B140</f>
        <v/>
      </c>
    </row>
    <row r="154" ht="14.25" customHeight="1" s="1">
      <c r="A154" s="109" t="inlineStr">
        <is>
          <t>TIR =</t>
        </is>
      </c>
      <c r="B154" s="151">
        <f>RiskOutput("TIR - Alemán")+IRR(B140:L140)</f>
        <v/>
      </c>
    </row>
    <row r="155" ht="14.25" customHeight="1" s="1">
      <c r="A155" s="109" t="inlineStr">
        <is>
          <t>PRI =</t>
        </is>
      </c>
      <c r="B155" s="112">
        <f>IFERROR(MATCH(1,INDEX((C142:L142&gt;=0)*1,0),0),"&gt;10")</f>
        <v/>
      </c>
    </row>
    <row r="156" ht="14.25" customHeight="1" s="1">
      <c r="A156" s="109" t="inlineStr">
        <is>
          <t>PRID =</t>
        </is>
      </c>
      <c r="B156" s="112">
        <f>IFERROR(MATCH(1,INDEX((C144:L144&gt;=0)*1,0),0),"&gt;10")</f>
        <v/>
      </c>
    </row>
    <row r="157" ht="14.25" customHeight="1" s="1">
      <c r="A157" s="109" t="inlineStr">
        <is>
          <t>ID =</t>
        </is>
      </c>
      <c r="B157" s="143">
        <f>(NPV(E150,C140:L140)+B140+ABS(B140))/ABS(B140)</f>
        <v/>
      </c>
    </row>
    <row r="158" ht="14.25" customHeight="1" s="1">
      <c r="B158" s="21" t="n"/>
    </row>
    <row r="159" ht="14.25" customHeight="1" s="1">
      <c r="B159" s="21" t="n"/>
    </row>
    <row r="160" ht="14.25" customHeight="1" s="1">
      <c r="A160" s="105" t="n"/>
      <c r="B160" s="113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</row>
    <row r="161" ht="14.25" customHeight="1" s="1">
      <c r="A161" s="105" t="n"/>
      <c r="B161" s="113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</row>
    <row r="162" ht="14.25" customHeight="1" s="1">
      <c r="A162" s="105" t="n"/>
      <c r="B162" s="113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</row>
    <row r="163" ht="14.25" customHeight="1" s="1">
      <c r="A163" s="105" t="n"/>
      <c r="B163" s="113" t="n"/>
      <c r="C163" s="115" t="n"/>
      <c r="D163" s="115" t="n"/>
      <c r="E163" s="115" t="n"/>
      <c r="F163" s="115" t="n"/>
      <c r="G163" s="115" t="n"/>
      <c r="H163" s="115" t="n"/>
      <c r="I163" s="115" t="n"/>
      <c r="J163" s="115" t="n"/>
      <c r="K163" s="115" t="n"/>
      <c r="L163" s="115" t="n"/>
    </row>
    <row r="164" ht="14.25" customHeight="1" s="1">
      <c r="B164" s="21" t="n"/>
    </row>
    <row r="165" ht="14.25" customHeight="1" s="1">
      <c r="B165" s="21" t="n"/>
    </row>
    <row r="166" ht="14.25" customHeight="1" s="1">
      <c r="B166" s="21" t="n"/>
    </row>
  </sheetData>
  <mergeCells count="9">
    <mergeCell ref="A50:H50"/>
    <mergeCell ref="N9:Q11"/>
    <mergeCell ref="A55:H55"/>
    <mergeCell ref="A98:L98"/>
    <mergeCell ref="A92:A93"/>
    <mergeCell ref="N3:Q3"/>
    <mergeCell ref="C92:L92"/>
    <mergeCell ref="D3:I3"/>
    <mergeCell ref="B105:C105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FFC000"/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6" customWidth="1" style="1" min="1" max="1"/>
    <col width="15" customWidth="1" style="1" min="2" max="2"/>
    <col width="15" customWidth="1" style="1" min="3" max="3"/>
    <col width="15" customWidth="1" style="1" min="4" max="4"/>
    <col width="15" customWidth="1" style="1" min="5" max="5"/>
    <col width="15" customWidth="1" style="1" min="6" max="6"/>
    <col width="15" customWidth="1" style="1" min="7" max="7"/>
    <col width="15" customWidth="1" style="1" min="8" max="8"/>
    <col width="15" customWidth="1" style="1" min="9" max="9"/>
    <col width="15" customWidth="1" style="1" min="10" max="10"/>
  </cols>
  <sheetData>
    <row r="1">
      <c r="A1" s="184" t="inlineStr">
        <is>
          <t>CAMARONERA INDUSTRIAL - RESUMEN DEL ANALISIS ESTOCASTICO (@RISK)</t>
        </is>
      </c>
    </row>
    <row r="2">
      <c r="A2" s="185" t="inlineStr">
        <is>
          <t>Fredy Valladares, Andrea Zambrano</t>
        </is>
      </c>
    </row>
    <row r="3">
      <c r="A3" s="186" t="inlineStr">
        <is>
          <t>Variables de incertidumbre: Inversion total (Uniforme -5%/+10%) - Precio FOB (Triangular 2.60/3.00/3.50) - Produccion neta (Triangular 80%/100%/110%). Los estadisticos se completan al ejecutar la simulacion en @RISK.</t>
        </is>
      </c>
    </row>
    <row r="5">
      <c r="A5" s="178" t="inlineStr">
        <is>
          <t>Escenario</t>
        </is>
      </c>
      <c r="B5" s="178" t="inlineStr">
        <is>
          <t>VAN media ($)</t>
        </is>
      </c>
      <c r="C5" s="178" t="inlineStr">
        <is>
          <t>VAN desv. est. ($)</t>
        </is>
      </c>
      <c r="D5" s="178" t="inlineStr">
        <is>
          <t>VAN minimo ($)</t>
        </is>
      </c>
      <c r="E5" s="178" t="inlineStr">
        <is>
          <t>VAN maximo ($)</t>
        </is>
      </c>
      <c r="F5" s="178" t="inlineStr">
        <is>
          <t>VAN P5 ($)</t>
        </is>
      </c>
      <c r="G5" s="178" t="inlineStr">
        <is>
          <t>VAN P95 ($)</t>
        </is>
      </c>
      <c r="H5" s="178" t="inlineStr">
        <is>
          <t>P(VAN&gt;0)</t>
        </is>
      </c>
      <c r="I5" s="178" t="inlineStr">
        <is>
          <t>TIR media (%)</t>
        </is>
      </c>
      <c r="J5" s="178" t="inlineStr">
        <is>
          <t>TIR P5 (%)</t>
        </is>
      </c>
    </row>
    <row r="6">
      <c r="A6" s="179" t="inlineStr">
        <is>
          <t>Sin Financiamiento</t>
        </is>
      </c>
      <c r="B6" s="187">
        <f>RiskMean('Estocástico Sin Financiamiento'!B153)</f>
        <v/>
      </c>
      <c r="C6" s="187">
        <f>RiskStdDev('Estocástico Sin Financiamiento'!B153)</f>
        <v/>
      </c>
      <c r="D6" s="187">
        <f>RiskMin('Estocástico Sin Financiamiento'!B153)</f>
        <v/>
      </c>
      <c r="E6" s="187">
        <f>RiskMax('Estocástico Sin Financiamiento'!B153)</f>
        <v/>
      </c>
      <c r="F6" s="187">
        <f>RiskPercentile('Estocástico Sin Financiamiento'!B153,0.05)</f>
        <v/>
      </c>
      <c r="G6" s="187">
        <f>RiskPercentile('Estocástico Sin Financiamiento'!B153,0.95)</f>
        <v/>
      </c>
      <c r="H6" s="188">
        <f>1-RiskTarget('Estocástico Sin Financiamiento'!B153,0)</f>
        <v/>
      </c>
      <c r="I6" s="188">
        <f>RiskMean('Estocástico Sin Financiamiento'!B154)</f>
        <v/>
      </c>
      <c r="J6" s="188">
        <f>RiskPercentile('Estocástico Sin Financiamiento'!B154,0.05)</f>
        <v/>
      </c>
    </row>
    <row r="7">
      <c r="A7" s="179" t="inlineStr">
        <is>
          <t>Francés</t>
        </is>
      </c>
      <c r="B7" s="187">
        <f>RiskMean('Estocástico Francés'!B153)</f>
        <v/>
      </c>
      <c r="C7" s="187">
        <f>RiskStdDev('Estocástico Francés'!B153)</f>
        <v/>
      </c>
      <c r="D7" s="187">
        <f>RiskMin('Estocástico Francés'!B153)</f>
        <v/>
      </c>
      <c r="E7" s="187">
        <f>RiskMax('Estocástico Francés'!B153)</f>
        <v/>
      </c>
      <c r="F7" s="187">
        <f>RiskPercentile('Estocástico Francés'!B153,0.05)</f>
        <v/>
      </c>
      <c r="G7" s="187">
        <f>RiskPercentile('Estocástico Francés'!B153,0.95)</f>
        <v/>
      </c>
      <c r="H7" s="188">
        <f>1-RiskTarget('Estocástico Francés'!B153,0)</f>
        <v/>
      </c>
      <c r="I7" s="188">
        <f>RiskMean('Estocástico Francés'!B154)</f>
        <v/>
      </c>
      <c r="J7" s="188">
        <f>RiskPercentile('Estocástico Francés'!B154,0.05)</f>
        <v/>
      </c>
    </row>
    <row r="8">
      <c r="A8" s="179" t="inlineStr">
        <is>
          <t>Americano</t>
        </is>
      </c>
      <c r="B8" s="187">
        <f>RiskMean('Estocástico Americano'!B153)</f>
        <v/>
      </c>
      <c r="C8" s="187">
        <f>RiskStdDev('Estocástico Americano'!B153)</f>
        <v/>
      </c>
      <c r="D8" s="187">
        <f>RiskMin('Estocástico Americano'!B153)</f>
        <v/>
      </c>
      <c r="E8" s="187">
        <f>RiskMax('Estocástico Americano'!B153)</f>
        <v/>
      </c>
      <c r="F8" s="187">
        <f>RiskPercentile('Estocástico Americano'!B153,0.05)</f>
        <v/>
      </c>
      <c r="G8" s="187">
        <f>RiskPercentile('Estocástico Americano'!B153,0.95)</f>
        <v/>
      </c>
      <c r="H8" s="188">
        <f>1-RiskTarget('Estocástico Americano'!B153,0)</f>
        <v/>
      </c>
      <c r="I8" s="188">
        <f>RiskMean('Estocástico Americano'!B154)</f>
        <v/>
      </c>
      <c r="J8" s="188">
        <f>RiskPercentile('Estocástico Americano'!B154,0.05)</f>
        <v/>
      </c>
    </row>
    <row r="9">
      <c r="A9" s="179" t="inlineStr">
        <is>
          <t>Italiano</t>
        </is>
      </c>
      <c r="B9" s="187">
        <f>RiskMean('Estocástico Italiano'!B153)</f>
        <v/>
      </c>
      <c r="C9" s="187">
        <f>RiskStdDev('Estocástico Italiano'!B153)</f>
        <v/>
      </c>
      <c r="D9" s="187">
        <f>RiskMin('Estocástico Italiano'!B153)</f>
        <v/>
      </c>
      <c r="E9" s="187">
        <f>RiskMax('Estocástico Italiano'!B153)</f>
        <v/>
      </c>
      <c r="F9" s="187">
        <f>RiskPercentile('Estocástico Italiano'!B153,0.05)</f>
        <v/>
      </c>
      <c r="G9" s="187">
        <f>RiskPercentile('Estocástico Italiano'!B153,0.95)</f>
        <v/>
      </c>
      <c r="H9" s="188">
        <f>1-RiskTarget('Estocástico Italiano'!B153,0)</f>
        <v/>
      </c>
      <c r="I9" s="188">
        <f>RiskMean('Estocástico Italiano'!B154)</f>
        <v/>
      </c>
      <c r="J9" s="188">
        <f>RiskPercentile('Estocástico Italiano'!B154,0.05)</f>
        <v/>
      </c>
    </row>
    <row r="10">
      <c r="A10" s="179" t="inlineStr">
        <is>
          <t>Alemán</t>
        </is>
      </c>
      <c r="B10" s="187">
        <f>RiskMean('Estocástico Alemán'!B153)</f>
        <v/>
      </c>
      <c r="C10" s="187">
        <f>RiskStdDev('Estocástico Alemán'!B153)</f>
        <v/>
      </c>
      <c r="D10" s="187">
        <f>RiskMin('Estocástico Alemán'!B153)</f>
        <v/>
      </c>
      <c r="E10" s="187">
        <f>RiskMax('Estocástico Alemán'!B153)</f>
        <v/>
      </c>
      <c r="F10" s="187">
        <f>RiskPercentile('Estocástico Alemán'!B153,0.05)</f>
        <v/>
      </c>
      <c r="G10" s="187">
        <f>RiskPercentile('Estocástico Alemán'!B153,0.95)</f>
        <v/>
      </c>
      <c r="H10" s="188">
        <f>1-RiskTarget('Estocástico Alemán'!B153,0)</f>
        <v/>
      </c>
      <c r="I10" s="188">
        <f>RiskMean('Estocástico Alemán'!B154)</f>
        <v/>
      </c>
      <c r="J10" s="188">
        <f>RiskPercentile('Estocástico Alemán'!B154,0.05)</f>
        <v/>
      </c>
    </row>
  </sheetData>
  <mergeCells count="2">
    <mergeCell ref="A1:J1"/>
    <mergeCell ref="A3: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Rommel Reconco</dc:creator>
  <dc:language>en-US</dc:language>
  <dcterms:created xsi:type="dcterms:W3CDTF">2021-02-12T04:01:05Z</dcterms:created>
  <dcterms:modified xsi:type="dcterms:W3CDTF">2026-06-01T00:40:34Z</dcterms:modified>
  <cp:lastModifiedBy>Fredy Valladares</cp:lastModifiedBy>
  <cp:revision>0</cp:revision>
  <cp:lastPrinted>2024-02-07T21:03:46Z</cp:lastPrinted>
</cp:coreProperties>
</file>