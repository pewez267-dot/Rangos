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studio Financiero" sheetId="1" state="visible" r:id="rId1"/>
    <sheet name="Corre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000000"/>
      <sz val="12"/>
    </font>
    <font>
      <name val="Calibri"/>
      <color rgb="FF000000"/>
      <sz val="12"/>
    </font>
  </fonts>
  <fills count="4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0" fontId="1" fillId="0" borderId="1" applyAlignment="1" pivotButton="0" quotePrefix="0" xfId="0">
      <alignment horizontal="center" vertical="center"/>
    </xf>
    <xf numFmtId="3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" fontId="1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1" fillId="3" borderId="1" applyAlignment="1" pivotButton="0" quotePrefix="0" xfId="0">
      <alignment horizontal="left" vertical="center"/>
    </xf>
    <xf numFmtId="3" fontId="1" fillId="3" borderId="1" applyAlignment="1" pivotButton="0" quotePrefix="0" xfId="0">
      <alignment horizontal="right" vertical="center"/>
    </xf>
    <xf numFmtId="0" fontId="0" fillId="3" borderId="1" pivotButton="0" quotePrefix="0" xfId="0"/>
    <xf numFmtId="0" fontId="1" fillId="0" borderId="1" applyAlignment="1" pivotButton="0" quotePrefix="0" xfId="0">
      <alignment horizontal="left" vertical="center"/>
    </xf>
    <xf numFmtId="3" fontId="1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center" vertical="center"/>
    </xf>
    <xf numFmtId="10" fontId="1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9"/>
  <sheetViews>
    <sheetView workbookViewId="0">
      <selection activeCell="A1" sqref="A1"/>
    </sheetView>
  </sheetViews>
  <sheetFormatPr baseColWidth="8" defaultRowHeight="15"/>
  <cols>
    <col width="5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PRODUCTORA DE LECHE PASTEURIZADA «PURA» — Flujo de Caja del Proyecto</t>
        </is>
      </c>
    </row>
    <row r="2">
      <c r="A2" s="2" t="inlineStr">
        <is>
          <t>Estudio financiero (Honduras) · cifras en Lempiras · todas las celdas de resultado son fórmulas</t>
        </is>
      </c>
    </row>
    <row r="4">
      <c r="A4" s="3" t="inlineStr">
        <is>
          <t>SUPUESTOS BASE DEL PROYECTO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>
      <c r="A5" s="3" t="inlineStr">
        <is>
          <t>Parámetro</t>
        </is>
      </c>
      <c r="B5" s="5" t="inlineStr">
        <is>
          <t>Valor</t>
        </is>
      </c>
    </row>
    <row r="6">
      <c r="A6" s="6" t="inlineStr">
        <is>
          <t>Tasa de impuesto sobre la renta (ISR)</t>
        </is>
      </c>
      <c r="B6" s="7" t="n">
        <v>0.25</v>
      </c>
    </row>
    <row r="7">
      <c r="A7" s="6" t="inlineStr">
        <is>
          <t>Aportación solidaria (sobre renta &gt; umbral)</t>
        </is>
      </c>
      <c r="B7" s="7" t="n">
        <v>0.05</v>
      </c>
    </row>
    <row r="8">
      <c r="A8" s="6" t="inlineStr">
        <is>
          <t>Umbral aportación solidaria (Lps)</t>
        </is>
      </c>
      <c r="B8" s="8" t="n">
        <v>1000000</v>
      </c>
    </row>
    <row r="9">
      <c r="A9" s="6" t="inlineStr">
        <is>
          <t>Tasa de interés del préstamo (anual)</t>
        </is>
      </c>
      <c r="B9" s="7" t="n">
        <v>0.14</v>
      </c>
    </row>
    <row r="10">
      <c r="A10" s="6" t="inlineStr">
        <is>
          <t>Porcentaje financiado con préstamo</t>
        </is>
      </c>
      <c r="B10" s="7" t="n">
        <v>0.4</v>
      </c>
    </row>
    <row r="11">
      <c r="A11" s="6" t="inlineStr">
        <is>
          <t>Inflación anual</t>
        </is>
      </c>
      <c r="B11" s="7" t="n">
        <v>0.045</v>
      </c>
    </row>
    <row r="12">
      <c r="A12" s="6" t="inlineStr">
        <is>
          <t>Tasa de descuento anual (rendimiento mínimo)</t>
        </is>
      </c>
      <c r="B12" s="7" t="n">
        <v>0.15</v>
      </c>
    </row>
    <row r="13">
      <c r="A13" s="6" t="inlineStr">
        <is>
          <t>Costo de leche cruda (Lps/litro)</t>
        </is>
      </c>
      <c r="B13" s="8" t="n">
        <v>13</v>
      </c>
    </row>
    <row r="14">
      <c r="A14" s="6" t="inlineStr">
        <is>
          <t>Merma de proceso</t>
        </is>
      </c>
      <c r="B14" s="7" t="n">
        <v>0.03</v>
      </c>
    </row>
    <row r="15">
      <c r="A15" s="6" t="inlineStr">
        <is>
          <t>Costo de empaque (Lps/litro)</t>
        </is>
      </c>
      <c r="B15" s="9">
        <f>26000/30000</f>
        <v/>
      </c>
    </row>
    <row r="16">
      <c r="A16" s="6" t="inlineStr">
        <is>
          <t>Costo de combustible de reparto (Lps/litro)</t>
        </is>
      </c>
      <c r="B16" s="9">
        <f>26000/30000</f>
        <v/>
      </c>
    </row>
    <row r="17">
      <c r="A17" s="6" t="inlineStr">
        <is>
          <t>Planilla mensual (6 empleados)</t>
        </is>
      </c>
      <c r="B17" s="8" t="n">
        <v>92600</v>
      </c>
    </row>
    <row r="18">
      <c r="A18" s="6" t="inlineStr">
        <is>
          <t>Meses de salario al año (con aguinaldo y catorceavo)</t>
        </is>
      </c>
      <c r="B18" s="10" t="n">
        <v>14</v>
      </c>
    </row>
    <row r="19">
      <c r="A19" s="6" t="inlineStr">
        <is>
          <t>Cargas patronales (IHSS, RAP, INFOP)</t>
        </is>
      </c>
      <c r="B19" s="7" t="n">
        <v>0.12</v>
      </c>
    </row>
    <row r="20">
      <c r="A20" s="6" t="inlineStr">
        <is>
          <t>Costos fijos operativos (mensual)</t>
        </is>
      </c>
      <c r="B20" s="8" t="n">
        <v>28000</v>
      </c>
    </row>
    <row r="21">
      <c r="A21" s="6" t="inlineStr">
        <is>
          <t>Gastos administrativos (mensual)</t>
        </is>
      </c>
      <c r="B21" s="8" t="n">
        <v>21600</v>
      </c>
    </row>
    <row r="22">
      <c r="A22" s="6" t="inlineStr">
        <is>
          <t>Meses de capital de trabajo</t>
        </is>
      </c>
      <c r="B22" s="10" t="n">
        <v>2</v>
      </c>
    </row>
    <row r="24">
      <c r="A24" s="3" t="inlineStr">
        <is>
          <t>1. PLAN DE INVERSIONES Y FINANCIAMIENTO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</row>
    <row r="25">
      <c r="A25" s="3" t="inlineStr">
        <is>
          <t>Activo</t>
        </is>
      </c>
      <c r="B25" s="5" t="inlineStr">
        <is>
          <t>Valor</t>
        </is>
      </c>
      <c r="C25" s="5" t="inlineStr">
        <is>
          <t>Recursos propios</t>
        </is>
      </c>
      <c r="D25" s="5" t="inlineStr">
        <is>
          <t>Préstamo</t>
        </is>
      </c>
      <c r="E25" s="5" t="inlineStr">
        <is>
          <t>Vida (años)</t>
        </is>
      </c>
      <c r="F25" s="5" t="inlineStr">
        <is>
          <t>Depreciable</t>
        </is>
      </c>
      <c r="G25" s="4" t="n"/>
      <c r="H25" s="4" t="n"/>
      <c r="I25" s="4" t="n"/>
      <c r="J25" s="4" t="n"/>
      <c r="K25" s="4" t="n"/>
      <c r="L25" s="4" t="n"/>
    </row>
    <row r="26">
      <c r="A26" s="6" t="inlineStr">
        <is>
          <t>Tanques de almacenamiento</t>
        </is>
      </c>
      <c r="B26" s="11" t="n">
        <v>360000</v>
      </c>
      <c r="C26" s="11">
        <f>B26-D26</f>
        <v/>
      </c>
      <c r="D26" s="11">
        <f>B26*$B$10</f>
        <v/>
      </c>
      <c r="E26" s="12" t="n">
        <v>10</v>
      </c>
      <c r="F26" s="12" t="inlineStr">
        <is>
          <t>Sí</t>
        </is>
      </c>
      <c r="G26" s="13" t="n"/>
      <c r="H26" s="13" t="n"/>
      <c r="I26" s="13" t="n"/>
      <c r="J26" s="13" t="n"/>
      <c r="K26" s="13" t="n"/>
      <c r="L26" s="13" t="n"/>
    </row>
    <row r="27">
      <c r="A27" s="6" t="inlineStr">
        <is>
          <t>Pasteurizador HTST</t>
        </is>
      </c>
      <c r="B27" s="11" t="n">
        <v>150000</v>
      </c>
      <c r="C27" s="11">
        <f>B27-D27</f>
        <v/>
      </c>
      <c r="D27" s="11">
        <f>B27*$B$10</f>
        <v/>
      </c>
      <c r="E27" s="12" t="n">
        <v>10</v>
      </c>
      <c r="F27" s="12" t="inlineStr">
        <is>
          <t>Sí</t>
        </is>
      </c>
      <c r="G27" s="13" t="n"/>
      <c r="H27" s="13" t="n"/>
      <c r="I27" s="13" t="n"/>
      <c r="J27" s="13" t="n"/>
      <c r="K27" s="13" t="n"/>
      <c r="L27" s="13" t="n"/>
    </row>
    <row r="28">
      <c r="A28" s="6" t="inlineStr">
        <is>
          <t>Envasadora automática</t>
        </is>
      </c>
      <c r="B28" s="11" t="n">
        <v>260000</v>
      </c>
      <c r="C28" s="11">
        <f>B28-D28</f>
        <v/>
      </c>
      <c r="D28" s="11">
        <f>B28*$B$10</f>
        <v/>
      </c>
      <c r="E28" s="12" t="n">
        <v>10</v>
      </c>
      <c r="F28" s="12" t="inlineStr">
        <is>
          <t>Sí</t>
        </is>
      </c>
      <c r="G28" s="13" t="n"/>
      <c r="H28" s="13" t="n"/>
      <c r="I28" s="13" t="n"/>
      <c r="J28" s="13" t="n"/>
      <c r="K28" s="13" t="n"/>
      <c r="L28" s="13" t="n"/>
    </row>
    <row r="29">
      <c r="A29" s="6" t="inlineStr">
        <is>
          <t>Sistema de enfriamiento</t>
        </is>
      </c>
      <c r="B29" s="11" t="n">
        <v>125000</v>
      </c>
      <c r="C29" s="11">
        <f>B29-D29</f>
        <v/>
      </c>
      <c r="D29" s="11">
        <f>B29*$B$10</f>
        <v/>
      </c>
      <c r="E29" s="12" t="n">
        <v>10</v>
      </c>
      <c r="F29" s="12" t="inlineStr">
        <is>
          <t>Sí</t>
        </is>
      </c>
      <c r="G29" s="13" t="n"/>
      <c r="H29" s="13" t="n"/>
      <c r="I29" s="13" t="n"/>
      <c r="J29" s="13" t="n"/>
      <c r="K29" s="13" t="n"/>
      <c r="L29" s="13" t="n"/>
    </row>
    <row r="30">
      <c r="A30" s="6" t="inlineStr">
        <is>
          <t>Camión de distribución</t>
        </is>
      </c>
      <c r="B30" s="11" t="n">
        <v>500000</v>
      </c>
      <c r="C30" s="11">
        <f>B30-D30</f>
        <v/>
      </c>
      <c r="D30" s="11">
        <f>B30*$B$10</f>
        <v/>
      </c>
      <c r="E30" s="12" t="n">
        <v>5</v>
      </c>
      <c r="F30" s="12" t="inlineStr">
        <is>
          <t>Sí</t>
        </is>
      </c>
      <c r="G30" s="13" t="n"/>
      <c r="H30" s="13" t="n"/>
      <c r="I30" s="13" t="n"/>
      <c r="J30" s="13" t="n"/>
      <c r="K30" s="13" t="n"/>
      <c r="L30" s="13" t="n"/>
    </row>
    <row r="31">
      <c r="A31" s="6" t="inlineStr">
        <is>
          <t>Gastos diferidos (preoperativos + legales)</t>
        </is>
      </c>
      <c r="B31" s="11" t="n">
        <v>76000</v>
      </c>
      <c r="C31" s="11">
        <f>B31-D31</f>
        <v/>
      </c>
      <c r="D31" s="11">
        <f>B31*$B$10</f>
        <v/>
      </c>
      <c r="E31" s="12" t="n">
        <v>5</v>
      </c>
      <c r="F31" s="12" t="inlineStr">
        <is>
          <t>Amortizable</t>
        </is>
      </c>
      <c r="G31" s="13" t="n"/>
      <c r="H31" s="13" t="n"/>
      <c r="I31" s="13" t="n"/>
      <c r="J31" s="13" t="n"/>
      <c r="K31" s="13" t="n"/>
      <c r="L31" s="13" t="n"/>
    </row>
    <row r="32">
      <c r="A32" s="6" t="inlineStr">
        <is>
          <t>Capital de trabajo inicial</t>
        </is>
      </c>
      <c r="B32" s="11">
        <f>B69</f>
        <v/>
      </c>
      <c r="C32" s="11">
        <f>B32-D32</f>
        <v/>
      </c>
      <c r="D32" s="11">
        <f>B32*$B$10</f>
        <v/>
      </c>
      <c r="E32" s="12" t="inlineStr">
        <is>
          <t>-</t>
        </is>
      </c>
      <c r="F32" s="12" t="inlineStr">
        <is>
          <t>No</t>
        </is>
      </c>
      <c r="G32" s="13" t="n"/>
      <c r="H32" s="13" t="n"/>
      <c r="I32" s="13" t="n"/>
      <c r="J32" s="13" t="n"/>
      <c r="K32" s="13" t="n"/>
      <c r="L32" s="13" t="n"/>
    </row>
    <row r="33">
      <c r="A33" s="14" t="inlineStr">
        <is>
          <t>TOTAL INVERSIONES</t>
        </is>
      </c>
      <c r="B33" s="15">
        <f>SUM(B26:B32)</f>
        <v/>
      </c>
      <c r="C33" s="15">
        <f>SUM(C26:C32)</f>
        <v/>
      </c>
      <c r="D33" s="15">
        <f>SUM(D26:D32)</f>
        <v/>
      </c>
      <c r="E33" s="16" t="n"/>
      <c r="F33" s="16" t="n"/>
      <c r="G33" s="16" t="n"/>
      <c r="H33" s="16" t="n"/>
      <c r="I33" s="16" t="n"/>
      <c r="J33" s="16" t="n"/>
      <c r="K33" s="16" t="n"/>
      <c r="L33" s="16" t="n"/>
    </row>
    <row r="35">
      <c r="A35" s="3" t="inlineStr">
        <is>
          <t>2. PRODUCCIÓN Y VENTAS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</row>
    <row r="36">
      <c r="A36" s="3" t="inlineStr">
        <is>
          <t>Concepto</t>
        </is>
      </c>
      <c r="B36" s="5" t="inlineStr">
        <is>
          <t>Año 0</t>
        </is>
      </c>
      <c r="C36" s="5" t="inlineStr">
        <is>
          <t>Año 1</t>
        </is>
      </c>
      <c r="D36" s="5" t="inlineStr">
        <is>
          <t>Año 2</t>
        </is>
      </c>
      <c r="E36" s="5" t="inlineStr">
        <is>
          <t>Año 3</t>
        </is>
      </c>
      <c r="F36" s="5" t="inlineStr">
        <is>
          <t>Año 4</t>
        </is>
      </c>
      <c r="G36" s="5" t="inlineStr">
        <is>
          <t>Año 5</t>
        </is>
      </c>
      <c r="H36" s="5" t="inlineStr">
        <is>
          <t>Año 6</t>
        </is>
      </c>
      <c r="I36" s="5" t="inlineStr">
        <is>
          <t>Año 7</t>
        </is>
      </c>
      <c r="J36" s="5" t="inlineStr">
        <is>
          <t>Año 8</t>
        </is>
      </c>
      <c r="K36" s="5" t="inlineStr">
        <is>
          <t>Año 9</t>
        </is>
      </c>
      <c r="L36" s="5" t="inlineStr">
        <is>
          <t>Año 10</t>
        </is>
      </c>
    </row>
    <row r="37">
      <c r="A37" s="6" t="inlineStr">
        <is>
          <t>Clientes activos</t>
        </is>
      </c>
      <c r="B37" s="11" t="n">
        <v>0</v>
      </c>
      <c r="C37" s="11" t="n">
        <v>15</v>
      </c>
      <c r="D37" s="11" t="n">
        <v>20</v>
      </c>
      <c r="E37" s="11" t="n">
        <v>25</v>
      </c>
      <c r="F37" s="11" t="n">
        <v>30</v>
      </c>
      <c r="G37" s="11" t="n">
        <v>35</v>
      </c>
      <c r="H37" s="11" t="n">
        <v>40</v>
      </c>
      <c r="I37" s="11" t="n">
        <v>45</v>
      </c>
      <c r="J37" s="11" t="n">
        <v>50</v>
      </c>
      <c r="K37" s="11" t="n">
        <v>55</v>
      </c>
      <c r="L37" s="11" t="n">
        <v>60</v>
      </c>
    </row>
    <row r="38">
      <c r="A38" s="6" t="inlineStr">
        <is>
          <t>Volumen anual (litros)</t>
        </is>
      </c>
      <c r="B38" s="11" t="n">
        <v>0</v>
      </c>
      <c r="C38" s="11" t="n">
        <v>28000</v>
      </c>
      <c r="D38" s="11" t="n">
        <v>46000</v>
      </c>
      <c r="E38" s="11" t="n">
        <v>74000</v>
      </c>
      <c r="F38" s="11" t="n">
        <v>118000</v>
      </c>
      <c r="G38" s="11" t="n">
        <v>188000</v>
      </c>
      <c r="H38" s="11" t="n">
        <v>300000</v>
      </c>
      <c r="I38" s="11" t="n">
        <v>480000</v>
      </c>
      <c r="J38" s="11" t="n">
        <v>760000</v>
      </c>
      <c r="K38" s="11" t="n">
        <v>1200000</v>
      </c>
      <c r="L38" s="11" t="n">
        <v>1900000</v>
      </c>
    </row>
    <row r="39">
      <c r="A39" s="6" t="inlineStr">
        <is>
          <t>Precio de venta (Lps/litro)</t>
        </is>
      </c>
      <c r="B39" s="11" t="n">
        <v>0</v>
      </c>
      <c r="C39" s="11" t="n">
        <v>28</v>
      </c>
      <c r="D39" s="11" t="n">
        <v>29</v>
      </c>
      <c r="E39" s="11" t="n">
        <v>30</v>
      </c>
      <c r="F39" s="11" t="n">
        <v>31</v>
      </c>
      <c r="G39" s="11" t="n">
        <v>32</v>
      </c>
      <c r="H39" s="11" t="n">
        <v>33</v>
      </c>
      <c r="I39" s="11" t="n">
        <v>34</v>
      </c>
      <c r="J39" s="11" t="n">
        <v>35</v>
      </c>
      <c r="K39" s="11" t="n">
        <v>36</v>
      </c>
      <c r="L39" s="11" t="n">
        <v>37</v>
      </c>
    </row>
    <row r="40">
      <c r="A40" s="14" t="inlineStr">
        <is>
          <t>INGRESOS POR VENTAS</t>
        </is>
      </c>
      <c r="B40" s="15">
        <f>B38*B39</f>
        <v/>
      </c>
      <c r="C40" s="15">
        <f>C38*C39</f>
        <v/>
      </c>
      <c r="D40" s="15">
        <f>D38*D39</f>
        <v/>
      </c>
      <c r="E40" s="15">
        <f>E38*E39</f>
        <v/>
      </c>
      <c r="F40" s="15">
        <f>F38*F39</f>
        <v/>
      </c>
      <c r="G40" s="15">
        <f>G38*G39</f>
        <v/>
      </c>
      <c r="H40" s="15">
        <f>H38*H39</f>
        <v/>
      </c>
      <c r="I40" s="15">
        <f>I38*I39</f>
        <v/>
      </c>
      <c r="J40" s="15">
        <f>J38*J39</f>
        <v/>
      </c>
      <c r="K40" s="15">
        <f>K38*K39</f>
        <v/>
      </c>
      <c r="L40" s="15">
        <f>L38*L39</f>
        <v/>
      </c>
    </row>
    <row r="42">
      <c r="A42" s="3" t="inlineStr">
        <is>
          <t>3. COSTOS VARIABLES (según litros vendidos)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</row>
    <row r="43">
      <c r="A43" s="3" t="inlineStr">
        <is>
          <t>Concepto</t>
        </is>
      </c>
      <c r="B43" s="5" t="inlineStr">
        <is>
          <t>Año 0</t>
        </is>
      </c>
      <c r="C43" s="5" t="inlineStr">
        <is>
          <t>Año 1</t>
        </is>
      </c>
      <c r="D43" s="5" t="inlineStr">
        <is>
          <t>Año 2</t>
        </is>
      </c>
      <c r="E43" s="5" t="inlineStr">
        <is>
          <t>Año 3</t>
        </is>
      </c>
      <c r="F43" s="5" t="inlineStr">
        <is>
          <t>Año 4</t>
        </is>
      </c>
      <c r="G43" s="5" t="inlineStr">
        <is>
          <t>Año 5</t>
        </is>
      </c>
      <c r="H43" s="5" t="inlineStr">
        <is>
          <t>Año 6</t>
        </is>
      </c>
      <c r="I43" s="5" t="inlineStr">
        <is>
          <t>Año 7</t>
        </is>
      </c>
      <c r="J43" s="5" t="inlineStr">
        <is>
          <t>Año 8</t>
        </is>
      </c>
      <c r="K43" s="5" t="inlineStr">
        <is>
          <t>Año 9</t>
        </is>
      </c>
      <c r="L43" s="5" t="inlineStr">
        <is>
          <t>Año 10</t>
        </is>
      </c>
    </row>
    <row r="44">
      <c r="A44" s="6" t="inlineStr">
        <is>
          <t>Leche cruda (con merma)</t>
        </is>
      </c>
      <c r="B44" s="11" t="n">
        <v>0</v>
      </c>
      <c r="C44" s="11">
        <f>C38*$B$13/(1-$B$14)*(1+$B$11)^1</f>
        <v/>
      </c>
      <c r="D44" s="11">
        <f>D38*$B$13/(1-$B$14)*(1+$B$11)^2</f>
        <v/>
      </c>
      <c r="E44" s="11">
        <f>E38*$B$13/(1-$B$14)*(1+$B$11)^3</f>
        <v/>
      </c>
      <c r="F44" s="11">
        <f>F38*$B$13/(1-$B$14)*(1+$B$11)^4</f>
        <v/>
      </c>
      <c r="G44" s="11">
        <f>G38*$B$13/(1-$B$14)*(1+$B$11)^5</f>
        <v/>
      </c>
      <c r="H44" s="11">
        <f>H38*$B$13/(1-$B$14)*(1+$B$11)^6</f>
        <v/>
      </c>
      <c r="I44" s="11">
        <f>I38*$B$13/(1-$B$14)*(1+$B$11)^7</f>
        <v/>
      </c>
      <c r="J44" s="11">
        <f>J38*$B$13/(1-$B$14)*(1+$B$11)^8</f>
        <v/>
      </c>
      <c r="K44" s="11">
        <f>K38*$B$13/(1-$B$14)*(1+$B$11)^9</f>
        <v/>
      </c>
      <c r="L44" s="11">
        <f>L38*$B$13/(1-$B$14)*(1+$B$11)^10</f>
        <v/>
      </c>
    </row>
    <row r="45">
      <c r="A45" s="6" t="inlineStr">
        <is>
          <t>Empaque (bolsas)</t>
        </is>
      </c>
      <c r="B45" s="11" t="n">
        <v>0</v>
      </c>
      <c r="C45" s="11">
        <f>C38*$B$15*(1+$B$11)^1</f>
        <v/>
      </c>
      <c r="D45" s="11">
        <f>D38*$B$15*(1+$B$11)^2</f>
        <v/>
      </c>
      <c r="E45" s="11">
        <f>E38*$B$15*(1+$B$11)^3</f>
        <v/>
      </c>
      <c r="F45" s="11">
        <f>F38*$B$15*(1+$B$11)^4</f>
        <v/>
      </c>
      <c r="G45" s="11">
        <f>G38*$B$15*(1+$B$11)^5</f>
        <v/>
      </c>
      <c r="H45" s="11">
        <f>H38*$B$15*(1+$B$11)^6</f>
        <v/>
      </c>
      <c r="I45" s="11">
        <f>I38*$B$15*(1+$B$11)^7</f>
        <v/>
      </c>
      <c r="J45" s="11">
        <f>J38*$B$15*(1+$B$11)^8</f>
        <v/>
      </c>
      <c r="K45" s="11">
        <f>K38*$B$15*(1+$B$11)^9</f>
        <v/>
      </c>
      <c r="L45" s="11">
        <f>L38*$B$15*(1+$B$11)^10</f>
        <v/>
      </c>
    </row>
    <row r="46">
      <c r="A46" s="6" t="inlineStr">
        <is>
          <t>Combustible de reparto</t>
        </is>
      </c>
      <c r="B46" s="11" t="n">
        <v>0</v>
      </c>
      <c r="C46" s="11">
        <f>C38*$B$16*(1+$B$11)^1</f>
        <v/>
      </c>
      <c r="D46" s="11">
        <f>D38*$B$16*(1+$B$11)^2</f>
        <v/>
      </c>
      <c r="E46" s="11">
        <f>E38*$B$16*(1+$B$11)^3</f>
        <v/>
      </c>
      <c r="F46" s="11">
        <f>F38*$B$16*(1+$B$11)^4</f>
        <v/>
      </c>
      <c r="G46" s="11">
        <f>G38*$B$16*(1+$B$11)^5</f>
        <v/>
      </c>
      <c r="H46" s="11">
        <f>H38*$B$16*(1+$B$11)^6</f>
        <v/>
      </c>
      <c r="I46" s="11">
        <f>I38*$B$16*(1+$B$11)^7</f>
        <v/>
      </c>
      <c r="J46" s="11">
        <f>J38*$B$16*(1+$B$11)^8</f>
        <v/>
      </c>
      <c r="K46" s="11">
        <f>K38*$B$16*(1+$B$11)^9</f>
        <v/>
      </c>
      <c r="L46" s="11">
        <f>L38*$B$16*(1+$B$11)^10</f>
        <v/>
      </c>
    </row>
    <row r="47">
      <c r="A47" s="14" t="inlineStr">
        <is>
          <t>TOTAL COSTOS VARIABLES</t>
        </is>
      </c>
      <c r="B47" s="15">
        <f>SUM(B44:B46)</f>
        <v/>
      </c>
      <c r="C47" s="15">
        <f>SUM(C44:C46)</f>
        <v/>
      </c>
      <c r="D47" s="15">
        <f>SUM(D44:D46)</f>
        <v/>
      </c>
      <c r="E47" s="15">
        <f>SUM(E44:E46)</f>
        <v/>
      </c>
      <c r="F47" s="15">
        <f>SUM(F44:F46)</f>
        <v/>
      </c>
      <c r="G47" s="15">
        <f>SUM(G44:G46)</f>
        <v/>
      </c>
      <c r="H47" s="15">
        <f>SUM(H44:H46)</f>
        <v/>
      </c>
      <c r="I47" s="15">
        <f>SUM(I44:I46)</f>
        <v/>
      </c>
      <c r="J47" s="15">
        <f>SUM(J44:J46)</f>
        <v/>
      </c>
      <c r="K47" s="15">
        <f>SUM(K44:K46)</f>
        <v/>
      </c>
      <c r="L47" s="15">
        <f>SUM(L44:L46)</f>
        <v/>
      </c>
    </row>
    <row r="49">
      <c r="A49" s="3" t="inlineStr">
        <is>
          <t>4. COSTOS FIJOS (anuales)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</row>
    <row r="50">
      <c r="A50" s="3" t="inlineStr">
        <is>
          <t>Concepto</t>
        </is>
      </c>
      <c r="B50" s="5" t="inlineStr">
        <is>
          <t>Año 0</t>
        </is>
      </c>
      <c r="C50" s="5" t="inlineStr">
        <is>
          <t>Año 1</t>
        </is>
      </c>
      <c r="D50" s="5" t="inlineStr">
        <is>
          <t>Año 2</t>
        </is>
      </c>
      <c r="E50" s="5" t="inlineStr">
        <is>
          <t>Año 3</t>
        </is>
      </c>
      <c r="F50" s="5" t="inlineStr">
        <is>
          <t>Año 4</t>
        </is>
      </c>
      <c r="G50" s="5" t="inlineStr">
        <is>
          <t>Año 5</t>
        </is>
      </c>
      <c r="H50" s="5" t="inlineStr">
        <is>
          <t>Año 6</t>
        </is>
      </c>
      <c r="I50" s="5" t="inlineStr">
        <is>
          <t>Año 7</t>
        </is>
      </c>
      <c r="J50" s="5" t="inlineStr">
        <is>
          <t>Año 8</t>
        </is>
      </c>
      <c r="K50" s="5" t="inlineStr">
        <is>
          <t>Año 9</t>
        </is>
      </c>
      <c r="L50" s="5" t="inlineStr">
        <is>
          <t>Año 10</t>
        </is>
      </c>
    </row>
    <row r="51">
      <c r="A51" s="6" t="inlineStr">
        <is>
          <t>Costos fijos operativos (mensual × 12, ajustado por inflación)</t>
        </is>
      </c>
      <c r="B51" s="11" t="n">
        <v>0</v>
      </c>
      <c r="C51" s="11">
        <f>$B$20*12*(1+$B$11)^1</f>
        <v/>
      </c>
      <c r="D51" s="11">
        <f>$B$20*12*(1+$B$11)^2</f>
        <v/>
      </c>
      <c r="E51" s="11">
        <f>$B$20*12*(1+$B$11)^3</f>
        <v/>
      </c>
      <c r="F51" s="11">
        <f>$B$20*12*(1+$B$11)^4</f>
        <v/>
      </c>
      <c r="G51" s="11">
        <f>$B$20*12*(1+$B$11)^5</f>
        <v/>
      </c>
      <c r="H51" s="11">
        <f>$B$20*12*(1+$B$11)^6</f>
        <v/>
      </c>
      <c r="I51" s="11">
        <f>$B$20*12*(1+$B$11)^7</f>
        <v/>
      </c>
      <c r="J51" s="11">
        <f>$B$20*12*(1+$B$11)^8</f>
        <v/>
      </c>
      <c r="K51" s="11">
        <f>$B$20*12*(1+$B$11)^9</f>
        <v/>
      </c>
      <c r="L51" s="11">
        <f>$B$20*12*(1+$B$11)^10</f>
        <v/>
      </c>
    </row>
    <row r="52">
      <c r="A52" s="6" t="inlineStr">
        <is>
          <t>Gastos administrativos (mensual × 12, ajustado por inflación)</t>
        </is>
      </c>
      <c r="B52" s="11" t="n">
        <v>0</v>
      </c>
      <c r="C52" s="11">
        <f>$B$21*12*(1+$B$11)^1</f>
        <v/>
      </c>
      <c r="D52" s="11">
        <f>$B$21*12*(1+$B$11)^2</f>
        <v/>
      </c>
      <c r="E52" s="11">
        <f>$B$21*12*(1+$B$11)^3</f>
        <v/>
      </c>
      <c r="F52" s="11">
        <f>$B$21*12*(1+$B$11)^4</f>
        <v/>
      </c>
      <c r="G52" s="11">
        <f>$B$21*12*(1+$B$11)^5</f>
        <v/>
      </c>
      <c r="H52" s="11">
        <f>$B$21*12*(1+$B$11)^6</f>
        <v/>
      </c>
      <c r="I52" s="11">
        <f>$B$21*12*(1+$B$11)^7</f>
        <v/>
      </c>
      <c r="J52" s="11">
        <f>$B$21*12*(1+$B$11)^8</f>
        <v/>
      </c>
      <c r="K52" s="11">
        <f>$B$21*12*(1+$B$11)^9</f>
        <v/>
      </c>
      <c r="L52" s="11">
        <f>$B$21*12*(1+$B$11)^10</f>
        <v/>
      </c>
    </row>
    <row r="53">
      <c r="A53" s="6" t="inlineStr">
        <is>
          <t>Personal (planilla × meses + planilla × 12 × cargas patronales)</t>
        </is>
      </c>
      <c r="B53" s="11" t="n">
        <v>0</v>
      </c>
      <c r="C53" s="11">
        <f>($B$17*$B$18+$B$17*12*$B$19)*(1+$B$11)^1</f>
        <v/>
      </c>
      <c r="D53" s="11">
        <f>($B$17*$B$18+$B$17*12*$B$19)*(1+$B$11)^2</f>
        <v/>
      </c>
      <c r="E53" s="11">
        <f>($B$17*$B$18+$B$17*12*$B$19)*(1+$B$11)^3</f>
        <v/>
      </c>
      <c r="F53" s="11">
        <f>($B$17*$B$18+$B$17*12*$B$19)*(1+$B$11)^4</f>
        <v/>
      </c>
      <c r="G53" s="11">
        <f>($B$17*$B$18+$B$17*12*$B$19)*(1+$B$11)^5</f>
        <v/>
      </c>
      <c r="H53" s="11">
        <f>($B$17*$B$18+$B$17*12*$B$19)*(1+$B$11)^6</f>
        <v/>
      </c>
      <c r="I53" s="11">
        <f>($B$17*$B$18+$B$17*12*$B$19)*(1+$B$11)^7</f>
        <v/>
      </c>
      <c r="J53" s="11">
        <f>($B$17*$B$18+$B$17*12*$B$19)*(1+$B$11)^8</f>
        <v/>
      </c>
      <c r="K53" s="11">
        <f>($B$17*$B$18+$B$17*12*$B$19)*(1+$B$11)^9</f>
        <v/>
      </c>
      <c r="L53" s="11">
        <f>($B$17*$B$18+$B$17*12*$B$19)*(1+$B$11)^10</f>
        <v/>
      </c>
    </row>
    <row r="54">
      <c r="A54" s="14" t="inlineStr">
        <is>
          <t>TOTAL COSTOS FIJOS</t>
        </is>
      </c>
      <c r="B54" s="15">
        <f>SUM(B51:B53)</f>
        <v/>
      </c>
      <c r="C54" s="15">
        <f>SUM(C51:C53)</f>
        <v/>
      </c>
      <c r="D54" s="15">
        <f>SUM(D51:D53)</f>
        <v/>
      </c>
      <c r="E54" s="15">
        <f>SUM(E51:E53)</f>
        <v/>
      </c>
      <c r="F54" s="15">
        <f>SUM(F51:F53)</f>
        <v/>
      </c>
      <c r="G54" s="15">
        <f>SUM(G51:G53)</f>
        <v/>
      </c>
      <c r="H54" s="15">
        <f>SUM(H51:H53)</f>
        <v/>
      </c>
      <c r="I54" s="15">
        <f>SUM(I51:I53)</f>
        <v/>
      </c>
      <c r="J54" s="15">
        <f>SUM(J51:J53)</f>
        <v/>
      </c>
      <c r="K54" s="15">
        <f>SUM(K51:K53)</f>
        <v/>
      </c>
      <c r="L54" s="15">
        <f>SUM(L51:L53)</f>
        <v/>
      </c>
    </row>
    <row r="56">
      <c r="A56" s="3" t="inlineStr">
        <is>
          <t>5. DEPRECIACIONES Y AMORTIZACIONES (método lineal = Valor ÷ Vida)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</row>
    <row r="57">
      <c r="A57" s="3" t="inlineStr">
        <is>
          <t>Activo</t>
        </is>
      </c>
      <c r="B57" s="5" t="inlineStr">
        <is>
          <t>Valor</t>
        </is>
      </c>
      <c r="C57" s="5" t="inlineStr">
        <is>
          <t>Año 1</t>
        </is>
      </c>
      <c r="D57" s="5" t="inlineStr">
        <is>
          <t>Año 2</t>
        </is>
      </c>
      <c r="E57" s="5" t="inlineStr">
        <is>
          <t>Año 3</t>
        </is>
      </c>
      <c r="F57" s="5" t="inlineStr">
        <is>
          <t>Año 4</t>
        </is>
      </c>
      <c r="G57" s="5" t="inlineStr">
        <is>
          <t>Año 5</t>
        </is>
      </c>
      <c r="H57" s="5" t="inlineStr">
        <is>
          <t>Año 6</t>
        </is>
      </c>
      <c r="I57" s="5" t="inlineStr">
        <is>
          <t>Año 7</t>
        </is>
      </c>
      <c r="J57" s="5" t="inlineStr">
        <is>
          <t>Año 8</t>
        </is>
      </c>
      <c r="K57" s="5" t="inlineStr">
        <is>
          <t>Año 9</t>
        </is>
      </c>
      <c r="L57" s="5" t="inlineStr">
        <is>
          <t>Año 10</t>
        </is>
      </c>
    </row>
    <row r="58">
      <c r="A58" s="6" t="inlineStr">
        <is>
          <t>Tanques de almacenamiento (10 años)</t>
        </is>
      </c>
      <c r="B58" s="11">
        <f>B26</f>
        <v/>
      </c>
      <c r="C58" s="11">
        <f>$B58/E26</f>
        <v/>
      </c>
      <c r="D58" s="11">
        <f>$B58/E26</f>
        <v/>
      </c>
      <c r="E58" s="11">
        <f>$B58/E26</f>
        <v/>
      </c>
      <c r="F58" s="11">
        <f>$B58/E26</f>
        <v/>
      </c>
      <c r="G58" s="11">
        <f>$B58/E26</f>
        <v/>
      </c>
      <c r="H58" s="11">
        <f>$B58/E26</f>
        <v/>
      </c>
      <c r="I58" s="11">
        <f>$B58/E26</f>
        <v/>
      </c>
      <c r="J58" s="11">
        <f>$B58/E26</f>
        <v/>
      </c>
      <c r="K58" s="11">
        <f>$B58/E26</f>
        <v/>
      </c>
      <c r="L58" s="11">
        <f>$B58/E26</f>
        <v/>
      </c>
    </row>
    <row r="59">
      <c r="A59" s="6" t="inlineStr">
        <is>
          <t>Pasteurizador HTST (10 años)</t>
        </is>
      </c>
      <c r="B59" s="11">
        <f>B27</f>
        <v/>
      </c>
      <c r="C59" s="11">
        <f>$B59/E27</f>
        <v/>
      </c>
      <c r="D59" s="11">
        <f>$B59/E27</f>
        <v/>
      </c>
      <c r="E59" s="11">
        <f>$B59/E27</f>
        <v/>
      </c>
      <c r="F59" s="11">
        <f>$B59/E27</f>
        <v/>
      </c>
      <c r="G59" s="11">
        <f>$B59/E27</f>
        <v/>
      </c>
      <c r="H59" s="11">
        <f>$B59/E27</f>
        <v/>
      </c>
      <c r="I59" s="11">
        <f>$B59/E27</f>
        <v/>
      </c>
      <c r="J59" s="11">
        <f>$B59/E27</f>
        <v/>
      </c>
      <c r="K59" s="11">
        <f>$B59/E27</f>
        <v/>
      </c>
      <c r="L59" s="11">
        <f>$B59/E27</f>
        <v/>
      </c>
    </row>
    <row r="60">
      <c r="A60" s="6" t="inlineStr">
        <is>
          <t>Envasadora automática (10 años)</t>
        </is>
      </c>
      <c r="B60" s="11">
        <f>B28</f>
        <v/>
      </c>
      <c r="C60" s="11">
        <f>$B60/E28</f>
        <v/>
      </c>
      <c r="D60" s="11">
        <f>$B60/E28</f>
        <v/>
      </c>
      <c r="E60" s="11">
        <f>$B60/E28</f>
        <v/>
      </c>
      <c r="F60" s="11">
        <f>$B60/E28</f>
        <v/>
      </c>
      <c r="G60" s="11">
        <f>$B60/E28</f>
        <v/>
      </c>
      <c r="H60" s="11">
        <f>$B60/E28</f>
        <v/>
      </c>
      <c r="I60" s="11">
        <f>$B60/E28</f>
        <v/>
      </c>
      <c r="J60" s="11">
        <f>$B60/E28</f>
        <v/>
      </c>
      <c r="K60" s="11">
        <f>$B60/E28</f>
        <v/>
      </c>
      <c r="L60" s="11">
        <f>$B60/E28</f>
        <v/>
      </c>
    </row>
    <row r="61">
      <c r="A61" s="6" t="inlineStr">
        <is>
          <t>Sistema de enfriamiento (10 años)</t>
        </is>
      </c>
      <c r="B61" s="11">
        <f>B29</f>
        <v/>
      </c>
      <c r="C61" s="11">
        <f>$B61/E29</f>
        <v/>
      </c>
      <c r="D61" s="11">
        <f>$B61/E29</f>
        <v/>
      </c>
      <c r="E61" s="11">
        <f>$B61/E29</f>
        <v/>
      </c>
      <c r="F61" s="11">
        <f>$B61/E29</f>
        <v/>
      </c>
      <c r="G61" s="11">
        <f>$B61/E29</f>
        <v/>
      </c>
      <c r="H61" s="11">
        <f>$B61/E29</f>
        <v/>
      </c>
      <c r="I61" s="11">
        <f>$B61/E29</f>
        <v/>
      </c>
      <c r="J61" s="11">
        <f>$B61/E29</f>
        <v/>
      </c>
      <c r="K61" s="11">
        <f>$B61/E29</f>
        <v/>
      </c>
      <c r="L61" s="11">
        <f>$B61/E29</f>
        <v/>
      </c>
    </row>
    <row r="62">
      <c r="A62" s="6" t="inlineStr">
        <is>
          <t>Camión de distribución (5 años)</t>
        </is>
      </c>
      <c r="B62" s="11">
        <f>B30</f>
        <v/>
      </c>
      <c r="C62" s="11">
        <f>$B62/E30</f>
        <v/>
      </c>
      <c r="D62" s="11">
        <f>$B62/E30</f>
        <v/>
      </c>
      <c r="E62" s="11">
        <f>$B62/E30</f>
        <v/>
      </c>
      <c r="F62" s="11">
        <f>$B62/E30</f>
        <v/>
      </c>
      <c r="G62" s="11">
        <f>$B62/E30</f>
        <v/>
      </c>
      <c r="H62" s="11" t="n">
        <v>0</v>
      </c>
      <c r="I62" s="11" t="n">
        <v>0</v>
      </c>
      <c r="J62" s="11" t="n">
        <v>0</v>
      </c>
      <c r="K62" s="11" t="n">
        <v>0</v>
      </c>
      <c r="L62" s="11" t="n">
        <v>0</v>
      </c>
    </row>
    <row r="63">
      <c r="A63" s="6" t="inlineStr">
        <is>
          <t>Amortización de diferidos (5 años)</t>
        </is>
      </c>
      <c r="B63" s="11">
        <f>B31</f>
        <v/>
      </c>
      <c r="C63" s="11">
        <f>$B63/E31</f>
        <v/>
      </c>
      <c r="D63" s="11">
        <f>$B63/E31</f>
        <v/>
      </c>
      <c r="E63" s="11">
        <f>$B63/E31</f>
        <v/>
      </c>
      <c r="F63" s="11">
        <f>$B63/E31</f>
        <v/>
      </c>
      <c r="G63" s="11">
        <f>$B63/E31</f>
        <v/>
      </c>
      <c r="H63" s="11" t="n">
        <v>0</v>
      </c>
      <c r="I63" s="11" t="n">
        <v>0</v>
      </c>
      <c r="J63" s="11" t="n">
        <v>0</v>
      </c>
      <c r="K63" s="11" t="n">
        <v>0</v>
      </c>
      <c r="L63" s="11" t="n">
        <v>0</v>
      </c>
    </row>
    <row r="64">
      <c r="A64" s="14" t="inlineStr">
        <is>
          <t>TOTAL DEPRECIACIÓN Y AMORTIZACIÓN</t>
        </is>
      </c>
      <c r="B64" s="15">
        <f>SUM(B58:B63)</f>
        <v/>
      </c>
      <c r="C64" s="15">
        <f>SUM(C58:C63)</f>
        <v/>
      </c>
      <c r="D64" s="15">
        <f>SUM(D58:D63)</f>
        <v/>
      </c>
      <c r="E64" s="15">
        <f>SUM(E58:E63)</f>
        <v/>
      </c>
      <c r="F64" s="15">
        <f>SUM(F58:F63)</f>
        <v/>
      </c>
      <c r="G64" s="15">
        <f>SUM(G58:G63)</f>
        <v/>
      </c>
      <c r="H64" s="15">
        <f>SUM(H58:H63)</f>
        <v/>
      </c>
      <c r="I64" s="15">
        <f>SUM(I58:I63)</f>
        <v/>
      </c>
      <c r="J64" s="15">
        <f>SUM(J58:J63)</f>
        <v/>
      </c>
      <c r="K64" s="15">
        <f>SUM(K58:K63)</f>
        <v/>
      </c>
      <c r="L64" s="15">
        <f>SUM(L58:L63)</f>
        <v/>
      </c>
    </row>
    <row r="66">
      <c r="A66" s="3" t="inlineStr">
        <is>
          <t>6. VALOR DE DESECHO Y CAPITAL DE TRABAJO</t>
        </is>
      </c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</row>
    <row r="67">
      <c r="A67" s="3" t="inlineStr">
        <is>
          <t>Concepto</t>
        </is>
      </c>
      <c r="B67" s="5" t="inlineStr">
        <is>
          <t>Año 0</t>
        </is>
      </c>
      <c r="C67" s="5" t="inlineStr">
        <is>
          <t>Año 1</t>
        </is>
      </c>
      <c r="D67" s="5" t="inlineStr">
        <is>
          <t>Año 2</t>
        </is>
      </c>
      <c r="E67" s="5" t="inlineStr">
        <is>
          <t>Año 3</t>
        </is>
      </c>
      <c r="F67" s="5" t="inlineStr">
        <is>
          <t>Año 4</t>
        </is>
      </c>
      <c r="G67" s="5" t="inlineStr">
        <is>
          <t>Año 5</t>
        </is>
      </c>
      <c r="H67" s="5" t="inlineStr">
        <is>
          <t>Año 6</t>
        </is>
      </c>
      <c r="I67" s="5" t="inlineStr">
        <is>
          <t>Año 7</t>
        </is>
      </c>
      <c r="J67" s="5" t="inlineStr">
        <is>
          <t>Año 8</t>
        </is>
      </c>
      <c r="K67" s="5" t="inlineStr">
        <is>
          <t>Año 9</t>
        </is>
      </c>
      <c r="L67" s="5" t="inlineStr">
        <is>
          <t>Año 10</t>
        </is>
      </c>
    </row>
    <row r="68">
      <c r="A68" s="6" t="inlineStr">
        <is>
          <t>Valor de desecho de activos (Año 10)</t>
        </is>
      </c>
      <c r="B68" s="11" t="n">
        <v>0</v>
      </c>
      <c r="C68" s="11" t="n">
        <v>0</v>
      </c>
      <c r="D68" s="11" t="n">
        <v>0</v>
      </c>
      <c r="E68" s="11" t="n">
        <v>0</v>
      </c>
      <c r="F68" s="11" t="n">
        <v>0</v>
      </c>
      <c r="G68" s="11" t="n">
        <v>0</v>
      </c>
      <c r="H68" s="11" t="n">
        <v>0</v>
      </c>
      <c r="I68" s="11" t="n">
        <v>0</v>
      </c>
      <c r="J68" s="11" t="n">
        <v>0</v>
      </c>
      <c r="K68" s="11" t="n">
        <v>0</v>
      </c>
      <c r="L68" s="11" t="n">
        <v>0</v>
      </c>
    </row>
    <row r="69">
      <c r="A69" s="6" t="inlineStr">
        <is>
          <t>Capital de trabajo requerido (meses de costos ÷ 12)</t>
        </is>
      </c>
      <c r="B69" s="11">
        <f>(C47+C54)*$B$22/12</f>
        <v/>
      </c>
      <c r="C69" s="11">
        <f>(C47+C54)*$B$22/12</f>
        <v/>
      </c>
      <c r="D69" s="11">
        <f>(D47+D54)*$B$22/12</f>
        <v/>
      </c>
      <c r="E69" s="11">
        <f>(E47+E54)*$B$22/12</f>
        <v/>
      </c>
      <c r="F69" s="11">
        <f>(F47+F54)*$B$22/12</f>
        <v/>
      </c>
      <c r="G69" s="11">
        <f>(G47+G54)*$B$22/12</f>
        <v/>
      </c>
      <c r="H69" s="11">
        <f>(H47+H54)*$B$22/12</f>
        <v/>
      </c>
      <c r="I69" s="11">
        <f>(I47+I54)*$B$22/12</f>
        <v/>
      </c>
      <c r="J69" s="11">
        <f>(J47+J54)*$B$22/12</f>
        <v/>
      </c>
      <c r="K69" s="11">
        <f>(K47+K54)*$B$22/12</f>
        <v/>
      </c>
      <c r="L69" s="11">
        <f>(L47+L54)*$B$22/12</f>
        <v/>
      </c>
    </row>
    <row r="70">
      <c r="A70" s="6" t="inlineStr">
        <is>
          <t>Inversión en capital de trabajo (incremento)</t>
        </is>
      </c>
      <c r="B70" s="11">
        <f>B69</f>
        <v/>
      </c>
      <c r="C70" s="11">
        <f>C69-B69</f>
        <v/>
      </c>
      <c r="D70" s="11">
        <f>D69-C69</f>
        <v/>
      </c>
      <c r="E70" s="11">
        <f>E69-D69</f>
        <v/>
      </c>
      <c r="F70" s="11">
        <f>F69-E69</f>
        <v/>
      </c>
      <c r="G70" s="11">
        <f>G69-F69</f>
        <v/>
      </c>
      <c r="H70" s="11">
        <f>H69-G69</f>
        <v/>
      </c>
      <c r="I70" s="11">
        <f>I69-H69</f>
        <v/>
      </c>
      <c r="J70" s="11">
        <f>J69-I69</f>
        <v/>
      </c>
      <c r="K70" s="11">
        <f>K69-J69</f>
        <v/>
      </c>
      <c r="L70" s="11">
        <f>L69-K69</f>
        <v/>
      </c>
    </row>
    <row r="71">
      <c r="A71" s="6" t="inlineStr">
        <is>
          <t>Recuperación capital de trabajo (Año 10)</t>
        </is>
      </c>
      <c r="B71" s="11" t="n">
        <v>0</v>
      </c>
      <c r="C71" s="11" t="n">
        <v>0</v>
      </c>
      <c r="D71" s="11" t="n">
        <v>0</v>
      </c>
      <c r="E71" s="11" t="n">
        <v>0</v>
      </c>
      <c r="F71" s="11" t="n">
        <v>0</v>
      </c>
      <c r="G71" s="11" t="n">
        <v>0</v>
      </c>
      <c r="H71" s="11" t="n">
        <v>0</v>
      </c>
      <c r="I71" s="11" t="n">
        <v>0</v>
      </c>
      <c r="J71" s="11" t="n">
        <v>0</v>
      </c>
      <c r="K71" s="11" t="n">
        <v>0</v>
      </c>
      <c r="L71" s="11">
        <f>L69</f>
        <v/>
      </c>
    </row>
    <row r="73">
      <c r="A73" s="3" t="inlineStr">
        <is>
          <t>7. TABLA DE AMORTIZACIÓN DEL PRÉSTAMO (cuota anual fija)</t>
        </is>
      </c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</row>
    <row r="74">
      <c r="A74" s="3" t="inlineStr">
        <is>
          <t>Concepto</t>
        </is>
      </c>
      <c r="B74" s="5" t="inlineStr">
        <is>
          <t>Año 0</t>
        </is>
      </c>
      <c r="C74" s="5" t="inlineStr">
        <is>
          <t>Año 1</t>
        </is>
      </c>
      <c r="D74" s="5" t="inlineStr">
        <is>
          <t>Año 2</t>
        </is>
      </c>
      <c r="E74" s="5" t="inlineStr">
        <is>
          <t>Año 3</t>
        </is>
      </c>
      <c r="F74" s="5" t="inlineStr">
        <is>
          <t>Año 4</t>
        </is>
      </c>
      <c r="G74" s="5" t="inlineStr">
        <is>
          <t>Año 5</t>
        </is>
      </c>
      <c r="H74" s="5" t="inlineStr">
        <is>
          <t>Año 6</t>
        </is>
      </c>
      <c r="I74" s="5" t="inlineStr">
        <is>
          <t>Año 7</t>
        </is>
      </c>
      <c r="J74" s="5" t="inlineStr">
        <is>
          <t>Año 8</t>
        </is>
      </c>
      <c r="K74" s="5" t="inlineStr">
        <is>
          <t>Año 9</t>
        </is>
      </c>
      <c r="L74" s="5" t="inlineStr">
        <is>
          <t>Año 10</t>
        </is>
      </c>
    </row>
    <row r="75">
      <c r="A75" s="6" t="inlineStr">
        <is>
          <t>Saldo inicial</t>
        </is>
      </c>
      <c r="B75" s="11" t="n">
        <v>0</v>
      </c>
      <c r="C75" s="11">
        <f>D33</f>
        <v/>
      </c>
      <c r="D75" s="11">
        <f>C79</f>
        <v/>
      </c>
      <c r="E75" s="11">
        <f>D79</f>
        <v/>
      </c>
      <c r="F75" s="11">
        <f>E79</f>
        <v/>
      </c>
      <c r="G75" s="11">
        <f>F79</f>
        <v/>
      </c>
      <c r="H75" s="11">
        <f>G79</f>
        <v/>
      </c>
      <c r="I75" s="11">
        <f>H79</f>
        <v/>
      </c>
      <c r="J75" s="11">
        <f>I79</f>
        <v/>
      </c>
      <c r="K75" s="11">
        <f>J79</f>
        <v/>
      </c>
      <c r="L75" s="11">
        <f>K79</f>
        <v/>
      </c>
    </row>
    <row r="76">
      <c r="A76" s="6" t="inlineStr">
        <is>
          <t>Abono a capital</t>
        </is>
      </c>
      <c r="B76" s="11" t="n">
        <v>0</v>
      </c>
      <c r="C76" s="11">
        <f>MIN(C78-C77,C75)</f>
        <v/>
      </c>
      <c r="D76" s="11">
        <f>MIN(D78-D77,D75)</f>
        <v/>
      </c>
      <c r="E76" s="11">
        <f>MIN(E78-E77,E75)</f>
        <v/>
      </c>
      <c r="F76" s="11">
        <f>MIN(F78-F77,F75)</f>
        <v/>
      </c>
      <c r="G76" s="11">
        <f>MIN(G78-G77,G75)</f>
        <v/>
      </c>
      <c r="H76" s="11">
        <f>MIN(H78-H77,H75)</f>
        <v/>
      </c>
      <c r="I76" s="11">
        <f>MIN(I78-I77,I75)</f>
        <v/>
      </c>
      <c r="J76" s="11">
        <f>MIN(J78-J77,J75)</f>
        <v/>
      </c>
      <c r="K76" s="11">
        <f>MIN(K78-K77,K75)</f>
        <v/>
      </c>
      <c r="L76" s="11">
        <f>MIN(L78-L77,L75)</f>
        <v/>
      </c>
    </row>
    <row r="77">
      <c r="A77" s="6" t="inlineStr">
        <is>
          <t>Intereses (saldo × tasa)</t>
        </is>
      </c>
      <c r="B77" s="11" t="n">
        <v>0</v>
      </c>
      <c r="C77" s="11">
        <f>C75*$B$9</f>
        <v/>
      </c>
      <c r="D77" s="11">
        <f>D75*$B$9</f>
        <v/>
      </c>
      <c r="E77" s="11">
        <f>E75*$B$9</f>
        <v/>
      </c>
      <c r="F77" s="11">
        <f>F75*$B$9</f>
        <v/>
      </c>
      <c r="G77" s="11">
        <f>G75*$B$9</f>
        <v/>
      </c>
      <c r="H77" s="11">
        <f>H75*$B$9</f>
        <v/>
      </c>
      <c r="I77" s="11">
        <f>I75*$B$9</f>
        <v/>
      </c>
      <c r="J77" s="11">
        <f>J75*$B$9</f>
        <v/>
      </c>
      <c r="K77" s="11">
        <f>K75*$B$9</f>
        <v/>
      </c>
      <c r="L77" s="11">
        <f>L75*$B$9</f>
        <v/>
      </c>
    </row>
    <row r="78">
      <c r="A78" s="6" t="inlineStr">
        <is>
          <t>Cuota total</t>
        </is>
      </c>
      <c r="B78" s="11" t="n">
        <v>0</v>
      </c>
      <c r="C78" s="11">
        <f>IF(C75&gt;0,D33*$B$9/(1-(1+$B$9)^-5),0)</f>
        <v/>
      </c>
      <c r="D78" s="11">
        <f>IF(D75&gt;0,D33*$B$9/(1-(1+$B$9)^-5),0)</f>
        <v/>
      </c>
      <c r="E78" s="11">
        <f>IF(E75&gt;0,D33*$B$9/(1-(1+$B$9)^-5),0)</f>
        <v/>
      </c>
      <c r="F78" s="11">
        <f>IF(F75&gt;0,D33*$B$9/(1-(1+$B$9)^-5),0)</f>
        <v/>
      </c>
      <c r="G78" s="11">
        <f>IF(G75&gt;0,D33*$B$9/(1-(1+$B$9)^-5),0)</f>
        <v/>
      </c>
      <c r="H78" s="11">
        <f>IF(H75&gt;0,D33*$B$9/(1-(1+$B$9)^-5),0)</f>
        <v/>
      </c>
      <c r="I78" s="11">
        <f>IF(I75&gt;0,D33*$B$9/(1-(1+$B$9)^-5),0)</f>
        <v/>
      </c>
      <c r="J78" s="11">
        <f>IF(J75&gt;0,D33*$B$9/(1-(1+$B$9)^-5),0)</f>
        <v/>
      </c>
      <c r="K78" s="11">
        <f>IF(K75&gt;0,D33*$B$9/(1-(1+$B$9)^-5),0)</f>
        <v/>
      </c>
      <c r="L78" s="11">
        <f>IF(L75&gt;0,D33*$B$9/(1-(1+$B$9)^-5),0)</f>
        <v/>
      </c>
    </row>
    <row r="79">
      <c r="A79" s="6" t="inlineStr">
        <is>
          <t>Saldo final</t>
        </is>
      </c>
      <c r="B79" s="11" t="n">
        <v>0</v>
      </c>
      <c r="C79" s="11">
        <f>C75-C76</f>
        <v/>
      </c>
      <c r="D79" s="11">
        <f>D75-D76</f>
        <v/>
      </c>
      <c r="E79" s="11">
        <f>E75-E76</f>
        <v/>
      </c>
      <c r="F79" s="11">
        <f>F75-F76</f>
        <v/>
      </c>
      <c r="G79" s="11">
        <f>G75-G76</f>
        <v/>
      </c>
      <c r="H79" s="11">
        <f>H75-H76</f>
        <v/>
      </c>
      <c r="I79" s="11">
        <f>I75-I76</f>
        <v/>
      </c>
      <c r="J79" s="11">
        <f>J75-J76</f>
        <v/>
      </c>
      <c r="K79" s="11">
        <f>K75-K76</f>
        <v/>
      </c>
      <c r="L79" s="11">
        <f>L75-L76</f>
        <v/>
      </c>
    </row>
    <row r="81">
      <c r="A81" s="3" t="inlineStr">
        <is>
          <t>8. FLUJO DE CAJA DEL PROYECTO (SIN FINANCIAMIENTO)</t>
        </is>
      </c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</row>
    <row r="82">
      <c r="A82" s="3" t="inlineStr">
        <is>
          <t>Concepto</t>
        </is>
      </c>
      <c r="B82" s="5" t="inlineStr">
        <is>
          <t>Año 0</t>
        </is>
      </c>
      <c r="C82" s="5" t="inlineStr">
        <is>
          <t>Año 1</t>
        </is>
      </c>
      <c r="D82" s="5" t="inlineStr">
        <is>
          <t>Año 2</t>
        </is>
      </c>
      <c r="E82" s="5" t="inlineStr">
        <is>
          <t>Año 3</t>
        </is>
      </c>
      <c r="F82" s="5" t="inlineStr">
        <is>
          <t>Año 4</t>
        </is>
      </c>
      <c r="G82" s="5" t="inlineStr">
        <is>
          <t>Año 5</t>
        </is>
      </c>
      <c r="H82" s="5" t="inlineStr">
        <is>
          <t>Año 6</t>
        </is>
      </c>
      <c r="I82" s="5" t="inlineStr">
        <is>
          <t>Año 7</t>
        </is>
      </c>
      <c r="J82" s="5" t="inlineStr">
        <is>
          <t>Año 8</t>
        </is>
      </c>
      <c r="K82" s="5" t="inlineStr">
        <is>
          <t>Año 9</t>
        </is>
      </c>
      <c r="L82" s="5" t="inlineStr">
        <is>
          <t>Año 10</t>
        </is>
      </c>
    </row>
    <row r="83">
      <c r="A83" s="6" t="inlineStr">
        <is>
          <t>(+) Ingreso por ventas</t>
        </is>
      </c>
      <c r="B83" s="11">
        <f>B40</f>
        <v/>
      </c>
      <c r="C83" s="11">
        <f>C40</f>
        <v/>
      </c>
      <c r="D83" s="11">
        <f>D40</f>
        <v/>
      </c>
      <c r="E83" s="11">
        <f>E40</f>
        <v/>
      </c>
      <c r="F83" s="11">
        <f>F40</f>
        <v/>
      </c>
      <c r="G83" s="11">
        <f>G40</f>
        <v/>
      </c>
      <c r="H83" s="11">
        <f>H40</f>
        <v/>
      </c>
      <c r="I83" s="11">
        <f>I40</f>
        <v/>
      </c>
      <c r="J83" s="11">
        <f>J40</f>
        <v/>
      </c>
      <c r="K83" s="11">
        <f>K40</f>
        <v/>
      </c>
      <c r="L83" s="11">
        <f>L40</f>
        <v/>
      </c>
    </row>
    <row r="84">
      <c r="A84" s="6" t="inlineStr">
        <is>
          <t>(−) Costos variables</t>
        </is>
      </c>
      <c r="B84" s="11">
        <f>B47</f>
        <v/>
      </c>
      <c r="C84" s="11">
        <f>C47</f>
        <v/>
      </c>
      <c r="D84" s="11">
        <f>D47</f>
        <v/>
      </c>
      <c r="E84" s="11">
        <f>E47</f>
        <v/>
      </c>
      <c r="F84" s="11">
        <f>F47</f>
        <v/>
      </c>
      <c r="G84" s="11">
        <f>G47</f>
        <v/>
      </c>
      <c r="H84" s="11">
        <f>H47</f>
        <v/>
      </c>
      <c r="I84" s="11">
        <f>I47</f>
        <v/>
      </c>
      <c r="J84" s="11">
        <f>J47</f>
        <v/>
      </c>
      <c r="K84" s="11">
        <f>K47</f>
        <v/>
      </c>
      <c r="L84" s="11">
        <f>L47</f>
        <v/>
      </c>
    </row>
    <row r="85">
      <c r="A85" s="6" t="inlineStr">
        <is>
          <t>(−) Costos fijos</t>
        </is>
      </c>
      <c r="B85" s="11">
        <f>B54</f>
        <v/>
      </c>
      <c r="C85" s="11">
        <f>C54</f>
        <v/>
      </c>
      <c r="D85" s="11">
        <f>D54</f>
        <v/>
      </c>
      <c r="E85" s="11">
        <f>E54</f>
        <v/>
      </c>
      <c r="F85" s="11">
        <f>F54</f>
        <v/>
      </c>
      <c r="G85" s="11">
        <f>G54</f>
        <v/>
      </c>
      <c r="H85" s="11">
        <f>H54</f>
        <v/>
      </c>
      <c r="I85" s="11">
        <f>I54</f>
        <v/>
      </c>
      <c r="J85" s="11">
        <f>J54</f>
        <v/>
      </c>
      <c r="K85" s="11">
        <f>K54</f>
        <v/>
      </c>
      <c r="L85" s="11">
        <f>L54</f>
        <v/>
      </c>
    </row>
    <row r="86">
      <c r="A86" s="6" t="inlineStr">
        <is>
          <t>(−) Depreciación y amortización</t>
        </is>
      </c>
      <c r="B86" s="11" t="n">
        <v>0</v>
      </c>
      <c r="C86" s="11">
        <f>C64</f>
        <v/>
      </c>
      <c r="D86" s="11">
        <f>D64</f>
        <v/>
      </c>
      <c r="E86" s="11">
        <f>E64</f>
        <v/>
      </c>
      <c r="F86" s="11">
        <f>F64</f>
        <v/>
      </c>
      <c r="G86" s="11">
        <f>G64</f>
        <v/>
      </c>
      <c r="H86" s="11">
        <f>H64</f>
        <v/>
      </c>
      <c r="I86" s="11">
        <f>I64</f>
        <v/>
      </c>
      <c r="J86" s="11">
        <f>J64</f>
        <v/>
      </c>
      <c r="K86" s="11">
        <f>K64</f>
        <v/>
      </c>
      <c r="L86" s="11">
        <f>L64</f>
        <v/>
      </c>
    </row>
    <row r="87">
      <c r="A87" s="14" t="inlineStr">
        <is>
          <t>(=) Utilidad antes de impuestos</t>
        </is>
      </c>
      <c r="B87" s="15">
        <f>B83-B84-B85-B86</f>
        <v/>
      </c>
      <c r="C87" s="15">
        <f>C83-C84-C85-C86</f>
        <v/>
      </c>
      <c r="D87" s="15">
        <f>D83-D84-D85-D86</f>
        <v/>
      </c>
      <c r="E87" s="15">
        <f>E83-E84-E85-E86</f>
        <v/>
      </c>
      <c r="F87" s="15">
        <f>F83-F84-F85-F86</f>
        <v/>
      </c>
      <c r="G87" s="15">
        <f>G83-G84-G85-G86</f>
        <v/>
      </c>
      <c r="H87" s="15">
        <f>H83-H84-H85-H86</f>
        <v/>
      </c>
      <c r="I87" s="15">
        <f>I83-I84-I85-I86</f>
        <v/>
      </c>
      <c r="J87" s="15">
        <f>J83-J84-J85-J86</f>
        <v/>
      </c>
      <c r="K87" s="15">
        <f>K83-K84-K85-K86</f>
        <v/>
      </c>
      <c r="L87" s="15">
        <f>L83-L84-L85-L86</f>
        <v/>
      </c>
    </row>
    <row r="88">
      <c r="A88" s="6" t="inlineStr">
        <is>
          <t>(−) Impuesto sobre la renta</t>
        </is>
      </c>
      <c r="B88" s="11">
        <f>IF(B87&gt;0,$B$6*B87+$B$7*MAX(0,B87-$B$8),0)</f>
        <v/>
      </c>
      <c r="C88" s="11">
        <f>IF(C87&gt;0,$B$6*C87+$B$7*MAX(0,C87-$B$8),0)</f>
        <v/>
      </c>
      <c r="D88" s="11">
        <f>IF(D87&gt;0,$B$6*D87+$B$7*MAX(0,D87-$B$8),0)</f>
        <v/>
      </c>
      <c r="E88" s="11">
        <f>IF(E87&gt;0,$B$6*E87+$B$7*MAX(0,E87-$B$8),0)</f>
        <v/>
      </c>
      <c r="F88" s="11">
        <f>IF(F87&gt;0,$B$6*F87+$B$7*MAX(0,F87-$B$8),0)</f>
        <v/>
      </c>
      <c r="G88" s="11">
        <f>IF(G87&gt;0,$B$6*G87+$B$7*MAX(0,G87-$B$8),0)</f>
        <v/>
      </c>
      <c r="H88" s="11">
        <f>IF(H87&gt;0,$B$6*H87+$B$7*MAX(0,H87-$B$8),0)</f>
        <v/>
      </c>
      <c r="I88" s="11">
        <f>IF(I87&gt;0,$B$6*I87+$B$7*MAX(0,I87-$B$8),0)</f>
        <v/>
      </c>
      <c r="J88" s="11">
        <f>IF(J87&gt;0,$B$6*J87+$B$7*MAX(0,J87-$B$8),0)</f>
        <v/>
      </c>
      <c r="K88" s="11">
        <f>IF(K87&gt;0,$B$6*K87+$B$7*MAX(0,K87-$B$8),0)</f>
        <v/>
      </c>
      <c r="L88" s="11">
        <f>IF(L87&gt;0,$B$6*L87+$B$7*MAX(0,L87-$B$8),0)</f>
        <v/>
      </c>
    </row>
    <row r="89">
      <c r="A89" s="14" t="inlineStr">
        <is>
          <t>(=) Utilidad después de impuestos</t>
        </is>
      </c>
      <c r="B89" s="15">
        <f>B87-B88</f>
        <v/>
      </c>
      <c r="C89" s="15">
        <f>C87-C88</f>
        <v/>
      </c>
      <c r="D89" s="15">
        <f>D87-D88</f>
        <v/>
      </c>
      <c r="E89" s="15">
        <f>E87-E88</f>
        <v/>
      </c>
      <c r="F89" s="15">
        <f>F87-F88</f>
        <v/>
      </c>
      <c r="G89" s="15">
        <f>G87-G88</f>
        <v/>
      </c>
      <c r="H89" s="15">
        <f>H87-H88</f>
        <v/>
      </c>
      <c r="I89" s="15">
        <f>I87-I88</f>
        <v/>
      </c>
      <c r="J89" s="15">
        <f>J87-J88</f>
        <v/>
      </c>
      <c r="K89" s="15">
        <f>K87-K88</f>
        <v/>
      </c>
      <c r="L89" s="15">
        <f>L87-L88</f>
        <v/>
      </c>
    </row>
    <row r="90">
      <c r="A90" s="6" t="inlineStr">
        <is>
          <t>(+) Depreciación y amortización</t>
        </is>
      </c>
      <c r="B90" s="11" t="n">
        <v>0</v>
      </c>
      <c r="C90" s="11">
        <f>C64</f>
        <v/>
      </c>
      <c r="D90" s="11">
        <f>D64</f>
        <v/>
      </c>
      <c r="E90" s="11">
        <f>E64</f>
        <v/>
      </c>
      <c r="F90" s="11">
        <f>F64</f>
        <v/>
      </c>
      <c r="G90" s="11">
        <f>G64</f>
        <v/>
      </c>
      <c r="H90" s="11">
        <f>H64</f>
        <v/>
      </c>
      <c r="I90" s="11">
        <f>I64</f>
        <v/>
      </c>
      <c r="J90" s="11">
        <f>J64</f>
        <v/>
      </c>
      <c r="K90" s="11">
        <f>K64</f>
        <v/>
      </c>
      <c r="L90" s="11">
        <f>L64</f>
        <v/>
      </c>
    </row>
    <row r="91">
      <c r="A91" s="6" t="inlineStr">
        <is>
          <t>(+) Valor de desecho</t>
        </is>
      </c>
      <c r="B91" s="11" t="n">
        <v>0</v>
      </c>
      <c r="C91" s="11" t="n">
        <v>0</v>
      </c>
      <c r="D91" s="11" t="n">
        <v>0</v>
      </c>
      <c r="E91" s="11" t="n">
        <v>0</v>
      </c>
      <c r="F91" s="11" t="n">
        <v>0</v>
      </c>
      <c r="G91" s="11" t="n">
        <v>0</v>
      </c>
      <c r="H91" s="11" t="n">
        <v>0</v>
      </c>
      <c r="I91" s="11" t="n">
        <v>0</v>
      </c>
      <c r="J91" s="11" t="n">
        <v>0</v>
      </c>
      <c r="K91" s="11" t="n">
        <v>0</v>
      </c>
      <c r="L91" s="11">
        <f>L68</f>
        <v/>
      </c>
    </row>
    <row r="92">
      <c r="A92" s="6" t="inlineStr">
        <is>
          <t>(+) Recuperación capital de trabajo</t>
        </is>
      </c>
      <c r="B92" s="11">
        <f>B71</f>
        <v/>
      </c>
      <c r="C92" s="11">
        <f>C71</f>
        <v/>
      </c>
      <c r="D92" s="11">
        <f>D71</f>
        <v/>
      </c>
      <c r="E92" s="11">
        <f>E71</f>
        <v/>
      </c>
      <c r="F92" s="11">
        <f>F71</f>
        <v/>
      </c>
      <c r="G92" s="11">
        <f>G71</f>
        <v/>
      </c>
      <c r="H92" s="11">
        <f>H71</f>
        <v/>
      </c>
      <c r="I92" s="11">
        <f>I71</f>
        <v/>
      </c>
      <c r="J92" s="11">
        <f>J71</f>
        <v/>
      </c>
      <c r="K92" s="11">
        <f>K71</f>
        <v/>
      </c>
      <c r="L92" s="11">
        <f>L71</f>
        <v/>
      </c>
    </row>
    <row r="93">
      <c r="A93" s="6" t="inlineStr">
        <is>
          <t>(−) Inversión en activos fijos</t>
        </is>
      </c>
      <c r="B93" s="11">
        <f>SUM(B26:B31)</f>
        <v/>
      </c>
      <c r="C93" s="11" t="n">
        <v>0</v>
      </c>
      <c r="D93" s="11" t="n">
        <v>0</v>
      </c>
      <c r="E93" s="11" t="n">
        <v>0</v>
      </c>
      <c r="F93" s="11" t="n">
        <v>0</v>
      </c>
      <c r="G93" s="11" t="n">
        <v>0</v>
      </c>
      <c r="H93" s="11" t="n">
        <v>0</v>
      </c>
      <c r="I93" s="11" t="n">
        <v>0</v>
      </c>
      <c r="J93" s="11" t="n">
        <v>0</v>
      </c>
      <c r="K93" s="11" t="n">
        <v>0</v>
      </c>
      <c r="L93" s="11" t="n">
        <v>0</v>
      </c>
    </row>
    <row r="94">
      <c r="A94" s="6" t="inlineStr">
        <is>
          <t>(−) Inversión en capital de trabajo</t>
        </is>
      </c>
      <c r="B94" s="11">
        <f>B70</f>
        <v/>
      </c>
      <c r="C94" s="11">
        <f>C70</f>
        <v/>
      </c>
      <c r="D94" s="11">
        <f>D70</f>
        <v/>
      </c>
      <c r="E94" s="11">
        <f>E70</f>
        <v/>
      </c>
      <c r="F94" s="11">
        <f>F70</f>
        <v/>
      </c>
      <c r="G94" s="11">
        <f>G70</f>
        <v/>
      </c>
      <c r="H94" s="11">
        <f>H70</f>
        <v/>
      </c>
      <c r="I94" s="11">
        <f>I70</f>
        <v/>
      </c>
      <c r="J94" s="11">
        <f>J70</f>
        <v/>
      </c>
      <c r="K94" s="11">
        <f>K70</f>
        <v/>
      </c>
      <c r="L94" s="11">
        <f>L70</f>
        <v/>
      </c>
    </row>
    <row r="95">
      <c r="A95" s="14" t="inlineStr">
        <is>
          <t>(=) FLUJO DE CAJA NETO</t>
        </is>
      </c>
      <c r="B95" s="15">
        <f>B89+B90+B91+B92-B93-B94</f>
        <v/>
      </c>
      <c r="C95" s="15">
        <f>C89+C90+C91+C92-C93-C94</f>
        <v/>
      </c>
      <c r="D95" s="15">
        <f>D89+D90+D91+D92-D93-D94</f>
        <v/>
      </c>
      <c r="E95" s="15">
        <f>E89+E90+E91+E92-E93-E94</f>
        <v/>
      </c>
      <c r="F95" s="15">
        <f>F89+F90+F91+F92-F93-F94</f>
        <v/>
      </c>
      <c r="G95" s="15">
        <f>G89+G90+G91+G92-G93-G94</f>
        <v/>
      </c>
      <c r="H95" s="15">
        <f>H89+H90+H91+H92-H93-H94</f>
        <v/>
      </c>
      <c r="I95" s="15">
        <f>I89+I90+I91+I92-I93-I94</f>
        <v/>
      </c>
      <c r="J95" s="15">
        <f>J89+J90+J91+J92-J93-J94</f>
        <v/>
      </c>
      <c r="K95" s="15">
        <f>K89+K90+K91+K92-K93-K94</f>
        <v/>
      </c>
      <c r="L95" s="15">
        <f>L89+L90+L91+L92-L93-L94</f>
        <v/>
      </c>
    </row>
    <row r="96">
      <c r="A96" s="17" t="inlineStr">
        <is>
          <t>Flujo de caja acumulado</t>
        </is>
      </c>
      <c r="B96" s="18">
        <f>B95</f>
        <v/>
      </c>
      <c r="C96" s="18">
        <f>B96+C95</f>
        <v/>
      </c>
      <c r="D96" s="18">
        <f>C96+D95</f>
        <v/>
      </c>
      <c r="E96" s="18">
        <f>D96+E95</f>
        <v/>
      </c>
      <c r="F96" s="18">
        <f>E96+F95</f>
        <v/>
      </c>
      <c r="G96" s="18">
        <f>F96+G95</f>
        <v/>
      </c>
      <c r="H96" s="18">
        <f>G96+H95</f>
        <v/>
      </c>
      <c r="I96" s="18">
        <f>H96+I95</f>
        <v/>
      </c>
      <c r="J96" s="18">
        <f>I96+J95</f>
        <v/>
      </c>
      <c r="K96" s="18">
        <f>J96+K95</f>
        <v/>
      </c>
      <c r="L96" s="18">
        <f>K96+L95</f>
        <v/>
      </c>
    </row>
    <row r="98">
      <c r="A98" s="3" t="inlineStr">
        <is>
          <t>9. FLUJO DE CAJA DEL PROYECTO (CON FINANCIAMIENTO)</t>
        </is>
      </c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</row>
    <row r="99">
      <c r="A99" s="3" t="inlineStr">
        <is>
          <t>Concepto</t>
        </is>
      </c>
      <c r="B99" s="5" t="inlineStr">
        <is>
          <t>Año 0</t>
        </is>
      </c>
      <c r="C99" s="5" t="inlineStr">
        <is>
          <t>Año 1</t>
        </is>
      </c>
      <c r="D99" s="5" t="inlineStr">
        <is>
          <t>Año 2</t>
        </is>
      </c>
      <c r="E99" s="5" t="inlineStr">
        <is>
          <t>Año 3</t>
        </is>
      </c>
      <c r="F99" s="5" t="inlineStr">
        <is>
          <t>Año 4</t>
        </is>
      </c>
      <c r="G99" s="5" t="inlineStr">
        <is>
          <t>Año 5</t>
        </is>
      </c>
      <c r="H99" s="5" t="inlineStr">
        <is>
          <t>Año 6</t>
        </is>
      </c>
      <c r="I99" s="5" t="inlineStr">
        <is>
          <t>Año 7</t>
        </is>
      </c>
      <c r="J99" s="5" t="inlineStr">
        <is>
          <t>Año 8</t>
        </is>
      </c>
      <c r="K99" s="5" t="inlineStr">
        <is>
          <t>Año 9</t>
        </is>
      </c>
      <c r="L99" s="5" t="inlineStr">
        <is>
          <t>Año 10</t>
        </is>
      </c>
    </row>
    <row r="100">
      <c r="A100" s="6" t="inlineStr">
        <is>
          <t>(+) Ingreso por ventas</t>
        </is>
      </c>
      <c r="B100" s="11">
        <f>B40</f>
        <v/>
      </c>
      <c r="C100" s="11">
        <f>C40</f>
        <v/>
      </c>
      <c r="D100" s="11">
        <f>D40</f>
        <v/>
      </c>
      <c r="E100" s="11">
        <f>E40</f>
        <v/>
      </c>
      <c r="F100" s="11">
        <f>F40</f>
        <v/>
      </c>
      <c r="G100" s="11">
        <f>G40</f>
        <v/>
      </c>
      <c r="H100" s="11">
        <f>H40</f>
        <v/>
      </c>
      <c r="I100" s="11">
        <f>I40</f>
        <v/>
      </c>
      <c r="J100" s="11">
        <f>J40</f>
        <v/>
      </c>
      <c r="K100" s="11">
        <f>K40</f>
        <v/>
      </c>
      <c r="L100" s="11">
        <f>L40</f>
        <v/>
      </c>
    </row>
    <row r="101">
      <c r="A101" s="6" t="inlineStr">
        <is>
          <t>(−) Costos variables</t>
        </is>
      </c>
      <c r="B101" s="11">
        <f>B47</f>
        <v/>
      </c>
      <c r="C101" s="11">
        <f>C47</f>
        <v/>
      </c>
      <c r="D101" s="11">
        <f>D47</f>
        <v/>
      </c>
      <c r="E101" s="11">
        <f>E47</f>
        <v/>
      </c>
      <c r="F101" s="11">
        <f>F47</f>
        <v/>
      </c>
      <c r="G101" s="11">
        <f>G47</f>
        <v/>
      </c>
      <c r="H101" s="11">
        <f>H47</f>
        <v/>
      </c>
      <c r="I101" s="11">
        <f>I47</f>
        <v/>
      </c>
      <c r="J101" s="11">
        <f>J47</f>
        <v/>
      </c>
      <c r="K101" s="11">
        <f>K47</f>
        <v/>
      </c>
      <c r="L101" s="11">
        <f>L47</f>
        <v/>
      </c>
    </row>
    <row r="102">
      <c r="A102" s="6" t="inlineStr">
        <is>
          <t>(−) Costos fijos</t>
        </is>
      </c>
      <c r="B102" s="11">
        <f>B54</f>
        <v/>
      </c>
      <c r="C102" s="11">
        <f>C54</f>
        <v/>
      </c>
      <c r="D102" s="11">
        <f>D54</f>
        <v/>
      </c>
      <c r="E102" s="11">
        <f>E54</f>
        <v/>
      </c>
      <c r="F102" s="11">
        <f>F54</f>
        <v/>
      </c>
      <c r="G102" s="11">
        <f>G54</f>
        <v/>
      </c>
      <c r="H102" s="11">
        <f>H54</f>
        <v/>
      </c>
      <c r="I102" s="11">
        <f>I54</f>
        <v/>
      </c>
      <c r="J102" s="11">
        <f>J54</f>
        <v/>
      </c>
      <c r="K102" s="11">
        <f>K54</f>
        <v/>
      </c>
      <c r="L102" s="11">
        <f>L54</f>
        <v/>
      </c>
    </row>
    <row r="103">
      <c r="A103" s="6" t="inlineStr">
        <is>
          <t>(−) Gastos financieros (intereses)</t>
        </is>
      </c>
      <c r="B103" s="11" t="n">
        <v>0</v>
      </c>
      <c r="C103" s="11">
        <f>C77</f>
        <v/>
      </c>
      <c r="D103" s="11">
        <f>D77</f>
        <v/>
      </c>
      <c r="E103" s="11">
        <f>E77</f>
        <v/>
      </c>
      <c r="F103" s="11">
        <f>F77</f>
        <v/>
      </c>
      <c r="G103" s="11">
        <f>G77</f>
        <v/>
      </c>
      <c r="H103" s="11">
        <f>H77</f>
        <v/>
      </c>
      <c r="I103" s="11">
        <f>I77</f>
        <v/>
      </c>
      <c r="J103" s="11">
        <f>J77</f>
        <v/>
      </c>
      <c r="K103" s="11">
        <f>K77</f>
        <v/>
      </c>
      <c r="L103" s="11">
        <f>L77</f>
        <v/>
      </c>
    </row>
    <row r="104">
      <c r="A104" s="6" t="inlineStr">
        <is>
          <t>(−) Depreciación y amortización</t>
        </is>
      </c>
      <c r="B104" s="11" t="n">
        <v>0</v>
      </c>
      <c r="C104" s="11">
        <f>C64</f>
        <v/>
      </c>
      <c r="D104" s="11">
        <f>D64</f>
        <v/>
      </c>
      <c r="E104" s="11">
        <f>E64</f>
        <v/>
      </c>
      <c r="F104" s="11">
        <f>F64</f>
        <v/>
      </c>
      <c r="G104" s="11">
        <f>G64</f>
        <v/>
      </c>
      <c r="H104" s="11">
        <f>H64</f>
        <v/>
      </c>
      <c r="I104" s="11">
        <f>I64</f>
        <v/>
      </c>
      <c r="J104" s="11">
        <f>J64</f>
        <v/>
      </c>
      <c r="K104" s="11">
        <f>K64</f>
        <v/>
      </c>
      <c r="L104" s="11">
        <f>L64</f>
        <v/>
      </c>
    </row>
    <row r="105">
      <c r="A105" s="14" t="inlineStr">
        <is>
          <t>(=) Utilidad antes de impuestos</t>
        </is>
      </c>
      <c r="B105" s="15">
        <f>B100-B101-B102-B103-B104</f>
        <v/>
      </c>
      <c r="C105" s="15">
        <f>C100-C101-C102-C103-C104</f>
        <v/>
      </c>
      <c r="D105" s="15">
        <f>D100-D101-D102-D103-D104</f>
        <v/>
      </c>
      <c r="E105" s="15">
        <f>E100-E101-E102-E103-E104</f>
        <v/>
      </c>
      <c r="F105" s="15">
        <f>F100-F101-F102-F103-F104</f>
        <v/>
      </c>
      <c r="G105" s="15">
        <f>G100-G101-G102-G103-G104</f>
        <v/>
      </c>
      <c r="H105" s="15">
        <f>H100-H101-H102-H103-H104</f>
        <v/>
      </c>
      <c r="I105" s="15">
        <f>I100-I101-I102-I103-I104</f>
        <v/>
      </c>
      <c r="J105" s="15">
        <f>J100-J101-J102-J103-J104</f>
        <v/>
      </c>
      <c r="K105" s="15">
        <f>K100-K101-K102-K103-K104</f>
        <v/>
      </c>
      <c r="L105" s="15">
        <f>L100-L101-L102-L103-L104</f>
        <v/>
      </c>
    </row>
    <row r="106">
      <c r="A106" s="6" t="inlineStr">
        <is>
          <t>(−) Impuesto sobre la renta</t>
        </is>
      </c>
      <c r="B106" s="11">
        <f>IF(B105&gt;0,$B$6*B105+$B$7*MAX(0,B105-$B$8),0)</f>
        <v/>
      </c>
      <c r="C106" s="11">
        <f>IF(C105&gt;0,$B$6*C105+$B$7*MAX(0,C105-$B$8),0)</f>
        <v/>
      </c>
      <c r="D106" s="11">
        <f>IF(D105&gt;0,$B$6*D105+$B$7*MAX(0,D105-$B$8),0)</f>
        <v/>
      </c>
      <c r="E106" s="11">
        <f>IF(E105&gt;0,$B$6*E105+$B$7*MAX(0,E105-$B$8),0)</f>
        <v/>
      </c>
      <c r="F106" s="11">
        <f>IF(F105&gt;0,$B$6*F105+$B$7*MAX(0,F105-$B$8),0)</f>
        <v/>
      </c>
      <c r="G106" s="11">
        <f>IF(G105&gt;0,$B$6*G105+$B$7*MAX(0,G105-$B$8),0)</f>
        <v/>
      </c>
      <c r="H106" s="11">
        <f>IF(H105&gt;0,$B$6*H105+$B$7*MAX(0,H105-$B$8),0)</f>
        <v/>
      </c>
      <c r="I106" s="11">
        <f>IF(I105&gt;0,$B$6*I105+$B$7*MAX(0,I105-$B$8),0)</f>
        <v/>
      </c>
      <c r="J106" s="11">
        <f>IF(J105&gt;0,$B$6*J105+$B$7*MAX(0,J105-$B$8),0)</f>
        <v/>
      </c>
      <c r="K106" s="11">
        <f>IF(K105&gt;0,$B$6*K105+$B$7*MAX(0,K105-$B$8),0)</f>
        <v/>
      </c>
      <c r="L106" s="11">
        <f>IF(L105&gt;0,$B$6*L105+$B$7*MAX(0,L105-$B$8),0)</f>
        <v/>
      </c>
    </row>
    <row r="107">
      <c r="A107" s="14" t="inlineStr">
        <is>
          <t>(=) Utilidad después de impuestos</t>
        </is>
      </c>
      <c r="B107" s="15">
        <f>B105-B106</f>
        <v/>
      </c>
      <c r="C107" s="15">
        <f>C105-C106</f>
        <v/>
      </c>
      <c r="D107" s="15">
        <f>D105-D106</f>
        <v/>
      </c>
      <c r="E107" s="15">
        <f>E105-E106</f>
        <v/>
      </c>
      <c r="F107" s="15">
        <f>F105-F106</f>
        <v/>
      </c>
      <c r="G107" s="15">
        <f>G105-G106</f>
        <v/>
      </c>
      <c r="H107" s="15">
        <f>H105-H106</f>
        <v/>
      </c>
      <c r="I107" s="15">
        <f>I105-I106</f>
        <v/>
      </c>
      <c r="J107" s="15">
        <f>J105-J106</f>
        <v/>
      </c>
      <c r="K107" s="15">
        <f>K105-K106</f>
        <v/>
      </c>
      <c r="L107" s="15">
        <f>L105-L106</f>
        <v/>
      </c>
    </row>
    <row r="108">
      <c r="A108" s="6" t="inlineStr">
        <is>
          <t>(+) Depreciación y amortización</t>
        </is>
      </c>
      <c r="B108" s="11" t="n">
        <v>0</v>
      </c>
      <c r="C108" s="11">
        <f>C64</f>
        <v/>
      </c>
      <c r="D108" s="11">
        <f>D64</f>
        <v/>
      </c>
      <c r="E108" s="11">
        <f>E64</f>
        <v/>
      </c>
      <c r="F108" s="11">
        <f>F64</f>
        <v/>
      </c>
      <c r="G108" s="11">
        <f>G64</f>
        <v/>
      </c>
      <c r="H108" s="11">
        <f>H64</f>
        <v/>
      </c>
      <c r="I108" s="11">
        <f>I64</f>
        <v/>
      </c>
      <c r="J108" s="11">
        <f>J64</f>
        <v/>
      </c>
      <c r="K108" s="11">
        <f>K64</f>
        <v/>
      </c>
      <c r="L108" s="11">
        <f>L64</f>
        <v/>
      </c>
    </row>
    <row r="109">
      <c r="A109" s="6" t="inlineStr">
        <is>
          <t>(+) Valor de desecho</t>
        </is>
      </c>
      <c r="B109" s="11" t="n">
        <v>0</v>
      </c>
      <c r="C109" s="11" t="n">
        <v>0</v>
      </c>
      <c r="D109" s="11" t="n">
        <v>0</v>
      </c>
      <c r="E109" s="11" t="n">
        <v>0</v>
      </c>
      <c r="F109" s="11" t="n">
        <v>0</v>
      </c>
      <c r="G109" s="11" t="n">
        <v>0</v>
      </c>
      <c r="H109" s="11" t="n">
        <v>0</v>
      </c>
      <c r="I109" s="11" t="n">
        <v>0</v>
      </c>
      <c r="J109" s="11" t="n">
        <v>0</v>
      </c>
      <c r="K109" s="11" t="n">
        <v>0</v>
      </c>
      <c r="L109" s="11">
        <f>L68</f>
        <v/>
      </c>
    </row>
    <row r="110">
      <c r="A110" s="6" t="inlineStr">
        <is>
          <t>(+) Recuperación capital de trabajo</t>
        </is>
      </c>
      <c r="B110" s="11">
        <f>B71</f>
        <v/>
      </c>
      <c r="C110" s="11">
        <f>C71</f>
        <v/>
      </c>
      <c r="D110" s="11">
        <f>D71</f>
        <v/>
      </c>
      <c r="E110" s="11">
        <f>E71</f>
        <v/>
      </c>
      <c r="F110" s="11">
        <f>F71</f>
        <v/>
      </c>
      <c r="G110" s="11">
        <f>G71</f>
        <v/>
      </c>
      <c r="H110" s="11">
        <f>H71</f>
        <v/>
      </c>
      <c r="I110" s="11">
        <f>I71</f>
        <v/>
      </c>
      <c r="J110" s="11">
        <f>J71</f>
        <v/>
      </c>
      <c r="K110" s="11">
        <f>K71</f>
        <v/>
      </c>
      <c r="L110" s="11">
        <f>L71</f>
        <v/>
      </c>
    </row>
    <row r="111">
      <c r="A111" s="6" t="inlineStr">
        <is>
          <t>(+) Préstamo bancario (Año 0)</t>
        </is>
      </c>
      <c r="B111" s="11">
        <f>D33</f>
        <v/>
      </c>
      <c r="C111" s="11" t="n">
        <v>0</v>
      </c>
      <c r="D111" s="11" t="n">
        <v>0</v>
      </c>
      <c r="E111" s="11" t="n">
        <v>0</v>
      </c>
      <c r="F111" s="11" t="n">
        <v>0</v>
      </c>
      <c r="G111" s="11" t="n">
        <v>0</v>
      </c>
      <c r="H111" s="11" t="n">
        <v>0</v>
      </c>
      <c r="I111" s="11" t="n">
        <v>0</v>
      </c>
      <c r="J111" s="11" t="n">
        <v>0</v>
      </c>
      <c r="K111" s="11" t="n">
        <v>0</v>
      </c>
      <c r="L111" s="11" t="n">
        <v>0</v>
      </c>
    </row>
    <row r="112">
      <c r="A112" s="6" t="inlineStr">
        <is>
          <t>(−) Inversión en activos fijos</t>
        </is>
      </c>
      <c r="B112" s="11">
        <f>SUM(B26:B31)</f>
        <v/>
      </c>
      <c r="C112" s="11" t="n">
        <v>0</v>
      </c>
      <c r="D112" s="11" t="n">
        <v>0</v>
      </c>
      <c r="E112" s="11" t="n">
        <v>0</v>
      </c>
      <c r="F112" s="11" t="n">
        <v>0</v>
      </c>
      <c r="G112" s="11" t="n">
        <v>0</v>
      </c>
      <c r="H112" s="11" t="n">
        <v>0</v>
      </c>
      <c r="I112" s="11" t="n">
        <v>0</v>
      </c>
      <c r="J112" s="11" t="n">
        <v>0</v>
      </c>
      <c r="K112" s="11" t="n">
        <v>0</v>
      </c>
      <c r="L112" s="11" t="n">
        <v>0</v>
      </c>
    </row>
    <row r="113">
      <c r="A113" s="6" t="inlineStr">
        <is>
          <t>(−) Inversión en capital de trabajo</t>
        </is>
      </c>
      <c r="B113" s="11">
        <f>B70</f>
        <v/>
      </c>
      <c r="C113" s="11">
        <f>C70</f>
        <v/>
      </c>
      <c r="D113" s="11">
        <f>D70</f>
        <v/>
      </c>
      <c r="E113" s="11">
        <f>E70</f>
        <v/>
      </c>
      <c r="F113" s="11">
        <f>F70</f>
        <v/>
      </c>
      <c r="G113" s="11">
        <f>G70</f>
        <v/>
      </c>
      <c r="H113" s="11">
        <f>H70</f>
        <v/>
      </c>
      <c r="I113" s="11">
        <f>I70</f>
        <v/>
      </c>
      <c r="J113" s="11">
        <f>J70</f>
        <v/>
      </c>
      <c r="K113" s="11">
        <f>K70</f>
        <v/>
      </c>
      <c r="L113" s="11">
        <f>L70</f>
        <v/>
      </c>
    </row>
    <row r="114">
      <c r="A114" s="6" t="inlineStr">
        <is>
          <t>(−) Abono a capital del préstamo</t>
        </is>
      </c>
      <c r="B114" s="11" t="n">
        <v>0</v>
      </c>
      <c r="C114" s="11">
        <f>C76</f>
        <v/>
      </c>
      <c r="D114" s="11">
        <f>D76</f>
        <v/>
      </c>
      <c r="E114" s="11">
        <f>E76</f>
        <v/>
      </c>
      <c r="F114" s="11">
        <f>F76</f>
        <v/>
      </c>
      <c r="G114" s="11">
        <f>G76</f>
        <v/>
      </c>
      <c r="H114" s="11">
        <f>H76</f>
        <v/>
      </c>
      <c r="I114" s="11">
        <f>I76</f>
        <v/>
      </c>
      <c r="J114" s="11">
        <f>J76</f>
        <v/>
      </c>
      <c r="K114" s="11">
        <f>K76</f>
        <v/>
      </c>
      <c r="L114" s="11">
        <f>L76</f>
        <v/>
      </c>
    </row>
    <row r="115">
      <c r="A115" s="14" t="inlineStr">
        <is>
          <t>(=) FLUJO DE CAJA NETO</t>
        </is>
      </c>
      <c r="B115" s="15">
        <f>B107+B108+B109+B110+B111-B112-B113-B114</f>
        <v/>
      </c>
      <c r="C115" s="15">
        <f>C107+C108+C109+C110+C111-C112-C113-C114</f>
        <v/>
      </c>
      <c r="D115" s="15">
        <f>D107+D108+D109+D110+D111-D112-D113-D114</f>
        <v/>
      </c>
      <c r="E115" s="15">
        <f>E107+E108+E109+E110+E111-E112-E113-E114</f>
        <v/>
      </c>
      <c r="F115" s="15">
        <f>F107+F108+F109+F110+F111-F112-F113-F114</f>
        <v/>
      </c>
      <c r="G115" s="15">
        <f>G107+G108+G109+G110+G111-G112-G113-G114</f>
        <v/>
      </c>
      <c r="H115" s="15">
        <f>H107+H108+H109+H110+H111-H112-H113-H114</f>
        <v/>
      </c>
      <c r="I115" s="15">
        <f>I107+I108+I109+I110+I111-I112-I113-I114</f>
        <v/>
      </c>
      <c r="J115" s="15">
        <f>J107+J108+J109+J110+J111-J112-J113-J114</f>
        <v/>
      </c>
      <c r="K115" s="15">
        <f>K107+K108+K109+K110+K111-K112-K113-K114</f>
        <v/>
      </c>
      <c r="L115" s="15">
        <f>L107+L108+L109+L110+L111-L112-L113-L114</f>
        <v/>
      </c>
    </row>
    <row r="116">
      <c r="A116" s="17" t="inlineStr">
        <is>
          <t>Flujo de caja acumulado</t>
        </is>
      </c>
      <c r="B116" s="18">
        <f>B115</f>
        <v/>
      </c>
      <c r="C116" s="18">
        <f>B116+C115</f>
        <v/>
      </c>
      <c r="D116" s="18">
        <f>C116+D115</f>
        <v/>
      </c>
      <c r="E116" s="18">
        <f>D116+E115</f>
        <v/>
      </c>
      <c r="F116" s="18">
        <f>E116+F115</f>
        <v/>
      </c>
      <c r="G116" s="18">
        <f>F116+G115</f>
        <v/>
      </c>
      <c r="H116" s="18">
        <f>G116+H115</f>
        <v/>
      </c>
      <c r="I116" s="18">
        <f>H116+I115</f>
        <v/>
      </c>
      <c r="J116" s="18">
        <f>I116+J115</f>
        <v/>
      </c>
      <c r="K116" s="18">
        <f>J116+K115</f>
        <v/>
      </c>
      <c r="L116" s="18">
        <f>K116+L115</f>
        <v/>
      </c>
    </row>
    <row r="118">
      <c r="A118" s="3" t="inlineStr">
        <is>
          <t>10. COSTO DE CAPITAL — PROYECTO PURO (sin financiamiento)</t>
        </is>
      </c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</row>
    <row r="119">
      <c r="A119" s="3" t="inlineStr">
        <is>
          <t>Fuente</t>
        </is>
      </c>
      <c r="B119" s="5" t="inlineStr">
        <is>
          <t>Monto</t>
        </is>
      </c>
      <c r="C119" s="5" t="inlineStr">
        <is>
          <t>Participación</t>
        </is>
      </c>
      <c r="D119" s="5" t="inlineStr">
        <is>
          <t>Costo</t>
        </is>
      </c>
      <c r="E119" s="5" t="inlineStr">
        <is>
          <t>Costo ponderado</t>
        </is>
      </c>
      <c r="F119" s="4" t="n"/>
      <c r="G119" s="4" t="n"/>
      <c r="H119" s="4" t="n"/>
      <c r="I119" s="4" t="n"/>
      <c r="J119" s="4" t="n"/>
      <c r="K119" s="4" t="n"/>
      <c r="L119" s="4" t="n"/>
    </row>
    <row r="120">
      <c r="A120" s="6" t="inlineStr">
        <is>
          <t>Recursos propios (100%)</t>
        </is>
      </c>
      <c r="B120" s="11">
        <f>B33</f>
        <v/>
      </c>
      <c r="C120" s="19">
        <f>B120/B121</f>
        <v/>
      </c>
      <c r="D120" s="19">
        <f>$B$12</f>
        <v/>
      </c>
      <c r="E120" s="19">
        <f>C120*D120</f>
        <v/>
      </c>
    </row>
    <row r="121">
      <c r="A121" s="14" t="inlineStr">
        <is>
          <t>TOTAL / Tasa de descuento del proyecto</t>
        </is>
      </c>
      <c r="B121" s="15">
        <f>B120</f>
        <v/>
      </c>
      <c r="C121" s="20" t="n">
        <v>1</v>
      </c>
      <c r="D121" s="21" t="inlineStr">
        <is>
          <t>-</t>
        </is>
      </c>
      <c r="E121" s="20">
        <f>E120</f>
        <v/>
      </c>
    </row>
    <row r="123">
      <c r="A123" s="3" t="inlineStr">
        <is>
          <t>11. INDICADORES FINANCIEROS — PROYECTO PURO</t>
        </is>
      </c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</row>
    <row r="124">
      <c r="A124" s="17" t="inlineStr">
        <is>
          <t>VAN (Valor Actual Neto)</t>
        </is>
      </c>
      <c r="B124" s="8">
        <f>NPV(E121,C95:L95)+B95</f>
        <v/>
      </c>
    </row>
    <row r="125">
      <c r="A125" s="17" t="inlineStr">
        <is>
          <t>TIR (Tasa Interna de Retorno)</t>
        </is>
      </c>
      <c r="B125" s="7">
        <f>IRR(B95:L95)</f>
        <v/>
      </c>
    </row>
    <row r="126">
      <c r="A126" s="17" t="inlineStr">
        <is>
          <t>PRI (años de recuperación)</t>
        </is>
      </c>
      <c r="B126" s="9">
        <f>IF(COUNTIF(B96:L96,"&lt;0")=11,"&gt;10",(COUNTIF(B96:L96,"&lt;0")-1)+(-INDEX(B96:L96,COUNTIF(B96:L96,"&lt;0")))/INDEX(B95:L95,COUNTIF(B96:L96,"&lt;0")+1))</f>
        <v/>
      </c>
    </row>
    <row r="127">
      <c r="A127" s="17" t="inlineStr">
        <is>
          <t>Relación Beneficio/Costo</t>
        </is>
      </c>
      <c r="B127" s="9">
        <f>NPV(E121,C40:L40)/(B33+NPV(E121,C47:L47)+NPV(E121,C54:L54)+NPV(E121,C88:L88))</f>
        <v/>
      </c>
    </row>
    <row r="129">
      <c r="A129" s="3" t="inlineStr">
        <is>
          <t>12. COSTO DE CAPITAL — CON FINANCIAMIENTO (WACC)</t>
        </is>
      </c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</row>
    <row r="130">
      <c r="A130" s="3" t="inlineStr">
        <is>
          <t>Fuente</t>
        </is>
      </c>
      <c r="B130" s="5" t="inlineStr">
        <is>
          <t>Monto</t>
        </is>
      </c>
      <c r="C130" s="5" t="inlineStr">
        <is>
          <t>Participación</t>
        </is>
      </c>
      <c r="D130" s="5" t="inlineStr">
        <is>
          <t>Costo</t>
        </is>
      </c>
      <c r="E130" s="5" t="inlineStr">
        <is>
          <t>Costo ponderado</t>
        </is>
      </c>
      <c r="F130" s="4" t="n"/>
      <c r="G130" s="4" t="n"/>
      <c r="H130" s="4" t="n"/>
      <c r="I130" s="4" t="n"/>
      <c r="J130" s="4" t="n"/>
      <c r="K130" s="4" t="n"/>
      <c r="L130" s="4" t="n"/>
    </row>
    <row r="131">
      <c r="A131" s="6" t="inlineStr">
        <is>
          <t>Préstamo bancario (deuda)</t>
        </is>
      </c>
      <c r="B131" s="11">
        <f>D33</f>
        <v/>
      </c>
      <c r="C131" s="19">
        <f>B131/B133</f>
        <v/>
      </c>
      <c r="D131" s="19">
        <f>$B$9*(1-$B$6)</f>
        <v/>
      </c>
      <c r="E131" s="19">
        <f>C131*D131</f>
        <v/>
      </c>
    </row>
    <row r="132">
      <c r="A132" s="6" t="inlineStr">
        <is>
          <t>Recursos propios (patrimonio)</t>
        </is>
      </c>
      <c r="B132" s="11">
        <f>C33</f>
        <v/>
      </c>
      <c r="C132" s="19">
        <f>B132/B133</f>
        <v/>
      </c>
      <c r="D132" s="19">
        <f>$B$12</f>
        <v/>
      </c>
      <c r="E132" s="19">
        <f>C132*D132</f>
        <v/>
      </c>
    </row>
    <row r="133">
      <c r="A133" s="14" t="inlineStr">
        <is>
          <t>TOTAL / WACC</t>
        </is>
      </c>
      <c r="B133" s="15">
        <f>B131+B132</f>
        <v/>
      </c>
      <c r="C133" s="20" t="n">
        <v>1</v>
      </c>
      <c r="D133" s="21" t="inlineStr">
        <is>
          <t>-</t>
        </is>
      </c>
      <c r="E133" s="20">
        <f>E131+E132</f>
        <v/>
      </c>
    </row>
    <row r="135">
      <c r="A135" s="3" t="inlineStr">
        <is>
          <t>13. INDICADORES FINANCIEROS — CON FINANCIAMIENTO</t>
        </is>
      </c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</row>
    <row r="136">
      <c r="A136" s="17" t="inlineStr">
        <is>
          <t>VAN (Valor Actual Neto)</t>
        </is>
      </c>
      <c r="B136" s="8">
        <f>NPV(E133,C115:L115)+B115</f>
        <v/>
      </c>
    </row>
    <row r="137">
      <c r="A137" s="17" t="inlineStr">
        <is>
          <t>TIR (Tasa Interna de Retorno)</t>
        </is>
      </c>
      <c r="B137" s="7">
        <f>IRR(B115:L115)</f>
        <v/>
      </c>
    </row>
    <row r="138">
      <c r="A138" s="17" t="inlineStr">
        <is>
          <t>PRI (años de recuperación)</t>
        </is>
      </c>
      <c r="B138" s="9">
        <f>IF(COUNTIF(B116:L116,"&lt;0")=11,"&gt;10",(COUNTIF(B116:L116,"&lt;0")-1)+(-INDEX(B116:L116,COUNTIF(B116:L116,"&lt;0")))/INDEX(B115:L115,COUNTIF(B116:L116,"&lt;0")+1))</f>
        <v/>
      </c>
    </row>
    <row r="139">
      <c r="A139" s="17" t="inlineStr">
        <is>
          <t>Relación Beneficio/Costo</t>
        </is>
      </c>
      <c r="B139" s="9">
        <f>NPV(E133,C40:L40)/(C33+NPV(E133,C47:L47)+NPV(E133,C54:L54)+NPV(E133,C103:L103)+NPV(E133,C106:L106)+NPV(E133,C114:L114))</f>
        <v/>
      </c>
    </row>
  </sheetData>
  <mergeCells count="14">
    <mergeCell ref="A81:L81"/>
    <mergeCell ref="A24:L24"/>
    <mergeCell ref="A73:L73"/>
    <mergeCell ref="A42:L42"/>
    <mergeCell ref="A98:L98"/>
    <mergeCell ref="A129:L129"/>
    <mergeCell ref="A49:L49"/>
    <mergeCell ref="A123:L123"/>
    <mergeCell ref="A66:L66"/>
    <mergeCell ref="A118:L118"/>
    <mergeCell ref="A135:L135"/>
    <mergeCell ref="A56:L56"/>
    <mergeCell ref="A35:L35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34" customWidth="1" min="3" max="3"/>
    <col width="42" customWidth="1" min="4" max="4"/>
  </cols>
  <sheetData>
    <row r="1">
      <c r="A1" s="17" t="inlineStr">
        <is>
          <t>Correcciones a realizar en el documento de tesis</t>
        </is>
      </c>
    </row>
    <row r="2">
      <c r="A2" s="5" t="inlineStr">
        <is>
          <t>#</t>
        </is>
      </c>
      <c r="B2" s="3" t="inlineStr">
        <is>
          <t>Dónde en la tesis</t>
        </is>
      </c>
      <c r="C2" s="3" t="inlineStr">
        <is>
          <t>Qué está mal</t>
        </is>
      </c>
      <c r="D2" s="3" t="inlineStr">
        <is>
          <t>Corrección</t>
        </is>
      </c>
    </row>
    <row r="3" ht="42" customHeight="1">
      <c r="A3" s="12" t="n">
        <v>1</v>
      </c>
      <c r="B3" s="22" t="inlineStr">
        <is>
          <t>Cuadro 6 / Costo de personal</t>
        </is>
      </c>
      <c r="C3" s="22" t="inlineStr">
        <is>
          <t>Planilla mensual (L92,600) usada como costo anual</t>
        </is>
      </c>
      <c r="D3" s="22" t="inlineStr">
        <is>
          <t>Anualizar ×12 + aguinaldo + catorceavo + 12% cargas patronales</t>
        </is>
      </c>
    </row>
    <row r="4" ht="42" customHeight="1">
      <c r="A4" s="12" t="n">
        <v>2</v>
      </c>
      <c r="B4" s="22" t="inlineStr">
        <is>
          <t>Cuadros 5 y 6</t>
        </is>
      </c>
      <c r="C4" s="22" t="inlineStr">
        <is>
          <t>Personal contado dos veces</t>
        </is>
      </c>
      <c r="D4" s="22" t="inlineStr">
        <is>
          <t>Dejarlo en una sola línea</t>
        </is>
      </c>
    </row>
    <row r="5" ht="42" customHeight="1">
      <c r="A5" s="12" t="n">
        <v>3</v>
      </c>
      <c r="B5" s="22" t="inlineStr">
        <is>
          <t>Cuadros 5 y 6</t>
        </is>
      </c>
      <c r="C5" s="22" t="inlineStr">
        <is>
          <t>Costos mensuales usados como anuales</t>
        </is>
      </c>
      <c r="D5" s="22" t="inlineStr">
        <is>
          <t>Multiplicar por 12</t>
        </is>
      </c>
    </row>
    <row r="6" ht="42" customHeight="1">
      <c r="A6" s="12" t="n">
        <v>4</v>
      </c>
      <c r="B6" s="22" t="inlineStr">
        <is>
          <t>Costos fijos (leche L390,000)</t>
        </is>
      </c>
      <c r="C6" s="22" t="inlineStr">
        <is>
          <t>Leche, empaque y combustible como fijos</t>
        </is>
      </c>
      <c r="D6" s="22" t="inlineStr">
        <is>
          <t>Volverlos variables (por litro vendido)</t>
        </is>
      </c>
    </row>
    <row r="7" ht="42" customHeight="1">
      <c r="A7" s="12" t="n">
        <v>5</v>
      </c>
      <c r="B7" s="22" t="inlineStr">
        <is>
          <t>Gastos administrativos</t>
        </is>
      </c>
      <c r="C7" s="22" t="inlineStr">
        <is>
          <t>Los ítems suman L21,600 pero dice L22,600</t>
        </is>
      </c>
      <c r="D7" s="22" t="inlineStr">
        <is>
          <t>Corregir la suma</t>
        </is>
      </c>
    </row>
    <row r="8" ht="42" customHeight="1">
      <c r="A8" s="12" t="n">
        <v>6</v>
      </c>
      <c r="B8" s="22" t="inlineStr">
        <is>
          <t>Cuadro 3 (depreciación)</t>
        </is>
      </c>
      <c r="C8" s="22" t="inlineStr">
        <is>
          <t>Camión con vida de 3 años</t>
        </is>
      </c>
      <c r="D8" s="22" t="inlineStr">
        <is>
          <t>Vida útil realista de 5 años</t>
        </is>
      </c>
    </row>
    <row r="9" ht="42" customHeight="1">
      <c r="A9" s="12" t="n">
        <v>7</v>
      </c>
      <c r="B9" s="22" t="inlineStr">
        <is>
          <t>Estudio financiero</t>
        </is>
      </c>
      <c r="C9" s="22" t="inlineStr">
        <is>
          <t>No aplica impuesto sobre la renta</t>
        </is>
      </c>
      <c r="D9" s="22" t="inlineStr">
        <is>
          <t>Aplicar ISR 25% + 5% solidaria (renta &gt; L1M)</t>
        </is>
      </c>
    </row>
    <row r="10" ht="42" customHeight="1">
      <c r="A10" s="12" t="n">
        <v>8</v>
      </c>
      <c r="B10" s="22" t="inlineStr">
        <is>
          <t>Estudio financiero</t>
        </is>
      </c>
      <c r="C10" s="22" t="inlineStr">
        <is>
          <t>No define tasa de descuento ni WACC</t>
        </is>
      </c>
      <c r="D10" s="22" t="inlineStr">
        <is>
          <t>Usar tasa de descuento 15% y calcular WACC</t>
        </is>
      </c>
    </row>
    <row r="11" ht="42" customHeight="1">
      <c r="A11" s="12" t="n">
        <v>9</v>
      </c>
      <c r="B11" s="22" t="inlineStr">
        <is>
          <t>Estudio financiero</t>
        </is>
      </c>
      <c r="C11" s="22" t="inlineStr">
        <is>
          <t>No incluye capital de trabajo</t>
        </is>
      </c>
      <c r="D11" s="22" t="inlineStr">
        <is>
          <t>Incluir 2 meses de costos, recuperar en Año 10</t>
        </is>
      </c>
    </row>
    <row r="12" ht="42" customHeight="1">
      <c r="A12" s="12" t="n">
        <v>10</v>
      </c>
      <c r="B12" s="22" t="inlineStr">
        <is>
          <t>Cuadro 1 / ventas</t>
        </is>
      </c>
      <c r="C12" s="22" t="inlineStr">
        <is>
          <t>El consumo por cliente (60 L/mes) es muy bajo para HORECA</t>
        </is>
      </c>
      <c r="D12" s="22" t="inlineStr">
        <is>
          <t>Ajustar a un consumo realista (ya incorporado en este estudio)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2026-07-11T00:45:51Z</dcterms:created>
  <dcterms:modified xsi:type="dcterms:W3CDTF">2026-07-11T00:45:51Z</dcterms:modified>
</cp:coreProperties>
</file>