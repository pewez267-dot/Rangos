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o Financiero" sheetId="1" state="visible" r:id="rId1"/>
    <sheet name="Corre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2"/>
    </font>
    <font>
      <name val="Calibri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1" fillId="0" borderId="1" applyAlignment="1" pivotButton="0" quotePrefix="0" xfId="0">
      <alignment horizontal="left" vertical="center"/>
    </xf>
    <xf numFmtId="3" fontId="1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PRODUCTORA DE LECHE PASTEURIZADA «PURA» — Flujo de Caja del Proyecto</t>
        </is>
      </c>
    </row>
    <row r="2">
      <c r="A2" s="2" t="inlineStr">
        <is>
          <t>Estudio financiero (Honduras) · cifras en Lempiras · toda celda de resultado es fórmula referenciada</t>
        </is>
      </c>
    </row>
    <row r="4">
      <c r="A4" s="3" t="inlineStr">
        <is>
          <t>SUPUESTOS BASE DEL PROYECTO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3" t="inlineStr">
        <is>
          <t>Parámetro</t>
        </is>
      </c>
      <c r="B5" s="5" t="inlineStr">
        <is>
          <t>Valor</t>
        </is>
      </c>
    </row>
    <row r="6">
      <c r="A6" s="6" t="inlineStr">
        <is>
          <t>Tasa de impuesto sobre la renta (ISR)</t>
        </is>
      </c>
      <c r="B6" s="7" t="n">
        <v>0.25</v>
      </c>
    </row>
    <row r="7">
      <c r="A7" s="6" t="inlineStr">
        <is>
          <t>Aportación solidaria (sobre renta &gt; umbral)</t>
        </is>
      </c>
      <c r="B7" s="7" t="n">
        <v>0.05</v>
      </c>
    </row>
    <row r="8">
      <c r="A8" s="6" t="inlineStr">
        <is>
          <t>Umbral aportación solidaria (Lps)</t>
        </is>
      </c>
      <c r="B8" s="8" t="n">
        <v>1000000</v>
      </c>
    </row>
    <row r="9">
      <c r="A9" s="6" t="inlineStr">
        <is>
          <t>Tasa de interés del préstamo (anual)</t>
        </is>
      </c>
      <c r="B9" s="7" t="n">
        <v>0.14</v>
      </c>
    </row>
    <row r="10">
      <c r="A10" s="6" t="inlineStr">
        <is>
          <t>Porcentaje financiado con préstamo</t>
        </is>
      </c>
      <c r="B10" s="7" t="n">
        <v>0.5</v>
      </c>
    </row>
    <row r="11">
      <c r="A11" s="6" t="inlineStr">
        <is>
          <t>Inflación anual</t>
        </is>
      </c>
      <c r="B11" s="7" t="n">
        <v>0.045</v>
      </c>
    </row>
    <row r="12">
      <c r="A12" s="6" t="inlineStr">
        <is>
          <t>Tasa de descuento anual (rendimiento mínimo)</t>
        </is>
      </c>
      <c r="B12" s="7" t="n">
        <v>0.15</v>
      </c>
    </row>
    <row r="13">
      <c r="A13" s="6" t="inlineStr">
        <is>
          <t>Costo de leche cruda (Lps/litro)</t>
        </is>
      </c>
      <c r="B13" s="8" t="n">
        <v>13</v>
      </c>
    </row>
    <row r="14">
      <c r="A14" s="6" t="inlineStr">
        <is>
          <t>Merma de proceso</t>
        </is>
      </c>
      <c r="B14" s="7" t="n">
        <v>0.03</v>
      </c>
    </row>
    <row r="15">
      <c r="A15" s="6" t="inlineStr">
        <is>
          <t>Costo de empaque (Lps/litro)</t>
        </is>
      </c>
      <c r="B15" s="9">
        <f>26000/30000</f>
        <v/>
      </c>
    </row>
    <row r="16">
      <c r="A16" s="6" t="inlineStr">
        <is>
          <t>Costo de combustible de reparto (Lps/litro)</t>
        </is>
      </c>
      <c r="B16" s="9">
        <f>26000/30000</f>
        <v/>
      </c>
    </row>
    <row r="17">
      <c r="A17" s="6" t="inlineStr">
        <is>
          <t>Meses de salario al año (12 + aguinaldo + catorceavo)</t>
        </is>
      </c>
      <c r="B17" s="10" t="n">
        <v>14</v>
      </c>
    </row>
    <row r="18">
      <c r="A18" s="6" t="inlineStr">
        <is>
          <t>Cargas patronales (IHSS, RAP, INFOP)</t>
        </is>
      </c>
      <c r="B18" s="7" t="n">
        <v>0.12</v>
      </c>
    </row>
    <row r="19">
      <c r="A19" s="6" t="inlineStr">
        <is>
          <t>Costos fijos operativos (mensual)</t>
        </is>
      </c>
      <c r="B19" s="8" t="n">
        <v>28000</v>
      </c>
    </row>
    <row r="20">
      <c r="A20" s="6" t="inlineStr">
        <is>
          <t>Gastos administrativos (mensual)</t>
        </is>
      </c>
      <c r="B20" s="8" t="n">
        <v>21600</v>
      </c>
    </row>
    <row r="21">
      <c r="A21" s="6" t="inlineStr">
        <is>
          <t>Meses de capital de trabajo</t>
        </is>
      </c>
      <c r="B21" s="10" t="n">
        <v>2</v>
      </c>
    </row>
    <row r="23">
      <c r="A23" s="3" t="inlineStr">
        <is>
          <t>1. PLAN DE INVERSIONES Y FINANCIAMIENTO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3" t="inlineStr">
        <is>
          <t>Activo</t>
        </is>
      </c>
      <c r="B24" s="5" t="inlineStr">
        <is>
          <t>Valor</t>
        </is>
      </c>
      <c r="C24" s="5" t="inlineStr">
        <is>
          <t>Recursos propios</t>
        </is>
      </c>
      <c r="D24" s="5" t="inlineStr">
        <is>
          <t>Préstamo</t>
        </is>
      </c>
      <c r="E24" s="5" t="inlineStr">
        <is>
          <t>Vida (años)</t>
        </is>
      </c>
      <c r="F24" s="5" t="inlineStr">
        <is>
          <t>Depreciable</t>
        </is>
      </c>
      <c r="G24" s="4" t="n"/>
      <c r="H24" s="4" t="n"/>
      <c r="I24" s="4" t="n"/>
      <c r="J24" s="4" t="n"/>
      <c r="K24" s="4" t="n"/>
      <c r="L24" s="4" t="n"/>
    </row>
    <row r="25">
      <c r="A25" s="6" t="inlineStr">
        <is>
          <t>Tanques de almacenamiento</t>
        </is>
      </c>
      <c r="B25" s="11" t="n">
        <v>360000</v>
      </c>
      <c r="C25" s="11">
        <f>B25-D25</f>
        <v/>
      </c>
      <c r="D25" s="11">
        <f>B25*$B$10</f>
        <v/>
      </c>
      <c r="E25" s="12" t="n">
        <v>10</v>
      </c>
      <c r="F25" s="12" t="inlineStr">
        <is>
          <t>Sí</t>
        </is>
      </c>
      <c r="G25" s="13" t="n"/>
      <c r="H25" s="13" t="n"/>
      <c r="I25" s="13" t="n"/>
      <c r="J25" s="13" t="n"/>
      <c r="K25" s="13" t="n"/>
      <c r="L25" s="13" t="n"/>
    </row>
    <row r="26">
      <c r="A26" s="6" t="inlineStr">
        <is>
          <t>Pasteurizador HTST</t>
        </is>
      </c>
      <c r="B26" s="11" t="n">
        <v>150000</v>
      </c>
      <c r="C26" s="11">
        <f>B26-D26</f>
        <v/>
      </c>
      <c r="D26" s="11">
        <f>B26*$B$10</f>
        <v/>
      </c>
      <c r="E26" s="12" t="n">
        <v>10</v>
      </c>
      <c r="F26" s="12" t="inlineStr">
        <is>
          <t>Sí</t>
        </is>
      </c>
      <c r="G26" s="13" t="n"/>
      <c r="H26" s="13" t="n"/>
      <c r="I26" s="13" t="n"/>
      <c r="J26" s="13" t="n"/>
      <c r="K26" s="13" t="n"/>
      <c r="L26" s="13" t="n"/>
    </row>
    <row r="27">
      <c r="A27" s="6" t="inlineStr">
        <is>
          <t>Envasadora automática</t>
        </is>
      </c>
      <c r="B27" s="11" t="n">
        <v>260000</v>
      </c>
      <c r="C27" s="11">
        <f>B27-D27</f>
        <v/>
      </c>
      <c r="D27" s="11">
        <f>B27*$B$10</f>
        <v/>
      </c>
      <c r="E27" s="12" t="n">
        <v>10</v>
      </c>
      <c r="F27" s="12" t="inlineStr">
        <is>
          <t>Sí</t>
        </is>
      </c>
      <c r="G27" s="13" t="n"/>
      <c r="H27" s="13" t="n"/>
      <c r="I27" s="13" t="n"/>
      <c r="J27" s="13" t="n"/>
      <c r="K27" s="13" t="n"/>
      <c r="L27" s="13" t="n"/>
    </row>
    <row r="28">
      <c r="A28" s="6" t="inlineStr">
        <is>
          <t>Sistema de enfriamiento</t>
        </is>
      </c>
      <c r="B28" s="11" t="n">
        <v>125000</v>
      </c>
      <c r="C28" s="11">
        <f>B28-D28</f>
        <v/>
      </c>
      <c r="D28" s="11">
        <f>B28*$B$10</f>
        <v/>
      </c>
      <c r="E28" s="12" t="n">
        <v>10</v>
      </c>
      <c r="F28" s="12" t="inlineStr">
        <is>
          <t>Sí</t>
        </is>
      </c>
      <c r="G28" s="13" t="n"/>
      <c r="H28" s="13" t="n"/>
      <c r="I28" s="13" t="n"/>
      <c r="J28" s="13" t="n"/>
      <c r="K28" s="13" t="n"/>
      <c r="L28" s="13" t="n"/>
    </row>
    <row r="29">
      <c r="A29" s="6" t="inlineStr">
        <is>
          <t>Camión de distribución</t>
        </is>
      </c>
      <c r="B29" s="11" t="n">
        <v>500000</v>
      </c>
      <c r="C29" s="11">
        <f>B29-D29</f>
        <v/>
      </c>
      <c r="D29" s="11">
        <f>B29*$B$10</f>
        <v/>
      </c>
      <c r="E29" s="12" t="n">
        <v>5</v>
      </c>
      <c r="F29" s="12" t="inlineStr">
        <is>
          <t>Sí</t>
        </is>
      </c>
      <c r="G29" s="13" t="n"/>
      <c r="H29" s="13" t="n"/>
      <c r="I29" s="13" t="n"/>
      <c r="J29" s="13" t="n"/>
      <c r="K29" s="13" t="n"/>
      <c r="L29" s="13" t="n"/>
    </row>
    <row r="30">
      <c r="A30" s="6" t="inlineStr">
        <is>
          <t>Gastos diferidos (preoperativos + legales)</t>
        </is>
      </c>
      <c r="B30" s="11" t="n">
        <v>76000</v>
      </c>
      <c r="C30" s="11">
        <f>B30-D30</f>
        <v/>
      </c>
      <c r="D30" s="11">
        <f>B30*$B$10</f>
        <v/>
      </c>
      <c r="E30" s="12" t="n">
        <v>5</v>
      </c>
      <c r="F30" s="12" t="inlineStr">
        <is>
          <t>Amortizable</t>
        </is>
      </c>
      <c r="G30" s="13" t="n"/>
      <c r="H30" s="13" t="n"/>
      <c r="I30" s="13" t="n"/>
      <c r="J30" s="13" t="n"/>
      <c r="K30" s="13" t="n"/>
      <c r="L30" s="13" t="n"/>
    </row>
    <row r="31">
      <c r="A31" s="6" t="inlineStr">
        <is>
          <t>Capital de trabajo inicial</t>
        </is>
      </c>
      <c r="B31" s="11">
        <f>B80</f>
        <v/>
      </c>
      <c r="C31" s="11">
        <f>B31-D31</f>
        <v/>
      </c>
      <c r="D31" s="11">
        <f>B31*$B$10</f>
        <v/>
      </c>
      <c r="E31" s="12" t="inlineStr">
        <is>
          <t>-</t>
        </is>
      </c>
      <c r="F31" s="12" t="inlineStr">
        <is>
          <t>No</t>
        </is>
      </c>
      <c r="G31" s="13" t="n"/>
      <c r="H31" s="13" t="n"/>
      <c r="I31" s="13" t="n"/>
      <c r="J31" s="13" t="n"/>
      <c r="K31" s="13" t="n"/>
      <c r="L31" s="13" t="n"/>
    </row>
    <row r="32">
      <c r="A32" s="14" t="inlineStr">
        <is>
          <t>TOTAL INVERSIONES</t>
        </is>
      </c>
      <c r="B32" s="15">
        <f>SUM(B25:B31)</f>
        <v/>
      </c>
      <c r="C32" s="15">
        <f>SUM(C25:C31)</f>
        <v/>
      </c>
      <c r="D32" s="15">
        <f>SUM(D25:D31)</f>
        <v/>
      </c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4">
      <c r="A34" s="3" t="inlineStr">
        <is>
          <t>2. PRODUCCIÓN Y VENTAS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3" t="inlineStr">
        <is>
          <t>Concepto</t>
        </is>
      </c>
      <c r="B35" s="5" t="inlineStr">
        <is>
          <t>Año 0</t>
        </is>
      </c>
      <c r="C35" s="5" t="inlineStr">
        <is>
          <t>Año 1</t>
        </is>
      </c>
      <c r="D35" s="5" t="inlineStr">
        <is>
          <t>Año 2</t>
        </is>
      </c>
      <c r="E35" s="5" t="inlineStr">
        <is>
          <t>Año 3</t>
        </is>
      </c>
      <c r="F35" s="5" t="inlineStr">
        <is>
          <t>Año 4</t>
        </is>
      </c>
      <c r="G35" s="5" t="inlineStr">
        <is>
          <t>Año 5</t>
        </is>
      </c>
      <c r="H35" s="5" t="inlineStr">
        <is>
          <t>Año 6</t>
        </is>
      </c>
      <c r="I35" s="5" t="inlineStr">
        <is>
          <t>Año 7</t>
        </is>
      </c>
      <c r="J35" s="5" t="inlineStr">
        <is>
          <t>Año 8</t>
        </is>
      </c>
      <c r="K35" s="5" t="inlineStr">
        <is>
          <t>Año 9</t>
        </is>
      </c>
      <c r="L35" s="5" t="inlineStr">
        <is>
          <t>Año 10</t>
        </is>
      </c>
    </row>
    <row r="36">
      <c r="A36" s="6" t="inlineStr">
        <is>
          <t>Clientes activos</t>
        </is>
      </c>
      <c r="B36" s="11" t="n">
        <v>0</v>
      </c>
      <c r="C36" s="11" t="n">
        <v>15</v>
      </c>
      <c r="D36" s="11" t="n">
        <v>20</v>
      </c>
      <c r="E36" s="11" t="n">
        <v>25</v>
      </c>
      <c r="F36" s="11" t="n">
        <v>30</v>
      </c>
      <c r="G36" s="11" t="n">
        <v>35</v>
      </c>
      <c r="H36" s="11" t="n">
        <v>40</v>
      </c>
      <c r="I36" s="11" t="n">
        <v>45</v>
      </c>
      <c r="J36" s="11" t="n">
        <v>50</v>
      </c>
      <c r="K36" s="11" t="n">
        <v>55</v>
      </c>
      <c r="L36" s="11" t="n">
        <v>60</v>
      </c>
    </row>
    <row r="37">
      <c r="A37" s="6" t="inlineStr">
        <is>
          <t>Volumen anual (litros)</t>
        </is>
      </c>
      <c r="B37" s="11" t="n">
        <v>0</v>
      </c>
      <c r="C37" s="11" t="n">
        <v>28000</v>
      </c>
      <c r="D37" s="11" t="n">
        <v>46000</v>
      </c>
      <c r="E37" s="11" t="n">
        <v>74000</v>
      </c>
      <c r="F37" s="11" t="n">
        <v>118000</v>
      </c>
      <c r="G37" s="11" t="n">
        <v>188000</v>
      </c>
      <c r="H37" s="11" t="n">
        <v>300000</v>
      </c>
      <c r="I37" s="11" t="n">
        <v>480000</v>
      </c>
      <c r="J37" s="11" t="n">
        <v>760000</v>
      </c>
      <c r="K37" s="11" t="n">
        <v>1200000</v>
      </c>
      <c r="L37" s="11" t="n">
        <v>1900000</v>
      </c>
    </row>
    <row r="38">
      <c r="A38" s="6" t="inlineStr">
        <is>
          <t>Precio de venta (Lps/litro)</t>
        </is>
      </c>
      <c r="B38" s="11" t="n">
        <v>0</v>
      </c>
      <c r="C38" s="11" t="n">
        <v>28</v>
      </c>
      <c r="D38" s="11" t="n">
        <v>29</v>
      </c>
      <c r="E38" s="11" t="n">
        <v>30</v>
      </c>
      <c r="F38" s="11" t="n">
        <v>31</v>
      </c>
      <c r="G38" s="11" t="n">
        <v>32</v>
      </c>
      <c r="H38" s="11" t="n">
        <v>33</v>
      </c>
      <c r="I38" s="11" t="n">
        <v>34</v>
      </c>
      <c r="J38" s="11" t="n">
        <v>35</v>
      </c>
      <c r="K38" s="11" t="n">
        <v>36</v>
      </c>
      <c r="L38" s="11" t="n">
        <v>37</v>
      </c>
    </row>
    <row r="39">
      <c r="A39" s="14" t="inlineStr">
        <is>
          <t>INGRESOS POR VENTAS  (= volumen × precio)</t>
        </is>
      </c>
      <c r="B39" s="15">
        <f>B37*B38</f>
        <v/>
      </c>
      <c r="C39" s="15">
        <f>C37*C38</f>
        <v/>
      </c>
      <c r="D39" s="15">
        <f>D37*D38</f>
        <v/>
      </c>
      <c r="E39" s="15">
        <f>E37*E38</f>
        <v/>
      </c>
      <c r="F39" s="15">
        <f>F37*F38</f>
        <v/>
      </c>
      <c r="G39" s="15">
        <f>G37*G38</f>
        <v/>
      </c>
      <c r="H39" s="15">
        <f>H37*H38</f>
        <v/>
      </c>
      <c r="I39" s="15">
        <f>I37*I38</f>
        <v/>
      </c>
      <c r="J39" s="15">
        <f>J37*J38</f>
        <v/>
      </c>
      <c r="K39" s="15">
        <f>K37*K38</f>
        <v/>
      </c>
      <c r="L39" s="15">
        <f>L37*L38</f>
        <v/>
      </c>
    </row>
    <row r="41">
      <c r="A41" s="3" t="inlineStr">
        <is>
          <t>3. COSTOS VARIABLES (= litros × costo unitario × inflación)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3" t="inlineStr">
        <is>
          <t>Concepto</t>
        </is>
      </c>
      <c r="B42" s="5" t="inlineStr">
        <is>
          <t>Año 0</t>
        </is>
      </c>
      <c r="C42" s="5" t="inlineStr">
        <is>
          <t>Año 1</t>
        </is>
      </c>
      <c r="D42" s="5" t="inlineStr">
        <is>
          <t>Año 2</t>
        </is>
      </c>
      <c r="E42" s="5" t="inlineStr">
        <is>
          <t>Año 3</t>
        </is>
      </c>
      <c r="F42" s="5" t="inlineStr">
        <is>
          <t>Año 4</t>
        </is>
      </c>
      <c r="G42" s="5" t="inlineStr">
        <is>
          <t>Año 5</t>
        </is>
      </c>
      <c r="H42" s="5" t="inlineStr">
        <is>
          <t>Año 6</t>
        </is>
      </c>
      <c r="I42" s="5" t="inlineStr">
        <is>
          <t>Año 7</t>
        </is>
      </c>
      <c r="J42" s="5" t="inlineStr">
        <is>
          <t>Año 8</t>
        </is>
      </c>
      <c r="K42" s="5" t="inlineStr">
        <is>
          <t>Año 9</t>
        </is>
      </c>
      <c r="L42" s="5" t="inlineStr">
        <is>
          <t>Año 10</t>
        </is>
      </c>
    </row>
    <row r="43">
      <c r="A43" s="6" t="inlineStr">
        <is>
          <t>Leche cruda (con merma)</t>
        </is>
      </c>
      <c r="B43" s="11" t="n">
        <v>0</v>
      </c>
      <c r="C43" s="11">
        <f>C37*$B$13/(1-$B$14)*(1+$B$11)^1</f>
        <v/>
      </c>
      <c r="D43" s="11">
        <f>D37*$B$13/(1-$B$14)*(1+$B$11)^2</f>
        <v/>
      </c>
      <c r="E43" s="11">
        <f>E37*$B$13/(1-$B$14)*(1+$B$11)^3</f>
        <v/>
      </c>
      <c r="F43" s="11">
        <f>F37*$B$13/(1-$B$14)*(1+$B$11)^4</f>
        <v/>
      </c>
      <c r="G43" s="11">
        <f>G37*$B$13/(1-$B$14)*(1+$B$11)^5</f>
        <v/>
      </c>
      <c r="H43" s="11">
        <f>H37*$B$13/(1-$B$14)*(1+$B$11)^6</f>
        <v/>
      </c>
      <c r="I43" s="11">
        <f>I37*$B$13/(1-$B$14)*(1+$B$11)^7</f>
        <v/>
      </c>
      <c r="J43" s="11">
        <f>J37*$B$13/(1-$B$14)*(1+$B$11)^8</f>
        <v/>
      </c>
      <c r="K43" s="11">
        <f>K37*$B$13/(1-$B$14)*(1+$B$11)^9</f>
        <v/>
      </c>
      <c r="L43" s="11">
        <f>L37*$B$13/(1-$B$14)*(1+$B$11)^10</f>
        <v/>
      </c>
    </row>
    <row r="44">
      <c r="A44" s="6" t="inlineStr">
        <is>
          <t>Empaque (bolsas)</t>
        </is>
      </c>
      <c r="B44" s="11" t="n">
        <v>0</v>
      </c>
      <c r="C44" s="11">
        <f>C37*$B$15*(1+$B$11)^1</f>
        <v/>
      </c>
      <c r="D44" s="11">
        <f>D37*$B$15*(1+$B$11)^2</f>
        <v/>
      </c>
      <c r="E44" s="11">
        <f>E37*$B$15*(1+$B$11)^3</f>
        <v/>
      </c>
      <c r="F44" s="11">
        <f>F37*$B$15*(1+$B$11)^4</f>
        <v/>
      </c>
      <c r="G44" s="11">
        <f>G37*$B$15*(1+$B$11)^5</f>
        <v/>
      </c>
      <c r="H44" s="11">
        <f>H37*$B$15*(1+$B$11)^6</f>
        <v/>
      </c>
      <c r="I44" s="11">
        <f>I37*$B$15*(1+$B$11)^7</f>
        <v/>
      </c>
      <c r="J44" s="11">
        <f>J37*$B$15*(1+$B$11)^8</f>
        <v/>
      </c>
      <c r="K44" s="11">
        <f>K37*$B$15*(1+$B$11)^9</f>
        <v/>
      </c>
      <c r="L44" s="11">
        <f>L37*$B$15*(1+$B$11)^10</f>
        <v/>
      </c>
    </row>
    <row r="45">
      <c r="A45" s="6" t="inlineStr">
        <is>
          <t>Combustible de reparto</t>
        </is>
      </c>
      <c r="B45" s="11" t="n">
        <v>0</v>
      </c>
      <c r="C45" s="11">
        <f>C37*$B$16*(1+$B$11)^1</f>
        <v/>
      </c>
      <c r="D45" s="11">
        <f>D37*$B$16*(1+$B$11)^2</f>
        <v/>
      </c>
      <c r="E45" s="11">
        <f>E37*$B$16*(1+$B$11)^3</f>
        <v/>
      </c>
      <c r="F45" s="11">
        <f>F37*$B$16*(1+$B$11)^4</f>
        <v/>
      </c>
      <c r="G45" s="11">
        <f>G37*$B$16*(1+$B$11)^5</f>
        <v/>
      </c>
      <c r="H45" s="11">
        <f>H37*$B$16*(1+$B$11)^6</f>
        <v/>
      </c>
      <c r="I45" s="11">
        <f>I37*$B$16*(1+$B$11)^7</f>
        <v/>
      </c>
      <c r="J45" s="11">
        <f>J37*$B$16*(1+$B$11)^8</f>
        <v/>
      </c>
      <c r="K45" s="11">
        <f>K37*$B$16*(1+$B$11)^9</f>
        <v/>
      </c>
      <c r="L45" s="11">
        <f>L37*$B$16*(1+$B$11)^10</f>
        <v/>
      </c>
    </row>
    <row r="46">
      <c r="A46" s="14" t="inlineStr">
        <is>
          <t>TOTAL COSTOS VARIABLES</t>
        </is>
      </c>
      <c r="B46" s="15">
        <f>SUM(B43:B45)</f>
        <v/>
      </c>
      <c r="C46" s="15">
        <f>SUM(C43:C45)</f>
        <v/>
      </c>
      <c r="D46" s="15">
        <f>SUM(D43:D45)</f>
        <v/>
      </c>
      <c r="E46" s="15">
        <f>SUM(E43:E45)</f>
        <v/>
      </c>
      <c r="F46" s="15">
        <f>SUM(F43:F45)</f>
        <v/>
      </c>
      <c r="G46" s="15">
        <f>SUM(G43:G45)</f>
        <v/>
      </c>
      <c r="H46" s="15">
        <f>SUM(H43:H45)</f>
        <v/>
      </c>
      <c r="I46" s="15">
        <f>SUM(I43:I45)</f>
        <v/>
      </c>
      <c r="J46" s="15">
        <f>SUM(J43:J45)</f>
        <v/>
      </c>
      <c r="K46" s="15">
        <f>SUM(K43:K45)</f>
        <v/>
      </c>
      <c r="L46" s="15">
        <f>SUM(L43:L45)</f>
        <v/>
      </c>
    </row>
    <row r="48">
      <c r="A48" s="3" t="inlineStr">
        <is>
          <t>4. COSTO DE PERSONAL (cálculo de la planilla)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3" t="inlineStr">
        <is>
          <t>Cargo</t>
        </is>
      </c>
      <c r="B49" s="5" t="inlineStr">
        <is>
          <t>Salario mensual</t>
        </is>
      </c>
      <c r="C49" s="17" t="inlineStr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6" t="inlineStr">
        <is>
          <t>Gerente de operaciones</t>
        </is>
      </c>
      <c r="B50" s="11" t="n">
        <v>25000</v>
      </c>
      <c r="C50" s="18" t="inlineStr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6" t="inlineStr">
        <is>
          <t>Asistente de televenta y facturación</t>
        </is>
      </c>
      <c r="B51" s="11" t="n">
        <v>17000</v>
      </c>
      <c r="C51" s="18" t="inlineStr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6" t="inlineStr">
        <is>
          <t>Operador de recibo y despacho</t>
        </is>
      </c>
      <c r="B52" s="11" t="n">
        <v>11300</v>
      </c>
      <c r="C52" s="18" t="inlineStr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6" t="inlineStr">
        <is>
          <t>Operador de pasteurización y empaque</t>
        </is>
      </c>
      <c r="B53" s="11" t="n">
        <v>11300</v>
      </c>
      <c r="C53" s="18" t="inlineStr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6" t="inlineStr">
        <is>
          <t>Operador de mantenimiento y aseo</t>
        </is>
      </c>
      <c r="B54" s="11" t="n">
        <v>14000</v>
      </c>
      <c r="C54" s="18" t="inlineStr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6" t="inlineStr">
        <is>
          <t>Entregador</t>
        </is>
      </c>
      <c r="B55" s="11" t="n">
        <v>14000</v>
      </c>
      <c r="C55" s="18" t="inlineStr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>
      <c r="A56" s="14" t="inlineStr">
        <is>
          <t>Planilla mensual total  (suma de salarios)</t>
        </is>
      </c>
      <c r="B56" s="15">
        <f>SUM(B50:B55)</f>
        <v/>
      </c>
      <c r="C56" s="19" t="inlineStr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</row>
    <row r="57">
      <c r="A57" s="3" t="inlineStr">
        <is>
          <t>Concepto</t>
        </is>
      </c>
      <c r="B57" s="5" t="inlineStr">
        <is>
          <t>Año 0</t>
        </is>
      </c>
      <c r="C57" s="5" t="inlineStr">
        <is>
          <t>Año 1</t>
        </is>
      </c>
      <c r="D57" s="5" t="inlineStr">
        <is>
          <t>Año 2</t>
        </is>
      </c>
      <c r="E57" s="5" t="inlineStr">
        <is>
          <t>Año 3</t>
        </is>
      </c>
      <c r="F57" s="5" t="inlineStr">
        <is>
          <t>Año 4</t>
        </is>
      </c>
      <c r="G57" s="5" t="inlineStr">
        <is>
          <t>Año 5</t>
        </is>
      </c>
      <c r="H57" s="5" t="inlineStr">
        <is>
          <t>Año 6</t>
        </is>
      </c>
      <c r="I57" s="5" t="inlineStr">
        <is>
          <t>Año 7</t>
        </is>
      </c>
      <c r="J57" s="5" t="inlineStr">
        <is>
          <t>Año 8</t>
        </is>
      </c>
      <c r="K57" s="5" t="inlineStr">
        <is>
          <t>Año 9</t>
        </is>
      </c>
      <c r="L57" s="5" t="inlineStr">
        <is>
          <t>Año 10</t>
        </is>
      </c>
    </row>
    <row r="58">
      <c r="A58" s="6" t="inlineStr">
        <is>
          <t>Costo anual de personal  (planilla × 14 meses + 12% cargas patronales)</t>
        </is>
      </c>
      <c r="B58" s="11" t="n">
        <v>0</v>
      </c>
      <c r="C58" s="11">
        <f>(B56*$B$17+B56*12*$B$18)*(1+$B$11)^1</f>
        <v/>
      </c>
      <c r="D58" s="11">
        <f>(B56*$B$17+B56*12*$B$18)*(1+$B$11)^2</f>
        <v/>
      </c>
      <c r="E58" s="11">
        <f>(B56*$B$17+B56*12*$B$18)*(1+$B$11)^3</f>
        <v/>
      </c>
      <c r="F58" s="11">
        <f>(B56*$B$17+B56*12*$B$18)*(1+$B$11)^4</f>
        <v/>
      </c>
      <c r="G58" s="11">
        <f>(B56*$B$17+B56*12*$B$18)*(1+$B$11)^5</f>
        <v/>
      </c>
      <c r="H58" s="11">
        <f>(B56*$B$17+B56*12*$B$18)*(1+$B$11)^6</f>
        <v/>
      </c>
      <c r="I58" s="11">
        <f>(B56*$B$17+B56*12*$B$18)*(1+$B$11)^7</f>
        <v/>
      </c>
      <c r="J58" s="11">
        <f>(B56*$B$17+B56*12*$B$18)*(1+$B$11)^8</f>
        <v/>
      </c>
      <c r="K58" s="11">
        <f>(B56*$B$17+B56*12*$B$18)*(1+$B$11)^9</f>
        <v/>
      </c>
      <c r="L58" s="11">
        <f>(B56*$B$17+B56*12*$B$18)*(1+$B$11)^10</f>
        <v/>
      </c>
    </row>
    <row r="60">
      <c r="A60" s="3" t="inlineStr">
        <is>
          <t>5. COSTOS FIJOS (anuales)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3" t="inlineStr">
        <is>
          <t>Concepto</t>
        </is>
      </c>
      <c r="B61" s="5" t="inlineStr">
        <is>
          <t>Año 0</t>
        </is>
      </c>
      <c r="C61" s="5" t="inlineStr">
        <is>
          <t>Año 1</t>
        </is>
      </c>
      <c r="D61" s="5" t="inlineStr">
        <is>
          <t>Año 2</t>
        </is>
      </c>
      <c r="E61" s="5" t="inlineStr">
        <is>
          <t>Año 3</t>
        </is>
      </c>
      <c r="F61" s="5" t="inlineStr">
        <is>
          <t>Año 4</t>
        </is>
      </c>
      <c r="G61" s="5" t="inlineStr">
        <is>
          <t>Año 5</t>
        </is>
      </c>
      <c r="H61" s="5" t="inlineStr">
        <is>
          <t>Año 6</t>
        </is>
      </c>
      <c r="I61" s="5" t="inlineStr">
        <is>
          <t>Año 7</t>
        </is>
      </c>
      <c r="J61" s="5" t="inlineStr">
        <is>
          <t>Año 8</t>
        </is>
      </c>
      <c r="K61" s="5" t="inlineStr">
        <is>
          <t>Año 9</t>
        </is>
      </c>
      <c r="L61" s="5" t="inlineStr">
        <is>
          <t>Año 10</t>
        </is>
      </c>
    </row>
    <row r="62">
      <c r="A62" s="6" t="inlineStr">
        <is>
          <t>Costos fijos operativos (mensual × 12 × inflación)</t>
        </is>
      </c>
      <c r="B62" s="11" t="n">
        <v>0</v>
      </c>
      <c r="C62" s="11">
        <f>$B$19*12*(1+$B$11)^1</f>
        <v/>
      </c>
      <c r="D62" s="11">
        <f>$B$19*12*(1+$B$11)^2</f>
        <v/>
      </c>
      <c r="E62" s="11">
        <f>$B$19*12*(1+$B$11)^3</f>
        <v/>
      </c>
      <c r="F62" s="11">
        <f>$B$19*12*(1+$B$11)^4</f>
        <v/>
      </c>
      <c r="G62" s="11">
        <f>$B$19*12*(1+$B$11)^5</f>
        <v/>
      </c>
      <c r="H62" s="11">
        <f>$B$19*12*(1+$B$11)^6</f>
        <v/>
      </c>
      <c r="I62" s="11">
        <f>$B$19*12*(1+$B$11)^7</f>
        <v/>
      </c>
      <c r="J62" s="11">
        <f>$B$19*12*(1+$B$11)^8</f>
        <v/>
      </c>
      <c r="K62" s="11">
        <f>$B$19*12*(1+$B$11)^9</f>
        <v/>
      </c>
      <c r="L62" s="11">
        <f>$B$19*12*(1+$B$11)^10</f>
        <v/>
      </c>
    </row>
    <row r="63">
      <c r="A63" s="6" t="inlineStr">
        <is>
          <t>Gastos administrativos (mensual × 12 × inflación)</t>
        </is>
      </c>
      <c r="B63" s="11" t="n">
        <v>0</v>
      </c>
      <c r="C63" s="11">
        <f>$B$20*12*(1+$B$11)^1</f>
        <v/>
      </c>
      <c r="D63" s="11">
        <f>$B$20*12*(1+$B$11)^2</f>
        <v/>
      </c>
      <c r="E63" s="11">
        <f>$B$20*12*(1+$B$11)^3</f>
        <v/>
      </c>
      <c r="F63" s="11">
        <f>$B$20*12*(1+$B$11)^4</f>
        <v/>
      </c>
      <c r="G63" s="11">
        <f>$B$20*12*(1+$B$11)^5</f>
        <v/>
      </c>
      <c r="H63" s="11">
        <f>$B$20*12*(1+$B$11)^6</f>
        <v/>
      </c>
      <c r="I63" s="11">
        <f>$B$20*12*(1+$B$11)^7</f>
        <v/>
      </c>
      <c r="J63" s="11">
        <f>$B$20*12*(1+$B$11)^8</f>
        <v/>
      </c>
      <c r="K63" s="11">
        <f>$B$20*12*(1+$B$11)^9</f>
        <v/>
      </c>
      <c r="L63" s="11">
        <f>$B$20*12*(1+$B$11)^10</f>
        <v/>
      </c>
    </row>
    <row r="64">
      <c r="A64" s="6" t="inlineStr">
        <is>
          <t>Personal (de la sección 4)</t>
        </is>
      </c>
      <c r="B64" s="11">
        <f>B58</f>
        <v/>
      </c>
      <c r="C64" s="11">
        <f>C58</f>
        <v/>
      </c>
      <c r="D64" s="11">
        <f>D58</f>
        <v/>
      </c>
      <c r="E64" s="11">
        <f>E58</f>
        <v/>
      </c>
      <c r="F64" s="11">
        <f>F58</f>
        <v/>
      </c>
      <c r="G64" s="11">
        <f>G58</f>
        <v/>
      </c>
      <c r="H64" s="11">
        <f>H58</f>
        <v/>
      </c>
      <c r="I64" s="11">
        <f>I58</f>
        <v/>
      </c>
      <c r="J64" s="11">
        <f>J58</f>
        <v/>
      </c>
      <c r="K64" s="11">
        <f>K58</f>
        <v/>
      </c>
      <c r="L64" s="11">
        <f>L58</f>
        <v/>
      </c>
    </row>
    <row r="65">
      <c r="A65" s="14" t="inlineStr">
        <is>
          <t>TOTAL COSTOS FIJOS</t>
        </is>
      </c>
      <c r="B65" s="15">
        <f>SUM(B62:B64)</f>
        <v/>
      </c>
      <c r="C65" s="15">
        <f>SUM(C62:C64)</f>
        <v/>
      </c>
      <c r="D65" s="15">
        <f>SUM(D62:D64)</f>
        <v/>
      </c>
      <c r="E65" s="15">
        <f>SUM(E62:E64)</f>
        <v/>
      </c>
      <c r="F65" s="15">
        <f>SUM(F62:F64)</f>
        <v/>
      </c>
      <c r="G65" s="15">
        <f>SUM(G62:G64)</f>
        <v/>
      </c>
      <c r="H65" s="15">
        <f>SUM(H62:H64)</f>
        <v/>
      </c>
      <c r="I65" s="15">
        <f>SUM(I62:I64)</f>
        <v/>
      </c>
      <c r="J65" s="15">
        <f>SUM(J62:J64)</f>
        <v/>
      </c>
      <c r="K65" s="15">
        <f>SUM(K62:K64)</f>
        <v/>
      </c>
      <c r="L65" s="15">
        <f>SUM(L62:L64)</f>
        <v/>
      </c>
    </row>
    <row r="67">
      <c r="A67" s="3" t="inlineStr">
        <is>
          <t>6. DEPRECIACIONES Y AMORTIZACIONES  (= Valor ÷ Vida)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3" t="inlineStr">
        <is>
          <t>Activo</t>
        </is>
      </c>
      <c r="B68" s="5" t="inlineStr">
        <is>
          <t>Valor</t>
        </is>
      </c>
      <c r="C68" s="5" t="inlineStr">
        <is>
          <t>Año 1</t>
        </is>
      </c>
      <c r="D68" s="5" t="inlineStr">
        <is>
          <t>Año 2</t>
        </is>
      </c>
      <c r="E68" s="5" t="inlineStr">
        <is>
          <t>Año 3</t>
        </is>
      </c>
      <c r="F68" s="5" t="inlineStr">
        <is>
          <t>Año 4</t>
        </is>
      </c>
      <c r="G68" s="5" t="inlineStr">
        <is>
          <t>Año 5</t>
        </is>
      </c>
      <c r="H68" s="5" t="inlineStr">
        <is>
          <t>Año 6</t>
        </is>
      </c>
      <c r="I68" s="5" t="inlineStr">
        <is>
          <t>Año 7</t>
        </is>
      </c>
      <c r="J68" s="5" t="inlineStr">
        <is>
          <t>Año 8</t>
        </is>
      </c>
      <c r="K68" s="5" t="inlineStr">
        <is>
          <t>Año 9</t>
        </is>
      </c>
      <c r="L68" s="5" t="inlineStr">
        <is>
          <t>Año 10</t>
        </is>
      </c>
    </row>
    <row r="69">
      <c r="A69" s="6" t="inlineStr">
        <is>
          <t>Tanques de almacenamiento (10 años)</t>
        </is>
      </c>
      <c r="B69" s="11">
        <f>B25</f>
        <v/>
      </c>
      <c r="C69" s="11">
        <f>$B69/E25</f>
        <v/>
      </c>
      <c r="D69" s="11">
        <f>$B69/E25</f>
        <v/>
      </c>
      <c r="E69" s="11">
        <f>$B69/E25</f>
        <v/>
      </c>
      <c r="F69" s="11">
        <f>$B69/E25</f>
        <v/>
      </c>
      <c r="G69" s="11">
        <f>$B69/E25</f>
        <v/>
      </c>
      <c r="H69" s="11">
        <f>$B69/E25</f>
        <v/>
      </c>
      <c r="I69" s="11">
        <f>$B69/E25</f>
        <v/>
      </c>
      <c r="J69" s="11">
        <f>$B69/E25</f>
        <v/>
      </c>
      <c r="K69" s="11">
        <f>$B69/E25</f>
        <v/>
      </c>
      <c r="L69" s="11">
        <f>$B69/E25</f>
        <v/>
      </c>
    </row>
    <row r="70">
      <c r="A70" s="6" t="inlineStr">
        <is>
          <t>Pasteurizador HTST (10 años)</t>
        </is>
      </c>
      <c r="B70" s="11">
        <f>B26</f>
        <v/>
      </c>
      <c r="C70" s="11">
        <f>$B70/E26</f>
        <v/>
      </c>
      <c r="D70" s="11">
        <f>$B70/E26</f>
        <v/>
      </c>
      <c r="E70" s="11">
        <f>$B70/E26</f>
        <v/>
      </c>
      <c r="F70" s="11">
        <f>$B70/E26</f>
        <v/>
      </c>
      <c r="G70" s="11">
        <f>$B70/E26</f>
        <v/>
      </c>
      <c r="H70" s="11">
        <f>$B70/E26</f>
        <v/>
      </c>
      <c r="I70" s="11">
        <f>$B70/E26</f>
        <v/>
      </c>
      <c r="J70" s="11">
        <f>$B70/E26</f>
        <v/>
      </c>
      <c r="K70" s="11">
        <f>$B70/E26</f>
        <v/>
      </c>
      <c r="L70" s="11">
        <f>$B70/E26</f>
        <v/>
      </c>
    </row>
    <row r="71">
      <c r="A71" s="6" t="inlineStr">
        <is>
          <t>Envasadora automática (10 años)</t>
        </is>
      </c>
      <c r="B71" s="11">
        <f>B27</f>
        <v/>
      </c>
      <c r="C71" s="11">
        <f>$B71/E27</f>
        <v/>
      </c>
      <c r="D71" s="11">
        <f>$B71/E27</f>
        <v/>
      </c>
      <c r="E71" s="11">
        <f>$B71/E27</f>
        <v/>
      </c>
      <c r="F71" s="11">
        <f>$B71/E27</f>
        <v/>
      </c>
      <c r="G71" s="11">
        <f>$B71/E27</f>
        <v/>
      </c>
      <c r="H71" s="11">
        <f>$B71/E27</f>
        <v/>
      </c>
      <c r="I71" s="11">
        <f>$B71/E27</f>
        <v/>
      </c>
      <c r="J71" s="11">
        <f>$B71/E27</f>
        <v/>
      </c>
      <c r="K71" s="11">
        <f>$B71/E27</f>
        <v/>
      </c>
      <c r="L71" s="11">
        <f>$B71/E27</f>
        <v/>
      </c>
    </row>
    <row r="72">
      <c r="A72" s="6" t="inlineStr">
        <is>
          <t>Sistema de enfriamiento (10 años)</t>
        </is>
      </c>
      <c r="B72" s="11">
        <f>B28</f>
        <v/>
      </c>
      <c r="C72" s="11">
        <f>$B72/E28</f>
        <v/>
      </c>
      <c r="D72" s="11">
        <f>$B72/E28</f>
        <v/>
      </c>
      <c r="E72" s="11">
        <f>$B72/E28</f>
        <v/>
      </c>
      <c r="F72" s="11">
        <f>$B72/E28</f>
        <v/>
      </c>
      <c r="G72" s="11">
        <f>$B72/E28</f>
        <v/>
      </c>
      <c r="H72" s="11">
        <f>$B72/E28</f>
        <v/>
      </c>
      <c r="I72" s="11">
        <f>$B72/E28</f>
        <v/>
      </c>
      <c r="J72" s="11">
        <f>$B72/E28</f>
        <v/>
      </c>
      <c r="K72" s="11">
        <f>$B72/E28</f>
        <v/>
      </c>
      <c r="L72" s="11">
        <f>$B72/E28</f>
        <v/>
      </c>
    </row>
    <row r="73">
      <c r="A73" s="6" t="inlineStr">
        <is>
          <t>Camión de distribución (5 años)</t>
        </is>
      </c>
      <c r="B73" s="11">
        <f>B29</f>
        <v/>
      </c>
      <c r="C73" s="11">
        <f>$B73/E29</f>
        <v/>
      </c>
      <c r="D73" s="11">
        <f>$B73/E29</f>
        <v/>
      </c>
      <c r="E73" s="11">
        <f>$B73/E29</f>
        <v/>
      </c>
      <c r="F73" s="11">
        <f>$B73/E29</f>
        <v/>
      </c>
      <c r="G73" s="11">
        <f>$B73/E29</f>
        <v/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</row>
    <row r="74">
      <c r="A74" s="6" t="inlineStr">
        <is>
          <t>Amortización de diferidos (5 años)</t>
        </is>
      </c>
      <c r="B74" s="11">
        <f>B30</f>
        <v/>
      </c>
      <c r="C74" s="11">
        <f>$B74/E30</f>
        <v/>
      </c>
      <c r="D74" s="11">
        <f>$B74/E30</f>
        <v/>
      </c>
      <c r="E74" s="11">
        <f>$B74/E30</f>
        <v/>
      </c>
      <c r="F74" s="11">
        <f>$B74/E30</f>
        <v/>
      </c>
      <c r="G74" s="11">
        <f>$B74/E30</f>
        <v/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</row>
    <row r="75">
      <c r="A75" s="14" t="inlineStr">
        <is>
          <t>TOTAL DEPRECIACIÓN Y AMORTIZACIÓN</t>
        </is>
      </c>
      <c r="B75" s="15">
        <f>SUM(B69:B74)</f>
        <v/>
      </c>
      <c r="C75" s="15">
        <f>SUM(C69:C74)</f>
        <v/>
      </c>
      <c r="D75" s="15">
        <f>SUM(D69:D74)</f>
        <v/>
      </c>
      <c r="E75" s="15">
        <f>SUM(E69:E74)</f>
        <v/>
      </c>
      <c r="F75" s="15">
        <f>SUM(F69:F74)</f>
        <v/>
      </c>
      <c r="G75" s="15">
        <f>SUM(G69:G74)</f>
        <v/>
      </c>
      <c r="H75" s="15">
        <f>SUM(H69:H74)</f>
        <v/>
      </c>
      <c r="I75" s="15">
        <f>SUM(I69:I74)</f>
        <v/>
      </c>
      <c r="J75" s="15">
        <f>SUM(J69:J74)</f>
        <v/>
      </c>
      <c r="K75" s="15">
        <f>SUM(K69:K74)</f>
        <v/>
      </c>
      <c r="L75" s="15">
        <f>SUM(L69:L74)</f>
        <v/>
      </c>
    </row>
    <row r="77">
      <c r="A77" s="3" t="inlineStr">
        <is>
          <t>7. VALOR DE DESECHO Y CAPITAL DE TRABAJO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3" t="inlineStr">
        <is>
          <t>Concepto</t>
        </is>
      </c>
      <c r="B78" s="5" t="inlineStr">
        <is>
          <t>Año 0</t>
        </is>
      </c>
      <c r="C78" s="5" t="inlineStr">
        <is>
          <t>Año 1</t>
        </is>
      </c>
      <c r="D78" s="5" t="inlineStr">
        <is>
          <t>Año 2</t>
        </is>
      </c>
      <c r="E78" s="5" t="inlineStr">
        <is>
          <t>Año 3</t>
        </is>
      </c>
      <c r="F78" s="5" t="inlineStr">
        <is>
          <t>Año 4</t>
        </is>
      </c>
      <c r="G78" s="5" t="inlineStr">
        <is>
          <t>Año 5</t>
        </is>
      </c>
      <c r="H78" s="5" t="inlineStr">
        <is>
          <t>Año 6</t>
        </is>
      </c>
      <c r="I78" s="5" t="inlineStr">
        <is>
          <t>Año 7</t>
        </is>
      </c>
      <c r="J78" s="5" t="inlineStr">
        <is>
          <t>Año 8</t>
        </is>
      </c>
      <c r="K78" s="5" t="inlineStr">
        <is>
          <t>Año 9</t>
        </is>
      </c>
      <c r="L78" s="5" t="inlineStr">
        <is>
          <t>Año 10</t>
        </is>
      </c>
    </row>
    <row r="79">
      <c r="A79" s="6" t="inlineStr">
        <is>
          <t>Valor de desecho de activos (Año 10)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</row>
    <row r="80">
      <c r="A80" s="6" t="inlineStr">
        <is>
          <t>Capital de trabajo requerido (= (variables+fijos) × meses ÷ 12)</t>
        </is>
      </c>
      <c r="B80" s="11">
        <f>(C46+C65)*$B$21/12</f>
        <v/>
      </c>
      <c r="C80" s="11">
        <f>(C46+C65)*$B$21/12</f>
        <v/>
      </c>
      <c r="D80" s="11">
        <f>(D46+D65)*$B$21/12</f>
        <v/>
      </c>
      <c r="E80" s="11">
        <f>(E46+E65)*$B$21/12</f>
        <v/>
      </c>
      <c r="F80" s="11">
        <f>(F46+F65)*$B$21/12</f>
        <v/>
      </c>
      <c r="G80" s="11">
        <f>(G46+G65)*$B$21/12</f>
        <v/>
      </c>
      <c r="H80" s="11">
        <f>(H46+H65)*$B$21/12</f>
        <v/>
      </c>
      <c r="I80" s="11">
        <f>(I46+I65)*$B$21/12</f>
        <v/>
      </c>
      <c r="J80" s="11">
        <f>(J46+J65)*$B$21/12</f>
        <v/>
      </c>
      <c r="K80" s="11">
        <f>(K46+K65)*$B$21/12</f>
        <v/>
      </c>
      <c r="L80" s="11">
        <f>(L46+L65)*$B$21/12</f>
        <v/>
      </c>
    </row>
    <row r="81">
      <c r="A81" s="6" t="inlineStr">
        <is>
          <t>Inversión en capital de trabajo (incremento anual)</t>
        </is>
      </c>
      <c r="B81" s="11">
        <f>B80</f>
        <v/>
      </c>
      <c r="C81" s="11">
        <f>C80-B80</f>
        <v/>
      </c>
      <c r="D81" s="11">
        <f>D80-C80</f>
        <v/>
      </c>
      <c r="E81" s="11">
        <f>E80-D80</f>
        <v/>
      </c>
      <c r="F81" s="11">
        <f>F80-E80</f>
        <v/>
      </c>
      <c r="G81" s="11">
        <f>G80-F80</f>
        <v/>
      </c>
      <c r="H81" s="11">
        <f>H80-G80</f>
        <v/>
      </c>
      <c r="I81" s="11">
        <f>I80-H80</f>
        <v/>
      </c>
      <c r="J81" s="11">
        <f>J80-I80</f>
        <v/>
      </c>
      <c r="K81" s="11">
        <f>K80-J80</f>
        <v/>
      </c>
      <c r="L81" s="11">
        <f>L80-K80</f>
        <v/>
      </c>
    </row>
    <row r="82">
      <c r="A82" s="6" t="inlineStr">
        <is>
          <t>Recuperación capital de trabajo (Año 10)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>
        <f>L80</f>
        <v/>
      </c>
    </row>
    <row r="84">
      <c r="A84" s="3" t="inlineStr">
        <is>
          <t>8. TABLA DE AMORTIZACIÓN DEL PRÉSTAMO  (cuota anual fija)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A85" s="3" t="inlineStr">
        <is>
          <t>Concepto</t>
        </is>
      </c>
      <c r="B85" s="5" t="inlineStr">
        <is>
          <t>Año 0</t>
        </is>
      </c>
      <c r="C85" s="5" t="inlineStr">
        <is>
          <t>Año 1</t>
        </is>
      </c>
      <c r="D85" s="5" t="inlineStr">
        <is>
          <t>Año 2</t>
        </is>
      </c>
      <c r="E85" s="5" t="inlineStr">
        <is>
          <t>Año 3</t>
        </is>
      </c>
      <c r="F85" s="5" t="inlineStr">
        <is>
          <t>Año 4</t>
        </is>
      </c>
      <c r="G85" s="5" t="inlineStr">
        <is>
          <t>Año 5</t>
        </is>
      </c>
      <c r="H85" s="5" t="inlineStr">
        <is>
          <t>Año 6</t>
        </is>
      </c>
      <c r="I85" s="5" t="inlineStr">
        <is>
          <t>Año 7</t>
        </is>
      </c>
      <c r="J85" s="5" t="inlineStr">
        <is>
          <t>Año 8</t>
        </is>
      </c>
      <c r="K85" s="5" t="inlineStr">
        <is>
          <t>Año 9</t>
        </is>
      </c>
      <c r="L85" s="5" t="inlineStr">
        <is>
          <t>Año 10</t>
        </is>
      </c>
    </row>
    <row r="86">
      <c r="A86" s="6" t="inlineStr">
        <is>
          <t>Saldo inicial</t>
        </is>
      </c>
      <c r="B86" s="11" t="n">
        <v>0</v>
      </c>
      <c r="C86" s="11">
        <f>D32</f>
        <v/>
      </c>
      <c r="D86" s="11">
        <f>C90</f>
        <v/>
      </c>
      <c r="E86" s="11">
        <f>D90</f>
        <v/>
      </c>
      <c r="F86" s="11">
        <f>E90</f>
        <v/>
      </c>
      <c r="G86" s="11">
        <f>F90</f>
        <v/>
      </c>
      <c r="H86" s="11">
        <f>G90</f>
        <v/>
      </c>
      <c r="I86" s="11">
        <f>H90</f>
        <v/>
      </c>
      <c r="J86" s="11">
        <f>I90</f>
        <v/>
      </c>
      <c r="K86" s="11">
        <f>J90</f>
        <v/>
      </c>
      <c r="L86" s="11">
        <f>K90</f>
        <v/>
      </c>
    </row>
    <row r="87">
      <c r="A87" s="6" t="inlineStr">
        <is>
          <t>Abono a capital</t>
        </is>
      </c>
      <c r="B87" s="11" t="n">
        <v>0</v>
      </c>
      <c r="C87" s="11">
        <f>MIN(C89-C88,C86)</f>
        <v/>
      </c>
      <c r="D87" s="11">
        <f>MIN(D89-D88,D86)</f>
        <v/>
      </c>
      <c r="E87" s="11">
        <f>MIN(E89-E88,E86)</f>
        <v/>
      </c>
      <c r="F87" s="11">
        <f>MIN(F89-F88,F86)</f>
        <v/>
      </c>
      <c r="G87" s="11">
        <f>MIN(G89-G88,G86)</f>
        <v/>
      </c>
      <c r="H87" s="11">
        <f>MIN(H89-H88,H86)</f>
        <v/>
      </c>
      <c r="I87" s="11">
        <f>MIN(I89-I88,I86)</f>
        <v/>
      </c>
      <c r="J87" s="11">
        <f>MIN(J89-J88,J86)</f>
        <v/>
      </c>
      <c r="K87" s="11">
        <f>MIN(K89-K88,K86)</f>
        <v/>
      </c>
      <c r="L87" s="11">
        <f>MIN(L89-L88,L86)</f>
        <v/>
      </c>
    </row>
    <row r="88">
      <c r="A88" s="6" t="inlineStr">
        <is>
          <t>Intereses (= saldo × tasa)</t>
        </is>
      </c>
      <c r="B88" s="11" t="n">
        <v>0</v>
      </c>
      <c r="C88" s="11">
        <f>C86*$B$9</f>
        <v/>
      </c>
      <c r="D88" s="11">
        <f>D86*$B$9</f>
        <v/>
      </c>
      <c r="E88" s="11">
        <f>E86*$B$9</f>
        <v/>
      </c>
      <c r="F88" s="11">
        <f>F86*$B$9</f>
        <v/>
      </c>
      <c r="G88" s="11">
        <f>G86*$B$9</f>
        <v/>
      </c>
      <c r="H88" s="11">
        <f>H86*$B$9</f>
        <v/>
      </c>
      <c r="I88" s="11">
        <f>I86*$B$9</f>
        <v/>
      </c>
      <c r="J88" s="11">
        <f>J86*$B$9</f>
        <v/>
      </c>
      <c r="K88" s="11">
        <f>K86*$B$9</f>
        <v/>
      </c>
      <c r="L88" s="11">
        <f>L86*$B$9</f>
        <v/>
      </c>
    </row>
    <row r="89">
      <c r="A89" s="6" t="inlineStr">
        <is>
          <t>Cuota total (= abono + intereses)</t>
        </is>
      </c>
      <c r="B89" s="11" t="n">
        <v>0</v>
      </c>
      <c r="C89" s="11">
        <f>IF(C86&gt;0,D32*$B$9/(1-(1+$B$9)^-5),0)</f>
        <v/>
      </c>
      <c r="D89" s="11">
        <f>IF(D86&gt;0,D32*$B$9/(1-(1+$B$9)^-5),0)</f>
        <v/>
      </c>
      <c r="E89" s="11">
        <f>IF(E86&gt;0,D32*$B$9/(1-(1+$B$9)^-5),0)</f>
        <v/>
      </c>
      <c r="F89" s="11">
        <f>IF(F86&gt;0,D32*$B$9/(1-(1+$B$9)^-5),0)</f>
        <v/>
      </c>
      <c r="G89" s="11">
        <f>IF(G86&gt;0,D32*$B$9/(1-(1+$B$9)^-5),0)</f>
        <v/>
      </c>
      <c r="H89" s="11">
        <f>IF(H86&gt;0,D32*$B$9/(1-(1+$B$9)^-5),0)</f>
        <v/>
      </c>
      <c r="I89" s="11">
        <f>IF(I86&gt;0,D32*$B$9/(1-(1+$B$9)^-5),0)</f>
        <v/>
      </c>
      <c r="J89" s="11">
        <f>IF(J86&gt;0,D32*$B$9/(1-(1+$B$9)^-5),0)</f>
        <v/>
      </c>
      <c r="K89" s="11">
        <f>IF(K86&gt;0,D32*$B$9/(1-(1+$B$9)^-5),0)</f>
        <v/>
      </c>
      <c r="L89" s="11">
        <f>IF(L86&gt;0,D32*$B$9/(1-(1+$B$9)^-5),0)</f>
        <v/>
      </c>
    </row>
    <row r="90">
      <c r="A90" s="6" t="inlineStr">
        <is>
          <t>Saldo final</t>
        </is>
      </c>
      <c r="B90" s="11" t="n">
        <v>0</v>
      </c>
      <c r="C90" s="11">
        <f>C86-C87</f>
        <v/>
      </c>
      <c r="D90" s="11">
        <f>D86-D87</f>
        <v/>
      </c>
      <c r="E90" s="11">
        <f>E86-E87</f>
        <v/>
      </c>
      <c r="F90" s="11">
        <f>F86-F87</f>
        <v/>
      </c>
      <c r="G90" s="11">
        <f>G86-G87</f>
        <v/>
      </c>
      <c r="H90" s="11">
        <f>H86-H87</f>
        <v/>
      </c>
      <c r="I90" s="11">
        <f>I86-I87</f>
        <v/>
      </c>
      <c r="J90" s="11">
        <f>J86-J87</f>
        <v/>
      </c>
      <c r="K90" s="11">
        <f>K86-K87</f>
        <v/>
      </c>
      <c r="L90" s="11">
        <f>L86-L87</f>
        <v/>
      </c>
    </row>
    <row r="92">
      <c r="A92" s="3" t="inlineStr">
        <is>
          <t>9. FLUJO DE CAJA DEL PROYECTO (SIN FINANCIAMIENTO)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>
      <c r="A93" s="3" t="inlineStr">
        <is>
          <t>Concepto</t>
        </is>
      </c>
      <c r="B93" s="5" t="inlineStr">
        <is>
          <t>Año 0</t>
        </is>
      </c>
      <c r="C93" s="5" t="inlineStr">
        <is>
          <t>Año 1</t>
        </is>
      </c>
      <c r="D93" s="5" t="inlineStr">
        <is>
          <t>Año 2</t>
        </is>
      </c>
      <c r="E93" s="5" t="inlineStr">
        <is>
          <t>Año 3</t>
        </is>
      </c>
      <c r="F93" s="5" t="inlineStr">
        <is>
          <t>Año 4</t>
        </is>
      </c>
      <c r="G93" s="5" t="inlineStr">
        <is>
          <t>Año 5</t>
        </is>
      </c>
      <c r="H93" s="5" t="inlineStr">
        <is>
          <t>Año 6</t>
        </is>
      </c>
      <c r="I93" s="5" t="inlineStr">
        <is>
          <t>Año 7</t>
        </is>
      </c>
      <c r="J93" s="5" t="inlineStr">
        <is>
          <t>Año 8</t>
        </is>
      </c>
      <c r="K93" s="5" t="inlineStr">
        <is>
          <t>Año 9</t>
        </is>
      </c>
      <c r="L93" s="5" t="inlineStr">
        <is>
          <t>Año 10</t>
        </is>
      </c>
    </row>
    <row r="94">
      <c r="A94" s="6" t="inlineStr">
        <is>
          <t>(+) Ingreso por ventas</t>
        </is>
      </c>
      <c r="B94" s="11">
        <f>B39</f>
        <v/>
      </c>
      <c r="C94" s="11">
        <f>C39</f>
        <v/>
      </c>
      <c r="D94" s="11">
        <f>D39</f>
        <v/>
      </c>
      <c r="E94" s="11">
        <f>E39</f>
        <v/>
      </c>
      <c r="F94" s="11">
        <f>F39</f>
        <v/>
      </c>
      <c r="G94" s="11">
        <f>G39</f>
        <v/>
      </c>
      <c r="H94" s="11">
        <f>H39</f>
        <v/>
      </c>
      <c r="I94" s="11">
        <f>I39</f>
        <v/>
      </c>
      <c r="J94" s="11">
        <f>J39</f>
        <v/>
      </c>
      <c r="K94" s="11">
        <f>K39</f>
        <v/>
      </c>
      <c r="L94" s="11">
        <f>L39</f>
        <v/>
      </c>
    </row>
    <row r="95">
      <c r="A95" s="6" t="inlineStr">
        <is>
          <t>(−) Costos variables</t>
        </is>
      </c>
      <c r="B95" s="11">
        <f>B46</f>
        <v/>
      </c>
      <c r="C95" s="11">
        <f>C46</f>
        <v/>
      </c>
      <c r="D95" s="11">
        <f>D46</f>
        <v/>
      </c>
      <c r="E95" s="11">
        <f>E46</f>
        <v/>
      </c>
      <c r="F95" s="11">
        <f>F46</f>
        <v/>
      </c>
      <c r="G95" s="11">
        <f>G46</f>
        <v/>
      </c>
      <c r="H95" s="11">
        <f>H46</f>
        <v/>
      </c>
      <c r="I95" s="11">
        <f>I46</f>
        <v/>
      </c>
      <c r="J95" s="11">
        <f>J46</f>
        <v/>
      </c>
      <c r="K95" s="11">
        <f>K46</f>
        <v/>
      </c>
      <c r="L95" s="11">
        <f>L46</f>
        <v/>
      </c>
    </row>
    <row r="96">
      <c r="A96" s="6" t="inlineStr">
        <is>
          <t>(−) Costos fijos</t>
        </is>
      </c>
      <c r="B96" s="11">
        <f>B65</f>
        <v/>
      </c>
      <c r="C96" s="11">
        <f>C65</f>
        <v/>
      </c>
      <c r="D96" s="11">
        <f>D65</f>
        <v/>
      </c>
      <c r="E96" s="11">
        <f>E65</f>
        <v/>
      </c>
      <c r="F96" s="11">
        <f>F65</f>
        <v/>
      </c>
      <c r="G96" s="11">
        <f>G65</f>
        <v/>
      </c>
      <c r="H96" s="11">
        <f>H65</f>
        <v/>
      </c>
      <c r="I96" s="11">
        <f>I65</f>
        <v/>
      </c>
      <c r="J96" s="11">
        <f>J65</f>
        <v/>
      </c>
      <c r="K96" s="11">
        <f>K65</f>
        <v/>
      </c>
      <c r="L96" s="11">
        <f>L65</f>
        <v/>
      </c>
    </row>
    <row r="97">
      <c r="A97" s="6" t="inlineStr">
        <is>
          <t>(−) Depreciación y amortización</t>
        </is>
      </c>
      <c r="B97" s="11" t="n">
        <v>0</v>
      </c>
      <c r="C97" s="11">
        <f>C75</f>
        <v/>
      </c>
      <c r="D97" s="11">
        <f>D75</f>
        <v/>
      </c>
      <c r="E97" s="11">
        <f>E75</f>
        <v/>
      </c>
      <c r="F97" s="11">
        <f>F75</f>
        <v/>
      </c>
      <c r="G97" s="11">
        <f>G75</f>
        <v/>
      </c>
      <c r="H97" s="11">
        <f>H75</f>
        <v/>
      </c>
      <c r="I97" s="11">
        <f>I75</f>
        <v/>
      </c>
      <c r="J97" s="11">
        <f>J75</f>
        <v/>
      </c>
      <c r="K97" s="11">
        <f>K75</f>
        <v/>
      </c>
      <c r="L97" s="11">
        <f>L75</f>
        <v/>
      </c>
    </row>
    <row r="98">
      <c r="A98" s="14" t="inlineStr">
        <is>
          <t>(=) Utilidad antes de impuestos</t>
        </is>
      </c>
      <c r="B98" s="15">
        <f>B94-B95-B96-B97</f>
        <v/>
      </c>
      <c r="C98" s="15">
        <f>C94-C95-C96-C97</f>
        <v/>
      </c>
      <c r="D98" s="15">
        <f>D94-D95-D96-D97</f>
        <v/>
      </c>
      <c r="E98" s="15">
        <f>E94-E95-E96-E97</f>
        <v/>
      </c>
      <c r="F98" s="15">
        <f>F94-F95-F96-F97</f>
        <v/>
      </c>
      <c r="G98" s="15">
        <f>G94-G95-G96-G97</f>
        <v/>
      </c>
      <c r="H98" s="15">
        <f>H94-H95-H96-H97</f>
        <v/>
      </c>
      <c r="I98" s="15">
        <f>I94-I95-I96-I97</f>
        <v/>
      </c>
      <c r="J98" s="15">
        <f>J94-J95-J96-J97</f>
        <v/>
      </c>
      <c r="K98" s="15">
        <f>K94-K95-K96-K97</f>
        <v/>
      </c>
      <c r="L98" s="15">
        <f>L94-L95-L96-L97</f>
        <v/>
      </c>
    </row>
    <row r="99">
      <c r="A99" s="6" t="inlineStr">
        <is>
          <t>(−) Impuesto sobre la renta</t>
        </is>
      </c>
      <c r="B99" s="11">
        <f>IF(B98&gt;0,$B$6*B98+$B$7*MAX(0,B98-$B$8),0)</f>
        <v/>
      </c>
      <c r="C99" s="11">
        <f>IF(C98&gt;0,$B$6*C98+$B$7*MAX(0,C98-$B$8),0)</f>
        <v/>
      </c>
      <c r="D99" s="11">
        <f>IF(D98&gt;0,$B$6*D98+$B$7*MAX(0,D98-$B$8),0)</f>
        <v/>
      </c>
      <c r="E99" s="11">
        <f>IF(E98&gt;0,$B$6*E98+$B$7*MAX(0,E98-$B$8),0)</f>
        <v/>
      </c>
      <c r="F99" s="11">
        <f>IF(F98&gt;0,$B$6*F98+$B$7*MAX(0,F98-$B$8),0)</f>
        <v/>
      </c>
      <c r="G99" s="11">
        <f>IF(G98&gt;0,$B$6*G98+$B$7*MAX(0,G98-$B$8),0)</f>
        <v/>
      </c>
      <c r="H99" s="11">
        <f>IF(H98&gt;0,$B$6*H98+$B$7*MAX(0,H98-$B$8),0)</f>
        <v/>
      </c>
      <c r="I99" s="11">
        <f>IF(I98&gt;0,$B$6*I98+$B$7*MAX(0,I98-$B$8),0)</f>
        <v/>
      </c>
      <c r="J99" s="11">
        <f>IF(J98&gt;0,$B$6*J98+$B$7*MAX(0,J98-$B$8),0)</f>
        <v/>
      </c>
      <c r="K99" s="11">
        <f>IF(K98&gt;0,$B$6*K98+$B$7*MAX(0,K98-$B$8),0)</f>
        <v/>
      </c>
      <c r="L99" s="11">
        <f>IF(L98&gt;0,$B$6*L98+$B$7*MAX(0,L98-$B$8),0)</f>
        <v/>
      </c>
    </row>
    <row r="100">
      <c r="A100" s="14" t="inlineStr">
        <is>
          <t>(=) Utilidad después de impuestos</t>
        </is>
      </c>
      <c r="B100" s="15">
        <f>B98-B99</f>
        <v/>
      </c>
      <c r="C100" s="15">
        <f>C98-C99</f>
        <v/>
      </c>
      <c r="D100" s="15">
        <f>D98-D99</f>
        <v/>
      </c>
      <c r="E100" s="15">
        <f>E98-E99</f>
        <v/>
      </c>
      <c r="F100" s="15">
        <f>F98-F99</f>
        <v/>
      </c>
      <c r="G100" s="15">
        <f>G98-G99</f>
        <v/>
      </c>
      <c r="H100" s="15">
        <f>H98-H99</f>
        <v/>
      </c>
      <c r="I100" s="15">
        <f>I98-I99</f>
        <v/>
      </c>
      <c r="J100" s="15">
        <f>J98-J99</f>
        <v/>
      </c>
      <c r="K100" s="15">
        <f>K98-K99</f>
        <v/>
      </c>
      <c r="L100" s="15">
        <f>L98-L99</f>
        <v/>
      </c>
    </row>
    <row r="101">
      <c r="A101" s="6" t="inlineStr">
        <is>
          <t>(+) Depreciación y amortización</t>
        </is>
      </c>
      <c r="B101" s="11" t="n">
        <v>0</v>
      </c>
      <c r="C101" s="11">
        <f>C75</f>
        <v/>
      </c>
      <c r="D101" s="11">
        <f>D75</f>
        <v/>
      </c>
      <c r="E101" s="11">
        <f>E75</f>
        <v/>
      </c>
      <c r="F101" s="11">
        <f>F75</f>
        <v/>
      </c>
      <c r="G101" s="11">
        <f>G75</f>
        <v/>
      </c>
      <c r="H101" s="11">
        <f>H75</f>
        <v/>
      </c>
      <c r="I101" s="11">
        <f>I75</f>
        <v/>
      </c>
      <c r="J101" s="11">
        <f>J75</f>
        <v/>
      </c>
      <c r="K101" s="11">
        <f>K75</f>
        <v/>
      </c>
      <c r="L101" s="11">
        <f>L75</f>
        <v/>
      </c>
    </row>
    <row r="102">
      <c r="A102" s="6" t="inlineStr">
        <is>
          <t>(+) Valor de desecho</t>
        </is>
      </c>
      <c r="B102" s="11" t="n">
        <v>0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>
        <f>L79</f>
        <v/>
      </c>
    </row>
    <row r="103">
      <c r="A103" s="6" t="inlineStr">
        <is>
          <t>(+) Recuperación capital de trabajo</t>
        </is>
      </c>
      <c r="B103" s="11">
        <f>B82</f>
        <v/>
      </c>
      <c r="C103" s="11">
        <f>C82</f>
        <v/>
      </c>
      <c r="D103" s="11">
        <f>D82</f>
        <v/>
      </c>
      <c r="E103" s="11">
        <f>E82</f>
        <v/>
      </c>
      <c r="F103" s="11">
        <f>F82</f>
        <v/>
      </c>
      <c r="G103" s="11">
        <f>G82</f>
        <v/>
      </c>
      <c r="H103" s="11">
        <f>H82</f>
        <v/>
      </c>
      <c r="I103" s="11">
        <f>I82</f>
        <v/>
      </c>
      <c r="J103" s="11">
        <f>J82</f>
        <v/>
      </c>
      <c r="K103" s="11">
        <f>K82</f>
        <v/>
      </c>
      <c r="L103" s="11">
        <f>L82</f>
        <v/>
      </c>
    </row>
    <row r="104">
      <c r="A104" s="6" t="inlineStr">
        <is>
          <t>(−) Inversión en activos fijos</t>
        </is>
      </c>
      <c r="B104" s="11">
        <f>SUM(B25:B30)</f>
        <v/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</row>
    <row r="105">
      <c r="A105" s="6" t="inlineStr">
        <is>
          <t>(−) Inversión en capital de trabajo</t>
        </is>
      </c>
      <c r="B105" s="11">
        <f>B81</f>
        <v/>
      </c>
      <c r="C105" s="11">
        <f>C81</f>
        <v/>
      </c>
      <c r="D105" s="11">
        <f>D81</f>
        <v/>
      </c>
      <c r="E105" s="11">
        <f>E81</f>
        <v/>
      </c>
      <c r="F105" s="11">
        <f>F81</f>
        <v/>
      </c>
      <c r="G105" s="11">
        <f>G81</f>
        <v/>
      </c>
      <c r="H105" s="11">
        <f>H81</f>
        <v/>
      </c>
      <c r="I105" s="11">
        <f>I81</f>
        <v/>
      </c>
      <c r="J105" s="11">
        <f>J81</f>
        <v/>
      </c>
      <c r="K105" s="11">
        <f>K81</f>
        <v/>
      </c>
      <c r="L105" s="11">
        <f>L81</f>
        <v/>
      </c>
    </row>
    <row r="106">
      <c r="A106" s="14" t="inlineStr">
        <is>
          <t>(=) FLUJO DE CAJA NETO</t>
        </is>
      </c>
      <c r="B106" s="15">
        <f>B100+B101+B102+B103-B104-B105</f>
        <v/>
      </c>
      <c r="C106" s="15">
        <f>C100+C101+C102+C103-C104-C105</f>
        <v/>
      </c>
      <c r="D106" s="15">
        <f>D100+D101+D102+D103-D104-D105</f>
        <v/>
      </c>
      <c r="E106" s="15">
        <f>E100+E101+E102+E103-E104-E105</f>
        <v/>
      </c>
      <c r="F106" s="15">
        <f>F100+F101+F102+F103-F104-F105</f>
        <v/>
      </c>
      <c r="G106" s="15">
        <f>G100+G101+G102+G103-G104-G105</f>
        <v/>
      </c>
      <c r="H106" s="15">
        <f>H100+H101+H102+H103-H104-H105</f>
        <v/>
      </c>
      <c r="I106" s="15">
        <f>I100+I101+I102+I103-I104-I105</f>
        <v/>
      </c>
      <c r="J106" s="15">
        <f>J100+J101+J102+J103-J104-J105</f>
        <v/>
      </c>
      <c r="K106" s="15">
        <f>K100+K101+K102+K103-K104-K105</f>
        <v/>
      </c>
      <c r="L106" s="15">
        <f>L100+L101+L102+L103-L104-L105</f>
        <v/>
      </c>
    </row>
    <row r="107">
      <c r="A107" s="20" t="inlineStr">
        <is>
          <t>Flujo de caja acumulado</t>
        </is>
      </c>
      <c r="B107" s="21">
        <f>B106</f>
        <v/>
      </c>
      <c r="C107" s="21">
        <f>B107+C106</f>
        <v/>
      </c>
      <c r="D107" s="21">
        <f>C107+D106</f>
        <v/>
      </c>
      <c r="E107" s="21">
        <f>D107+E106</f>
        <v/>
      </c>
      <c r="F107" s="21">
        <f>E107+F106</f>
        <v/>
      </c>
      <c r="G107" s="21">
        <f>F107+G106</f>
        <v/>
      </c>
      <c r="H107" s="21">
        <f>G107+H106</f>
        <v/>
      </c>
      <c r="I107" s="21">
        <f>H107+I106</f>
        <v/>
      </c>
      <c r="J107" s="21">
        <f>I107+J106</f>
        <v/>
      </c>
      <c r="K107" s="21">
        <f>J107+K106</f>
        <v/>
      </c>
      <c r="L107" s="21">
        <f>K107+L106</f>
        <v/>
      </c>
    </row>
    <row r="109">
      <c r="A109" s="3" t="inlineStr">
        <is>
          <t>10. FLUJO DE CAJA DEL PROYECTO (CON FINANCIAMIENTO)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3" t="inlineStr">
        <is>
          <t>Concepto</t>
        </is>
      </c>
      <c r="B110" s="5" t="inlineStr">
        <is>
          <t>Año 0</t>
        </is>
      </c>
      <c r="C110" s="5" t="inlineStr">
        <is>
          <t>Año 1</t>
        </is>
      </c>
      <c r="D110" s="5" t="inlineStr">
        <is>
          <t>Año 2</t>
        </is>
      </c>
      <c r="E110" s="5" t="inlineStr">
        <is>
          <t>Año 3</t>
        </is>
      </c>
      <c r="F110" s="5" t="inlineStr">
        <is>
          <t>Año 4</t>
        </is>
      </c>
      <c r="G110" s="5" t="inlineStr">
        <is>
          <t>Año 5</t>
        </is>
      </c>
      <c r="H110" s="5" t="inlineStr">
        <is>
          <t>Año 6</t>
        </is>
      </c>
      <c r="I110" s="5" t="inlineStr">
        <is>
          <t>Año 7</t>
        </is>
      </c>
      <c r="J110" s="5" t="inlineStr">
        <is>
          <t>Año 8</t>
        </is>
      </c>
      <c r="K110" s="5" t="inlineStr">
        <is>
          <t>Año 9</t>
        </is>
      </c>
      <c r="L110" s="5" t="inlineStr">
        <is>
          <t>Año 10</t>
        </is>
      </c>
    </row>
    <row r="111">
      <c r="A111" s="6" t="inlineStr">
        <is>
          <t>(+) Ingreso por ventas</t>
        </is>
      </c>
      <c r="B111" s="11">
        <f>B39</f>
        <v/>
      </c>
      <c r="C111" s="11">
        <f>C39</f>
        <v/>
      </c>
      <c r="D111" s="11">
        <f>D39</f>
        <v/>
      </c>
      <c r="E111" s="11">
        <f>E39</f>
        <v/>
      </c>
      <c r="F111" s="11">
        <f>F39</f>
        <v/>
      </c>
      <c r="G111" s="11">
        <f>G39</f>
        <v/>
      </c>
      <c r="H111" s="11">
        <f>H39</f>
        <v/>
      </c>
      <c r="I111" s="11">
        <f>I39</f>
        <v/>
      </c>
      <c r="J111" s="11">
        <f>J39</f>
        <v/>
      </c>
      <c r="K111" s="11">
        <f>K39</f>
        <v/>
      </c>
      <c r="L111" s="11">
        <f>L39</f>
        <v/>
      </c>
    </row>
    <row r="112">
      <c r="A112" s="6" t="inlineStr">
        <is>
          <t>(−) Costos variables</t>
        </is>
      </c>
      <c r="B112" s="11">
        <f>B46</f>
        <v/>
      </c>
      <c r="C112" s="11">
        <f>C46</f>
        <v/>
      </c>
      <c r="D112" s="11">
        <f>D46</f>
        <v/>
      </c>
      <c r="E112" s="11">
        <f>E46</f>
        <v/>
      </c>
      <c r="F112" s="11">
        <f>F46</f>
        <v/>
      </c>
      <c r="G112" s="11">
        <f>G46</f>
        <v/>
      </c>
      <c r="H112" s="11">
        <f>H46</f>
        <v/>
      </c>
      <c r="I112" s="11">
        <f>I46</f>
        <v/>
      </c>
      <c r="J112" s="11">
        <f>J46</f>
        <v/>
      </c>
      <c r="K112" s="11">
        <f>K46</f>
        <v/>
      </c>
      <c r="L112" s="11">
        <f>L46</f>
        <v/>
      </c>
    </row>
    <row r="113">
      <c r="A113" s="6" t="inlineStr">
        <is>
          <t>(−) Costos fijos</t>
        </is>
      </c>
      <c r="B113" s="11">
        <f>B65</f>
        <v/>
      </c>
      <c r="C113" s="11">
        <f>C65</f>
        <v/>
      </c>
      <c r="D113" s="11">
        <f>D65</f>
        <v/>
      </c>
      <c r="E113" s="11">
        <f>E65</f>
        <v/>
      </c>
      <c r="F113" s="11">
        <f>F65</f>
        <v/>
      </c>
      <c r="G113" s="11">
        <f>G65</f>
        <v/>
      </c>
      <c r="H113" s="11">
        <f>H65</f>
        <v/>
      </c>
      <c r="I113" s="11">
        <f>I65</f>
        <v/>
      </c>
      <c r="J113" s="11">
        <f>J65</f>
        <v/>
      </c>
      <c r="K113" s="11">
        <f>K65</f>
        <v/>
      </c>
      <c r="L113" s="11">
        <f>L65</f>
        <v/>
      </c>
    </row>
    <row r="114">
      <c r="A114" s="6" t="inlineStr">
        <is>
          <t>(−) Gastos financieros (intereses)</t>
        </is>
      </c>
      <c r="B114" s="11" t="n">
        <v>0</v>
      </c>
      <c r="C114" s="11">
        <f>C88</f>
        <v/>
      </c>
      <c r="D114" s="11">
        <f>D88</f>
        <v/>
      </c>
      <c r="E114" s="11">
        <f>E88</f>
        <v/>
      </c>
      <c r="F114" s="11">
        <f>F88</f>
        <v/>
      </c>
      <c r="G114" s="11">
        <f>G88</f>
        <v/>
      </c>
      <c r="H114" s="11">
        <f>H88</f>
        <v/>
      </c>
      <c r="I114" s="11">
        <f>I88</f>
        <v/>
      </c>
      <c r="J114" s="11">
        <f>J88</f>
        <v/>
      </c>
      <c r="K114" s="11">
        <f>K88</f>
        <v/>
      </c>
      <c r="L114" s="11">
        <f>L88</f>
        <v/>
      </c>
    </row>
    <row r="115">
      <c r="A115" s="6" t="inlineStr">
        <is>
          <t>(−) Depreciación y amortización</t>
        </is>
      </c>
      <c r="B115" s="11" t="n">
        <v>0</v>
      </c>
      <c r="C115" s="11">
        <f>C75</f>
        <v/>
      </c>
      <c r="D115" s="11">
        <f>D75</f>
        <v/>
      </c>
      <c r="E115" s="11">
        <f>E75</f>
        <v/>
      </c>
      <c r="F115" s="11">
        <f>F75</f>
        <v/>
      </c>
      <c r="G115" s="11">
        <f>G75</f>
        <v/>
      </c>
      <c r="H115" s="11">
        <f>H75</f>
        <v/>
      </c>
      <c r="I115" s="11">
        <f>I75</f>
        <v/>
      </c>
      <c r="J115" s="11">
        <f>J75</f>
        <v/>
      </c>
      <c r="K115" s="11">
        <f>K75</f>
        <v/>
      </c>
      <c r="L115" s="11">
        <f>L75</f>
        <v/>
      </c>
    </row>
    <row r="116">
      <c r="A116" s="14" t="inlineStr">
        <is>
          <t>(=) Utilidad antes de impuestos</t>
        </is>
      </c>
      <c r="B116" s="15">
        <f>B111-B112-B113-B114-B115</f>
        <v/>
      </c>
      <c r="C116" s="15">
        <f>C111-C112-C113-C114-C115</f>
        <v/>
      </c>
      <c r="D116" s="15">
        <f>D111-D112-D113-D114-D115</f>
        <v/>
      </c>
      <c r="E116" s="15">
        <f>E111-E112-E113-E114-E115</f>
        <v/>
      </c>
      <c r="F116" s="15">
        <f>F111-F112-F113-F114-F115</f>
        <v/>
      </c>
      <c r="G116" s="15">
        <f>G111-G112-G113-G114-G115</f>
        <v/>
      </c>
      <c r="H116" s="15">
        <f>H111-H112-H113-H114-H115</f>
        <v/>
      </c>
      <c r="I116" s="15">
        <f>I111-I112-I113-I114-I115</f>
        <v/>
      </c>
      <c r="J116" s="15">
        <f>J111-J112-J113-J114-J115</f>
        <v/>
      </c>
      <c r="K116" s="15">
        <f>K111-K112-K113-K114-K115</f>
        <v/>
      </c>
      <c r="L116" s="15">
        <f>L111-L112-L113-L114-L115</f>
        <v/>
      </c>
    </row>
    <row r="117">
      <c r="A117" s="6" t="inlineStr">
        <is>
          <t>(−) Impuesto sobre la renta</t>
        </is>
      </c>
      <c r="B117" s="11">
        <f>IF(B116&gt;0,$B$6*B116+$B$7*MAX(0,B116-$B$8),0)</f>
        <v/>
      </c>
      <c r="C117" s="11">
        <f>IF(C116&gt;0,$B$6*C116+$B$7*MAX(0,C116-$B$8),0)</f>
        <v/>
      </c>
      <c r="D117" s="11">
        <f>IF(D116&gt;0,$B$6*D116+$B$7*MAX(0,D116-$B$8),0)</f>
        <v/>
      </c>
      <c r="E117" s="11">
        <f>IF(E116&gt;0,$B$6*E116+$B$7*MAX(0,E116-$B$8),0)</f>
        <v/>
      </c>
      <c r="F117" s="11">
        <f>IF(F116&gt;0,$B$6*F116+$B$7*MAX(0,F116-$B$8),0)</f>
        <v/>
      </c>
      <c r="G117" s="11">
        <f>IF(G116&gt;0,$B$6*G116+$B$7*MAX(0,G116-$B$8),0)</f>
        <v/>
      </c>
      <c r="H117" s="11">
        <f>IF(H116&gt;0,$B$6*H116+$B$7*MAX(0,H116-$B$8),0)</f>
        <v/>
      </c>
      <c r="I117" s="11">
        <f>IF(I116&gt;0,$B$6*I116+$B$7*MAX(0,I116-$B$8),0)</f>
        <v/>
      </c>
      <c r="J117" s="11">
        <f>IF(J116&gt;0,$B$6*J116+$B$7*MAX(0,J116-$B$8),0)</f>
        <v/>
      </c>
      <c r="K117" s="11">
        <f>IF(K116&gt;0,$B$6*K116+$B$7*MAX(0,K116-$B$8),0)</f>
        <v/>
      </c>
      <c r="L117" s="11">
        <f>IF(L116&gt;0,$B$6*L116+$B$7*MAX(0,L116-$B$8),0)</f>
        <v/>
      </c>
    </row>
    <row r="118">
      <c r="A118" s="14" t="inlineStr">
        <is>
          <t>(=) Utilidad después de impuestos</t>
        </is>
      </c>
      <c r="B118" s="15">
        <f>B116-B117</f>
        <v/>
      </c>
      <c r="C118" s="15">
        <f>C116-C117</f>
        <v/>
      </c>
      <c r="D118" s="15">
        <f>D116-D117</f>
        <v/>
      </c>
      <c r="E118" s="15">
        <f>E116-E117</f>
        <v/>
      </c>
      <c r="F118" s="15">
        <f>F116-F117</f>
        <v/>
      </c>
      <c r="G118" s="15">
        <f>G116-G117</f>
        <v/>
      </c>
      <c r="H118" s="15">
        <f>H116-H117</f>
        <v/>
      </c>
      <c r="I118" s="15">
        <f>I116-I117</f>
        <v/>
      </c>
      <c r="J118" s="15">
        <f>J116-J117</f>
        <v/>
      </c>
      <c r="K118" s="15">
        <f>K116-K117</f>
        <v/>
      </c>
      <c r="L118" s="15">
        <f>L116-L117</f>
        <v/>
      </c>
    </row>
    <row r="119">
      <c r="A119" s="6" t="inlineStr">
        <is>
          <t>(+) Depreciación y amortización</t>
        </is>
      </c>
      <c r="B119" s="11" t="n">
        <v>0</v>
      </c>
      <c r="C119" s="11">
        <f>C75</f>
        <v/>
      </c>
      <c r="D119" s="11">
        <f>D75</f>
        <v/>
      </c>
      <c r="E119" s="11">
        <f>E75</f>
        <v/>
      </c>
      <c r="F119" s="11">
        <f>F75</f>
        <v/>
      </c>
      <c r="G119" s="11">
        <f>G75</f>
        <v/>
      </c>
      <c r="H119" s="11">
        <f>H75</f>
        <v/>
      </c>
      <c r="I119" s="11">
        <f>I75</f>
        <v/>
      </c>
      <c r="J119" s="11">
        <f>J75</f>
        <v/>
      </c>
      <c r="K119" s="11">
        <f>K75</f>
        <v/>
      </c>
      <c r="L119" s="11">
        <f>L75</f>
        <v/>
      </c>
    </row>
    <row r="120">
      <c r="A120" s="6" t="inlineStr">
        <is>
          <t>(+) Valor de desecho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>
        <f>L79</f>
        <v/>
      </c>
    </row>
    <row r="121">
      <c r="A121" s="6" t="inlineStr">
        <is>
          <t>(+) Recuperación capital de trabajo</t>
        </is>
      </c>
      <c r="B121" s="11">
        <f>B82</f>
        <v/>
      </c>
      <c r="C121" s="11">
        <f>C82</f>
        <v/>
      </c>
      <c r="D121" s="11">
        <f>D82</f>
        <v/>
      </c>
      <c r="E121" s="11">
        <f>E82</f>
        <v/>
      </c>
      <c r="F121" s="11">
        <f>F82</f>
        <v/>
      </c>
      <c r="G121" s="11">
        <f>G82</f>
        <v/>
      </c>
      <c r="H121" s="11">
        <f>H82</f>
        <v/>
      </c>
      <c r="I121" s="11">
        <f>I82</f>
        <v/>
      </c>
      <c r="J121" s="11">
        <f>J82</f>
        <v/>
      </c>
      <c r="K121" s="11">
        <f>K82</f>
        <v/>
      </c>
      <c r="L121" s="11">
        <f>L82</f>
        <v/>
      </c>
    </row>
    <row r="122">
      <c r="A122" s="6" t="inlineStr">
        <is>
          <t>(+) Préstamo bancario (Año 0)</t>
        </is>
      </c>
      <c r="B122" s="11">
        <f>D32</f>
        <v/>
      </c>
      <c r="C122" s="11" t="n">
        <v>0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</row>
    <row r="123">
      <c r="A123" s="6" t="inlineStr">
        <is>
          <t>(−) Inversión en activos fijos</t>
        </is>
      </c>
      <c r="B123" s="11">
        <f>SUM(B25:B30)</f>
        <v/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</row>
    <row r="124">
      <c r="A124" s="6" t="inlineStr">
        <is>
          <t>(−) Inversión en capital de trabajo</t>
        </is>
      </c>
      <c r="B124" s="11">
        <f>B81</f>
        <v/>
      </c>
      <c r="C124" s="11">
        <f>C81</f>
        <v/>
      </c>
      <c r="D124" s="11">
        <f>D81</f>
        <v/>
      </c>
      <c r="E124" s="11">
        <f>E81</f>
        <v/>
      </c>
      <c r="F124" s="11">
        <f>F81</f>
        <v/>
      </c>
      <c r="G124" s="11">
        <f>G81</f>
        <v/>
      </c>
      <c r="H124" s="11">
        <f>H81</f>
        <v/>
      </c>
      <c r="I124" s="11">
        <f>I81</f>
        <v/>
      </c>
      <c r="J124" s="11">
        <f>J81</f>
        <v/>
      </c>
      <c r="K124" s="11">
        <f>K81</f>
        <v/>
      </c>
      <c r="L124" s="11">
        <f>L81</f>
        <v/>
      </c>
    </row>
    <row r="125">
      <c r="A125" s="6" t="inlineStr">
        <is>
          <t>(−) Abono a capital del préstamo</t>
        </is>
      </c>
      <c r="B125" s="11" t="n">
        <v>0</v>
      </c>
      <c r="C125" s="11">
        <f>C87</f>
        <v/>
      </c>
      <c r="D125" s="11">
        <f>D87</f>
        <v/>
      </c>
      <c r="E125" s="11">
        <f>E87</f>
        <v/>
      </c>
      <c r="F125" s="11">
        <f>F87</f>
        <v/>
      </c>
      <c r="G125" s="11">
        <f>G87</f>
        <v/>
      </c>
      <c r="H125" s="11">
        <f>H87</f>
        <v/>
      </c>
      <c r="I125" s="11">
        <f>I87</f>
        <v/>
      </c>
      <c r="J125" s="11">
        <f>J87</f>
        <v/>
      </c>
      <c r="K125" s="11">
        <f>K87</f>
        <v/>
      </c>
      <c r="L125" s="11">
        <f>L87</f>
        <v/>
      </c>
    </row>
    <row r="126">
      <c r="A126" s="14" t="inlineStr">
        <is>
          <t>(=) FLUJO DE CAJA NETO</t>
        </is>
      </c>
      <c r="B126" s="15">
        <f>B118+B119+B120+B121+B122-B123-B124-B125</f>
        <v/>
      </c>
      <c r="C126" s="15">
        <f>C118+C119+C120+C121+C122-C123-C124-C125</f>
        <v/>
      </c>
      <c r="D126" s="15">
        <f>D118+D119+D120+D121+D122-D123-D124-D125</f>
        <v/>
      </c>
      <c r="E126" s="15">
        <f>E118+E119+E120+E121+E122-E123-E124-E125</f>
        <v/>
      </c>
      <c r="F126" s="15">
        <f>F118+F119+F120+F121+F122-F123-F124-F125</f>
        <v/>
      </c>
      <c r="G126" s="15">
        <f>G118+G119+G120+G121+G122-G123-G124-G125</f>
        <v/>
      </c>
      <c r="H126" s="15">
        <f>H118+H119+H120+H121+H122-H123-H124-H125</f>
        <v/>
      </c>
      <c r="I126" s="15">
        <f>I118+I119+I120+I121+I122-I123-I124-I125</f>
        <v/>
      </c>
      <c r="J126" s="15">
        <f>J118+J119+J120+J121+J122-J123-J124-J125</f>
        <v/>
      </c>
      <c r="K126" s="15">
        <f>K118+K119+K120+K121+K122-K123-K124-K125</f>
        <v/>
      </c>
      <c r="L126" s="15">
        <f>L118+L119+L120+L121+L122-L123-L124-L125</f>
        <v/>
      </c>
    </row>
    <row r="127">
      <c r="A127" s="20" t="inlineStr">
        <is>
          <t>Flujo de caja acumulado</t>
        </is>
      </c>
      <c r="B127" s="21">
        <f>B126</f>
        <v/>
      </c>
      <c r="C127" s="21">
        <f>B127+C126</f>
        <v/>
      </c>
      <c r="D127" s="21">
        <f>C127+D126</f>
        <v/>
      </c>
      <c r="E127" s="21">
        <f>D127+E126</f>
        <v/>
      </c>
      <c r="F127" s="21">
        <f>E127+F126</f>
        <v/>
      </c>
      <c r="G127" s="21">
        <f>F127+G126</f>
        <v/>
      </c>
      <c r="H127" s="21">
        <f>G127+H126</f>
        <v/>
      </c>
      <c r="I127" s="21">
        <f>H127+I126</f>
        <v/>
      </c>
      <c r="J127" s="21">
        <f>I127+J126</f>
        <v/>
      </c>
      <c r="K127" s="21">
        <f>J127+K126</f>
        <v/>
      </c>
      <c r="L127" s="21">
        <f>K127+L126</f>
        <v/>
      </c>
    </row>
    <row r="129">
      <c r="A129" s="3" t="inlineStr">
        <is>
          <t>11. COSTO DE CAPITAL — PROYECTO PURO (sin financiamiento)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3" t="inlineStr">
        <is>
          <t>Fuente</t>
        </is>
      </c>
      <c r="B130" s="5" t="inlineStr">
        <is>
          <t>Monto</t>
        </is>
      </c>
      <c r="C130" s="5" t="inlineStr">
        <is>
          <t>Participación</t>
        </is>
      </c>
      <c r="D130" s="5" t="inlineStr">
        <is>
          <t>Costo</t>
        </is>
      </c>
      <c r="E130" s="5" t="inlineStr">
        <is>
          <t>Costo ponderado</t>
        </is>
      </c>
      <c r="F130" s="4" t="n"/>
      <c r="G130" s="4" t="n"/>
      <c r="H130" s="4" t="n"/>
      <c r="I130" s="4" t="n"/>
      <c r="J130" s="4" t="n"/>
      <c r="K130" s="4" t="n"/>
      <c r="L130" s="4" t="n"/>
    </row>
    <row r="131">
      <c r="A131" s="6" t="inlineStr">
        <is>
          <t>Recursos propios (100%)</t>
        </is>
      </c>
      <c r="B131" s="11">
        <f>B32</f>
        <v/>
      </c>
      <c r="C131" s="22">
        <f>B131/B132</f>
        <v/>
      </c>
      <c r="D131" s="22">
        <f>$B$12</f>
        <v/>
      </c>
      <c r="E131" s="22">
        <f>C131*D131</f>
        <v/>
      </c>
    </row>
    <row r="132">
      <c r="A132" s="14" t="inlineStr">
        <is>
          <t>TOTAL / Tasa de descuento del proyecto</t>
        </is>
      </c>
      <c r="B132" s="15">
        <f>B131</f>
        <v/>
      </c>
      <c r="C132" s="23" t="n">
        <v>1</v>
      </c>
      <c r="D132" s="24" t="inlineStr">
        <is>
          <t>-</t>
        </is>
      </c>
      <c r="E132" s="23">
        <f>E131</f>
        <v/>
      </c>
    </row>
    <row r="134">
      <c r="A134" s="3" t="inlineStr">
        <is>
          <t>12. INDICADORES FINANCIEROS — PROYECTO PURO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A135" s="20" t="inlineStr">
        <is>
          <t>VAN (Valor Actual Neto)</t>
        </is>
      </c>
      <c r="B135" s="8">
        <f>NPV(E132,C106:L106)+B106</f>
        <v/>
      </c>
    </row>
    <row r="136">
      <c r="A136" s="20" t="inlineStr">
        <is>
          <t>TIR (Tasa Interna de Retorno)</t>
        </is>
      </c>
      <c r="B136" s="7">
        <f>IRR(B106:L106)</f>
        <v/>
      </c>
    </row>
    <row r="137">
      <c r="A137" s="20" t="inlineStr">
        <is>
          <t>PRI (años de recuperación)</t>
        </is>
      </c>
      <c r="B137" s="9">
        <f>IF(COUNTIF(B107:L107,"&lt;0")=11,"&gt;10",(COUNTIF(B107:L107,"&lt;0")-1)+(-INDEX(B107:L107,COUNTIF(B107:L107,"&lt;0")))/INDEX(B106:L106,COUNTIF(B107:L107,"&lt;0")+1))</f>
        <v/>
      </c>
    </row>
    <row r="138">
      <c r="A138" s="20" t="inlineStr">
        <is>
          <t>Relación Beneficio/Costo</t>
        </is>
      </c>
      <c r="B138" s="9">
        <f>NPV(E132,C39:L39)/(B32+NPV(E132,C46:L46)+NPV(E132,C65:L65)+NPV(E132,C99:L99))</f>
        <v/>
      </c>
    </row>
    <row r="140">
      <c r="A140" s="3" t="inlineStr">
        <is>
          <t>13. COSTO DE CAPITAL — CON FINANCIAMIENTO (WACC)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A141" s="3" t="inlineStr">
        <is>
          <t>Fuente</t>
        </is>
      </c>
      <c r="B141" s="5" t="inlineStr">
        <is>
          <t>Monto</t>
        </is>
      </c>
      <c r="C141" s="5" t="inlineStr">
        <is>
          <t>Participación</t>
        </is>
      </c>
      <c r="D141" s="5" t="inlineStr">
        <is>
          <t>Costo</t>
        </is>
      </c>
      <c r="E141" s="5" t="inlineStr">
        <is>
          <t>Costo ponderado</t>
        </is>
      </c>
      <c r="F141" s="4" t="n"/>
      <c r="G141" s="4" t="n"/>
      <c r="H141" s="4" t="n"/>
      <c r="I141" s="4" t="n"/>
      <c r="J141" s="4" t="n"/>
      <c r="K141" s="4" t="n"/>
      <c r="L141" s="4" t="n"/>
    </row>
    <row r="142">
      <c r="A142" s="6" t="inlineStr">
        <is>
          <t>Préstamo bancario (deuda, después de impuestos)</t>
        </is>
      </c>
      <c r="B142" s="11">
        <f>D32</f>
        <v/>
      </c>
      <c r="C142" s="22">
        <f>B142/B144</f>
        <v/>
      </c>
      <c r="D142" s="22">
        <f>$B$9*(1-$B$6)</f>
        <v/>
      </c>
      <c r="E142" s="22">
        <f>C142*D142</f>
        <v/>
      </c>
    </row>
    <row r="143">
      <c r="A143" s="6" t="inlineStr">
        <is>
          <t>Recursos propios (patrimonio)</t>
        </is>
      </c>
      <c r="B143" s="11">
        <f>C32</f>
        <v/>
      </c>
      <c r="C143" s="22">
        <f>B143/B144</f>
        <v/>
      </c>
      <c r="D143" s="22">
        <f>$B$12</f>
        <v/>
      </c>
      <c r="E143" s="22">
        <f>C143*D143</f>
        <v/>
      </c>
    </row>
    <row r="144">
      <c r="A144" s="14" t="inlineStr">
        <is>
          <t>TOTAL / WACC</t>
        </is>
      </c>
      <c r="B144" s="15">
        <f>B142+B143</f>
        <v/>
      </c>
      <c r="C144" s="23" t="n">
        <v>1</v>
      </c>
      <c r="D144" s="24" t="inlineStr">
        <is>
          <t>-</t>
        </is>
      </c>
      <c r="E144" s="23">
        <f>E142+E143</f>
        <v/>
      </c>
    </row>
    <row r="146">
      <c r="A146" s="3" t="inlineStr">
        <is>
          <t>14. INDICADORES FINANCIEROS — CON FINANCIAMIENTO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>
      <c r="A147" s="20" t="inlineStr">
        <is>
          <t>VAN (Valor Actual Neto)</t>
        </is>
      </c>
      <c r="B147" s="8">
        <f>NPV(E144,C126:L126)+B126</f>
        <v/>
      </c>
    </row>
    <row r="148">
      <c r="A148" s="20" t="inlineStr">
        <is>
          <t>TIR (Tasa Interna de Retorno)</t>
        </is>
      </c>
      <c r="B148" s="7">
        <f>IRR(B126:L126)</f>
        <v/>
      </c>
    </row>
    <row r="149">
      <c r="A149" s="20" t="inlineStr">
        <is>
          <t>PRI (años de recuperación)</t>
        </is>
      </c>
      <c r="B149" s="9">
        <f>IF(COUNTIF(B127:L127,"&lt;0")=11,"&gt;10",(COUNTIF(B127:L127,"&lt;0")-1)+(-INDEX(B127:L127,COUNTIF(B127:L127,"&lt;0")))/INDEX(B126:L126,COUNTIF(B127:L127,"&lt;0")+1))</f>
        <v/>
      </c>
    </row>
    <row r="150">
      <c r="A150" s="20" t="inlineStr">
        <is>
          <t>Relación Beneficio/Costo</t>
        </is>
      </c>
      <c r="B150" s="9">
        <f>NPV(E144,C39:L39)/(C32+NPV(E144,C46:L46)+NPV(E144,C65:L65)+NPV(E144,C114:L114)+NPV(E144,C117:L117)+NPV(E144,C125:L125))</f>
        <v/>
      </c>
    </row>
  </sheetData>
  <mergeCells count="23">
    <mergeCell ref="A41:L41"/>
    <mergeCell ref="C52:L52"/>
    <mergeCell ref="A84:L84"/>
    <mergeCell ref="C53:L53"/>
    <mergeCell ref="A129:L129"/>
    <mergeCell ref="C49:L49"/>
    <mergeCell ref="A23:L23"/>
    <mergeCell ref="A140:L140"/>
    <mergeCell ref="A146:L146"/>
    <mergeCell ref="A109:L109"/>
    <mergeCell ref="A4:L4"/>
    <mergeCell ref="A134:L134"/>
    <mergeCell ref="A67:L67"/>
    <mergeCell ref="C54:L54"/>
    <mergeCell ref="A77:L77"/>
    <mergeCell ref="A34:L34"/>
    <mergeCell ref="C50:L50"/>
    <mergeCell ref="A48:L48"/>
    <mergeCell ref="A92:L92"/>
    <mergeCell ref="C55:L55"/>
    <mergeCell ref="A60:L60"/>
    <mergeCell ref="C56:L56"/>
    <mergeCell ref="C51:L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42" customWidth="1" min="4" max="4"/>
  </cols>
  <sheetData>
    <row r="1">
      <c r="A1" s="20" t="inlineStr">
        <is>
          <t>Correcciones a realizar en el documento de tesis</t>
        </is>
      </c>
    </row>
    <row r="2">
      <c r="A2" s="5" t="inlineStr">
        <is>
          <t>#</t>
        </is>
      </c>
      <c r="B2" s="3" t="inlineStr">
        <is>
          <t>Dónde en la tesis</t>
        </is>
      </c>
      <c r="C2" s="3" t="inlineStr">
        <is>
          <t>Qué está mal</t>
        </is>
      </c>
      <c r="D2" s="3" t="inlineStr">
        <is>
          <t>Corrección</t>
        </is>
      </c>
    </row>
    <row r="3" ht="42" customHeight="1">
      <c r="A3" s="12" t="n">
        <v>1</v>
      </c>
      <c r="B3" s="25" t="inlineStr">
        <is>
          <t>Cuadro 6 / Costo de personal</t>
        </is>
      </c>
      <c r="C3" s="25" t="inlineStr">
        <is>
          <t>Planilla mensual (L92,600) usada como costo anual</t>
        </is>
      </c>
      <c r="D3" s="25" t="inlineStr">
        <is>
          <t>Anualizar ×12 + aguinaldo + catorceavo + 12% cargas patronales</t>
        </is>
      </c>
    </row>
    <row r="4" ht="42" customHeight="1">
      <c r="A4" s="12" t="n">
        <v>2</v>
      </c>
      <c r="B4" s="25" t="inlineStr">
        <is>
          <t>Cuadros 5 y 6</t>
        </is>
      </c>
      <c r="C4" s="25" t="inlineStr">
        <is>
          <t>Personal contado dos veces</t>
        </is>
      </c>
      <c r="D4" s="25" t="inlineStr">
        <is>
          <t>Dejarlo en una sola línea</t>
        </is>
      </c>
    </row>
    <row r="5" ht="42" customHeight="1">
      <c r="A5" s="12" t="n">
        <v>3</v>
      </c>
      <c r="B5" s="25" t="inlineStr">
        <is>
          <t>Cuadros 5 y 6</t>
        </is>
      </c>
      <c r="C5" s="25" t="inlineStr">
        <is>
          <t>Costos mensuales usados como anuales</t>
        </is>
      </c>
      <c r="D5" s="25" t="inlineStr">
        <is>
          <t>Multiplicar por 12</t>
        </is>
      </c>
    </row>
    <row r="6" ht="42" customHeight="1">
      <c r="A6" s="12" t="n">
        <v>4</v>
      </c>
      <c r="B6" s="25" t="inlineStr">
        <is>
          <t>Costos fijos (leche L390,000)</t>
        </is>
      </c>
      <c r="C6" s="25" t="inlineStr">
        <is>
          <t>Leche, empaque y combustible como fijos</t>
        </is>
      </c>
      <c r="D6" s="25" t="inlineStr">
        <is>
          <t>Volverlos variables (por litro vendido)</t>
        </is>
      </c>
    </row>
    <row r="7" ht="42" customHeight="1">
      <c r="A7" s="12" t="n">
        <v>5</v>
      </c>
      <c r="B7" s="25" t="inlineStr">
        <is>
          <t>Gastos administrativos</t>
        </is>
      </c>
      <c r="C7" s="25" t="inlineStr">
        <is>
          <t>Los ítems suman L21,600 pero dice L22,600</t>
        </is>
      </c>
      <c r="D7" s="25" t="inlineStr">
        <is>
          <t>Corregir la suma</t>
        </is>
      </c>
    </row>
    <row r="8" ht="42" customHeight="1">
      <c r="A8" s="12" t="n">
        <v>6</v>
      </c>
      <c r="B8" s="25" t="inlineStr">
        <is>
          <t>Cuadro 3 (depreciación)</t>
        </is>
      </c>
      <c r="C8" s="25" t="inlineStr">
        <is>
          <t>Camión con vida de 3 años</t>
        </is>
      </c>
      <c r="D8" s="25" t="inlineStr">
        <is>
          <t>Vida útil realista de 5 años</t>
        </is>
      </c>
    </row>
    <row r="9" ht="42" customHeight="1">
      <c r="A9" s="12" t="n">
        <v>7</v>
      </c>
      <c r="B9" s="25" t="inlineStr">
        <is>
          <t>Estudio financiero</t>
        </is>
      </c>
      <c r="C9" s="25" t="inlineStr">
        <is>
          <t>No aplica impuesto sobre la renta</t>
        </is>
      </c>
      <c r="D9" s="25" t="inlineStr">
        <is>
          <t>ISR 25% + 5% solidaria (renta &gt; L1M)</t>
        </is>
      </c>
    </row>
    <row r="10" ht="42" customHeight="1">
      <c r="A10" s="12" t="n">
        <v>8</v>
      </c>
      <c r="B10" s="25" t="inlineStr">
        <is>
          <t>Estudio financiero</t>
        </is>
      </c>
      <c r="C10" s="25" t="inlineStr">
        <is>
          <t>No define tasa de descuento ni WACC</t>
        </is>
      </c>
      <c r="D10" s="25" t="inlineStr">
        <is>
          <t>Tasa de descuento 15% y WACC calculado</t>
        </is>
      </c>
    </row>
    <row r="11" ht="42" customHeight="1">
      <c r="A11" s="12" t="n">
        <v>9</v>
      </c>
      <c r="B11" s="25" t="inlineStr">
        <is>
          <t>Estudio financiero</t>
        </is>
      </c>
      <c r="C11" s="25" t="inlineStr">
        <is>
          <t>No incluye capital de trabajo</t>
        </is>
      </c>
      <c r="D11" s="25" t="inlineStr">
        <is>
          <t>Incluir 2 meses de costos, recuperar Año 10</t>
        </is>
      </c>
    </row>
    <row r="12" ht="42" customHeight="1">
      <c r="A12" s="12" t="n">
        <v>10</v>
      </c>
      <c r="B12" s="25" t="inlineStr">
        <is>
          <t>Cuadro 1 / ventas</t>
        </is>
      </c>
      <c r="C12" s="25" t="inlineStr">
        <is>
          <t>Consumo por cliente (60 L/mes) muy bajo para HORECA</t>
        </is>
      </c>
      <c r="D12" s="25" t="inlineStr">
        <is>
          <t>Ajustar a consumo realista (ya incorporado)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2026-07-11T01:06:57Z</dcterms:created>
  <dcterms:modified xsi:type="dcterms:W3CDTF">2026-07-11T01:06:57Z</dcterms:modified>
</cp:coreProperties>
</file>