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udio Financiero" sheetId="1" state="visible" r:id="rId1"/>
    <sheet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(Honduras) · cifras en Lempiras</t>
        </is>
      </c>
    </row>
    <row r="4">
      <c r="A4" s="3" t="inlineStr">
        <is>
          <t>SUPUESTOS BASE DEL PROYECTO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(renta &gt; L 1,000,000)</t>
        </is>
      </c>
      <c r="B7" s="7" t="n">
        <v>0.05</v>
      </c>
    </row>
    <row r="8">
      <c r="A8" s="6" t="inlineStr">
        <is>
          <t>Tasa de interés del préstamo (anual)</t>
        </is>
      </c>
      <c r="B8" s="7" t="n">
        <v>0.14</v>
      </c>
    </row>
    <row r="9">
      <c r="A9" s="6" t="inlineStr">
        <is>
          <t>Porcentaje financiado con préstamo</t>
        </is>
      </c>
      <c r="B9" s="7" t="n">
        <v>0.4</v>
      </c>
    </row>
    <row r="10">
      <c r="A10" s="6" t="inlineStr">
        <is>
          <t>Inflación anual</t>
        </is>
      </c>
      <c r="B10" s="7" t="n">
        <v>0.045</v>
      </c>
    </row>
    <row r="11">
      <c r="A11" s="6" t="inlineStr">
        <is>
          <t>Tasa de descuento anual (rendimiento mínimo)</t>
        </is>
      </c>
      <c r="B11" s="7" t="n">
        <v>0.15</v>
      </c>
    </row>
    <row r="12">
      <c r="A12" s="6" t="inlineStr">
        <is>
          <t>Costo de leche cruda (Lps/litro)</t>
        </is>
      </c>
      <c r="B12" s="8" t="n">
        <v>13</v>
      </c>
    </row>
    <row r="13">
      <c r="A13" s="6" t="inlineStr">
        <is>
          <t>Merma de proceso</t>
        </is>
      </c>
      <c r="B13" s="7" t="n">
        <v>0.03</v>
      </c>
    </row>
    <row r="14">
      <c r="A14" s="6" t="inlineStr">
        <is>
          <t>Costo de empaque (Lps/litro)</t>
        </is>
      </c>
      <c r="B14" s="9">
        <f>26000/30000</f>
        <v/>
      </c>
    </row>
    <row r="15">
      <c r="A15" s="6" t="inlineStr">
        <is>
          <t>Costo de combustible de reparto (Lps/litro)</t>
        </is>
      </c>
      <c r="B15" s="9">
        <f>26000/30000</f>
        <v/>
      </c>
    </row>
    <row r="16">
      <c r="A16" s="6" t="inlineStr">
        <is>
          <t>Planilla mensual (6 empleados)</t>
        </is>
      </c>
      <c r="B16" s="8" t="n">
        <v>92600</v>
      </c>
    </row>
    <row r="17">
      <c r="A17" s="6" t="inlineStr">
        <is>
          <t>Meses de salario al año (con aguinaldo y catorceavo)</t>
        </is>
      </c>
      <c r="B17" s="10" t="n">
        <v>14</v>
      </c>
    </row>
    <row r="18">
      <c r="A18" s="6" t="inlineStr">
        <is>
          <t>Cargas patronales (IHSS, RAP, INFOP)</t>
        </is>
      </c>
      <c r="B18" s="7" t="n">
        <v>0.12</v>
      </c>
    </row>
    <row r="19">
      <c r="A19" s="6" t="inlineStr">
        <is>
          <t>Meses de capital de trabajo</t>
        </is>
      </c>
      <c r="B19" s="10" t="n">
        <v>2</v>
      </c>
    </row>
    <row r="21">
      <c r="A21" s="3" t="inlineStr">
        <is>
          <t>1. PLAN DE INVERSIONES Y FINANCIAMIENTO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3" t="inlineStr">
        <is>
          <t>Activo</t>
        </is>
      </c>
      <c r="B22" s="5" t="inlineStr">
        <is>
          <t>Valor</t>
        </is>
      </c>
      <c r="C22" s="5" t="inlineStr">
        <is>
          <t>Recursos propios</t>
        </is>
      </c>
      <c r="D22" s="5" t="inlineStr">
        <is>
          <t>Préstamo</t>
        </is>
      </c>
      <c r="E22" s="5" t="inlineStr">
        <is>
          <t>Vida (años)</t>
        </is>
      </c>
      <c r="F22" s="5" t="inlineStr">
        <is>
          <t>Depreciable</t>
        </is>
      </c>
      <c r="G22" s="4" t="n"/>
      <c r="H22" s="4" t="n"/>
      <c r="I22" s="4" t="n"/>
      <c r="J22" s="4" t="n"/>
      <c r="K22" s="4" t="n"/>
      <c r="L22" s="4" t="n"/>
    </row>
    <row r="23">
      <c r="A23" s="6" t="inlineStr">
        <is>
          <t>Tanques de almacenamiento</t>
        </is>
      </c>
      <c r="B23" s="11" t="n">
        <v>360000</v>
      </c>
      <c r="C23" s="11">
        <f>B23-D23</f>
        <v/>
      </c>
      <c r="D23" s="11">
        <f>B23*$B$9</f>
        <v/>
      </c>
      <c r="E23" s="12" t="n">
        <v>10</v>
      </c>
      <c r="F23" s="12" t="inlineStr">
        <is>
          <t>Sí</t>
        </is>
      </c>
      <c r="G23" s="13" t="n"/>
      <c r="H23" s="13" t="n"/>
      <c r="I23" s="13" t="n"/>
      <c r="J23" s="13" t="n"/>
      <c r="K23" s="13" t="n"/>
      <c r="L23" s="13" t="n"/>
    </row>
    <row r="24">
      <c r="A24" s="6" t="inlineStr">
        <is>
          <t>Pasteurizador HTST</t>
        </is>
      </c>
      <c r="B24" s="11" t="n">
        <v>150000</v>
      </c>
      <c r="C24" s="11">
        <f>B24-D24</f>
        <v/>
      </c>
      <c r="D24" s="11">
        <f>B24*$B$9</f>
        <v/>
      </c>
      <c r="E24" s="12" t="n">
        <v>10</v>
      </c>
      <c r="F24" s="12" t="inlineStr">
        <is>
          <t>Sí</t>
        </is>
      </c>
      <c r="G24" s="13" t="n"/>
      <c r="H24" s="13" t="n"/>
      <c r="I24" s="13" t="n"/>
      <c r="J24" s="13" t="n"/>
      <c r="K24" s="13" t="n"/>
      <c r="L24" s="13" t="n"/>
    </row>
    <row r="25">
      <c r="A25" s="6" t="inlineStr">
        <is>
          <t>Envasadora automática</t>
        </is>
      </c>
      <c r="B25" s="11" t="n">
        <v>260000</v>
      </c>
      <c r="C25" s="11">
        <f>B25-D25</f>
        <v/>
      </c>
      <c r="D25" s="11">
        <f>B25*$B$9</f>
        <v/>
      </c>
      <c r="E25" s="12" t="n">
        <v>10</v>
      </c>
      <c r="F25" s="12" t="inlineStr">
        <is>
          <t>Sí</t>
        </is>
      </c>
      <c r="G25" s="13" t="n"/>
      <c r="H25" s="13" t="n"/>
      <c r="I25" s="13" t="n"/>
      <c r="J25" s="13" t="n"/>
      <c r="K25" s="13" t="n"/>
      <c r="L25" s="13" t="n"/>
    </row>
    <row r="26">
      <c r="A26" s="6" t="inlineStr">
        <is>
          <t>Sistema de enfriamiento</t>
        </is>
      </c>
      <c r="B26" s="11" t="n">
        <v>125000</v>
      </c>
      <c r="C26" s="11">
        <f>B26-D26</f>
        <v/>
      </c>
      <c r="D26" s="11">
        <f>B26*$B$9</f>
        <v/>
      </c>
      <c r="E26" s="12" t="n">
        <v>10</v>
      </c>
      <c r="F26" s="12" t="inlineStr">
        <is>
          <t>Sí</t>
        </is>
      </c>
      <c r="G26" s="13" t="n"/>
      <c r="H26" s="13" t="n"/>
      <c r="I26" s="13" t="n"/>
      <c r="J26" s="13" t="n"/>
      <c r="K26" s="13" t="n"/>
      <c r="L26" s="13" t="n"/>
    </row>
    <row r="27">
      <c r="A27" s="6" t="inlineStr">
        <is>
          <t>Camión de distribución</t>
        </is>
      </c>
      <c r="B27" s="11" t="n">
        <v>500000</v>
      </c>
      <c r="C27" s="11">
        <f>B27-D27</f>
        <v/>
      </c>
      <c r="D27" s="11">
        <f>B27*$B$9</f>
        <v/>
      </c>
      <c r="E27" s="12" t="n">
        <v>5</v>
      </c>
      <c r="F27" s="12" t="inlineStr">
        <is>
          <t>Sí</t>
        </is>
      </c>
      <c r="G27" s="13" t="n"/>
      <c r="H27" s="13" t="n"/>
      <c r="I27" s="13" t="n"/>
      <c r="J27" s="13" t="n"/>
      <c r="K27" s="13" t="n"/>
      <c r="L27" s="13" t="n"/>
    </row>
    <row r="28">
      <c r="A28" s="6" t="inlineStr">
        <is>
          <t>Gastos diferidos (preoperativos + legales)</t>
        </is>
      </c>
      <c r="B28" s="11" t="n">
        <v>76000</v>
      </c>
      <c r="C28" s="11">
        <f>B28-D28</f>
        <v/>
      </c>
      <c r="D28" s="11">
        <f>B28*$B$9</f>
        <v/>
      </c>
      <c r="E28" s="12" t="n">
        <v>5</v>
      </c>
      <c r="F28" s="12" t="inlineStr">
        <is>
          <t>Amortizable</t>
        </is>
      </c>
      <c r="G28" s="13" t="n"/>
      <c r="H28" s="13" t="n"/>
      <c r="I28" s="13" t="n"/>
      <c r="J28" s="13" t="n"/>
      <c r="K28" s="13" t="n"/>
      <c r="L28" s="13" t="n"/>
    </row>
    <row r="29">
      <c r="A29" s="6" t="inlineStr">
        <is>
          <t>Capital de trabajo inicial</t>
        </is>
      </c>
      <c r="B29" s="11">
        <f>B66</f>
        <v/>
      </c>
      <c r="C29" s="11">
        <f>B29-D29</f>
        <v/>
      </c>
      <c r="D29" s="11">
        <f>B29*$B$9</f>
        <v/>
      </c>
      <c r="E29" s="12" t="inlineStr">
        <is>
          <t>-</t>
        </is>
      </c>
      <c r="F29" s="12" t="inlineStr">
        <is>
          <t>No</t>
        </is>
      </c>
      <c r="G29" s="13" t="n"/>
      <c r="H29" s="13" t="n"/>
      <c r="I29" s="13" t="n"/>
      <c r="J29" s="13" t="n"/>
      <c r="K29" s="13" t="n"/>
      <c r="L29" s="13" t="n"/>
    </row>
    <row r="30">
      <c r="A30" s="14" t="inlineStr">
        <is>
          <t>TOTAL INVERSIONES</t>
        </is>
      </c>
      <c r="B30" s="15">
        <f>SUM(B23:B29)</f>
        <v/>
      </c>
      <c r="C30" s="15">
        <f>SUM(C23:C29)</f>
        <v/>
      </c>
      <c r="D30" s="15">
        <f>SUM(D23:D29)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2">
      <c r="A32" s="3" t="inlineStr">
        <is>
          <t>2. PRODUCCIÓN Y VENTAS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3" t="inlineStr">
        <is>
          <t>Concepto</t>
        </is>
      </c>
      <c r="B33" s="5" t="inlineStr">
        <is>
          <t>Año 0</t>
        </is>
      </c>
      <c r="C33" s="5" t="inlineStr">
        <is>
          <t>Año 1</t>
        </is>
      </c>
      <c r="D33" s="5" t="inlineStr">
        <is>
          <t>Año 2</t>
        </is>
      </c>
      <c r="E33" s="5" t="inlineStr">
        <is>
          <t>Año 3</t>
        </is>
      </c>
      <c r="F33" s="5" t="inlineStr">
        <is>
          <t>Año 4</t>
        </is>
      </c>
      <c r="G33" s="5" t="inlineStr">
        <is>
          <t>Año 5</t>
        </is>
      </c>
      <c r="H33" s="5" t="inlineStr">
        <is>
          <t>Año 6</t>
        </is>
      </c>
      <c r="I33" s="5" t="inlineStr">
        <is>
          <t>Año 7</t>
        </is>
      </c>
      <c r="J33" s="5" t="inlineStr">
        <is>
          <t>Año 8</t>
        </is>
      </c>
      <c r="K33" s="5" t="inlineStr">
        <is>
          <t>Año 9</t>
        </is>
      </c>
      <c r="L33" s="5" t="inlineStr">
        <is>
          <t>Año 10</t>
        </is>
      </c>
    </row>
    <row r="34">
      <c r="A34" s="6" t="inlineStr">
        <is>
          <t>Clientes activos</t>
        </is>
      </c>
      <c r="B34" s="11" t="n">
        <v>0</v>
      </c>
      <c r="C34" s="11" t="n">
        <v>15</v>
      </c>
      <c r="D34" s="11" t="n">
        <v>20</v>
      </c>
      <c r="E34" s="11" t="n">
        <v>25</v>
      </c>
      <c r="F34" s="11" t="n">
        <v>30</v>
      </c>
      <c r="G34" s="11" t="n">
        <v>35</v>
      </c>
      <c r="H34" s="11" t="n">
        <v>40</v>
      </c>
      <c r="I34" s="11" t="n">
        <v>45</v>
      </c>
      <c r="J34" s="11" t="n">
        <v>50</v>
      </c>
      <c r="K34" s="11" t="n">
        <v>55</v>
      </c>
      <c r="L34" s="11" t="n">
        <v>60</v>
      </c>
    </row>
    <row r="35">
      <c r="A35" s="6" t="inlineStr">
        <is>
          <t>Volumen anual (litros)</t>
        </is>
      </c>
      <c r="B35" s="11" t="n">
        <v>0</v>
      </c>
      <c r="C35" s="11" t="n">
        <v>28000</v>
      </c>
      <c r="D35" s="11" t="n">
        <v>46000</v>
      </c>
      <c r="E35" s="11" t="n">
        <v>74000</v>
      </c>
      <c r="F35" s="11" t="n">
        <v>118000</v>
      </c>
      <c r="G35" s="11" t="n">
        <v>188000</v>
      </c>
      <c r="H35" s="11" t="n">
        <v>300000</v>
      </c>
      <c r="I35" s="11" t="n">
        <v>480000</v>
      </c>
      <c r="J35" s="11" t="n">
        <v>760000</v>
      </c>
      <c r="K35" s="11" t="n">
        <v>1200000</v>
      </c>
      <c r="L35" s="11" t="n">
        <v>1900000</v>
      </c>
    </row>
    <row r="36">
      <c r="A36" s="6" t="inlineStr">
        <is>
          <t>Precio de venta (Lps/litro)</t>
        </is>
      </c>
      <c r="B36" s="11" t="n">
        <v>0</v>
      </c>
      <c r="C36" s="11" t="n">
        <v>28</v>
      </c>
      <c r="D36" s="11" t="n">
        <v>29</v>
      </c>
      <c r="E36" s="11" t="n">
        <v>30</v>
      </c>
      <c r="F36" s="11" t="n">
        <v>31</v>
      </c>
      <c r="G36" s="11" t="n">
        <v>32</v>
      </c>
      <c r="H36" s="11" t="n">
        <v>33</v>
      </c>
      <c r="I36" s="11" t="n">
        <v>34</v>
      </c>
      <c r="J36" s="11" t="n">
        <v>35</v>
      </c>
      <c r="K36" s="11" t="n">
        <v>36</v>
      </c>
      <c r="L36" s="11" t="n">
        <v>37</v>
      </c>
    </row>
    <row r="37">
      <c r="A37" s="14" t="inlineStr">
        <is>
          <t>INGRESOS POR VENTAS</t>
        </is>
      </c>
      <c r="B37" s="15">
        <f>B35*B36</f>
        <v/>
      </c>
      <c r="C37" s="15">
        <f>C35*C36</f>
        <v/>
      </c>
      <c r="D37" s="15">
        <f>D35*D36</f>
        <v/>
      </c>
      <c r="E37" s="15">
        <f>E35*E36</f>
        <v/>
      </c>
      <c r="F37" s="15">
        <f>F35*F36</f>
        <v/>
      </c>
      <c r="G37" s="15">
        <f>G35*G36</f>
        <v/>
      </c>
      <c r="H37" s="15">
        <f>H35*H36</f>
        <v/>
      </c>
      <c r="I37" s="15">
        <f>I35*I36</f>
        <v/>
      </c>
      <c r="J37" s="15">
        <f>J35*J36</f>
        <v/>
      </c>
      <c r="K37" s="15">
        <f>K35*K36</f>
        <v/>
      </c>
      <c r="L37" s="15">
        <f>L35*L36</f>
        <v/>
      </c>
    </row>
    <row r="39">
      <c r="A39" s="3" t="inlineStr">
        <is>
          <t>3. COSTOS VARIABLES (según litros vendidos)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>
      <c r="A40" s="3" t="inlineStr">
        <is>
          <t>Concepto</t>
        </is>
      </c>
      <c r="B40" s="5" t="inlineStr">
        <is>
          <t>Año 0</t>
        </is>
      </c>
      <c r="C40" s="5" t="inlineStr">
        <is>
          <t>Año 1</t>
        </is>
      </c>
      <c r="D40" s="5" t="inlineStr">
        <is>
          <t>Año 2</t>
        </is>
      </c>
      <c r="E40" s="5" t="inlineStr">
        <is>
          <t>Año 3</t>
        </is>
      </c>
      <c r="F40" s="5" t="inlineStr">
        <is>
          <t>Año 4</t>
        </is>
      </c>
      <c r="G40" s="5" t="inlineStr">
        <is>
          <t>Año 5</t>
        </is>
      </c>
      <c r="H40" s="5" t="inlineStr">
        <is>
          <t>Año 6</t>
        </is>
      </c>
      <c r="I40" s="5" t="inlineStr">
        <is>
          <t>Año 7</t>
        </is>
      </c>
      <c r="J40" s="5" t="inlineStr">
        <is>
          <t>Año 8</t>
        </is>
      </c>
      <c r="K40" s="5" t="inlineStr">
        <is>
          <t>Año 9</t>
        </is>
      </c>
      <c r="L40" s="5" t="inlineStr">
        <is>
          <t>Año 10</t>
        </is>
      </c>
    </row>
    <row r="41">
      <c r="A41" s="6" t="inlineStr">
        <is>
          <t>Leche cruda (con merma)</t>
        </is>
      </c>
      <c r="B41" s="11" t="n">
        <v>0</v>
      </c>
      <c r="C41" s="11">
        <f>C35*$B$12/(1-$B$13)*(1+$B$10)^1</f>
        <v/>
      </c>
      <c r="D41" s="11">
        <f>D35*$B$12/(1-$B$13)*(1+$B$10)^2</f>
        <v/>
      </c>
      <c r="E41" s="11">
        <f>E35*$B$12/(1-$B$13)*(1+$B$10)^3</f>
        <v/>
      </c>
      <c r="F41" s="11">
        <f>F35*$B$12/(1-$B$13)*(1+$B$10)^4</f>
        <v/>
      </c>
      <c r="G41" s="11">
        <f>G35*$B$12/(1-$B$13)*(1+$B$10)^5</f>
        <v/>
      </c>
      <c r="H41" s="11">
        <f>H35*$B$12/(1-$B$13)*(1+$B$10)^6</f>
        <v/>
      </c>
      <c r="I41" s="11">
        <f>I35*$B$12/(1-$B$13)*(1+$B$10)^7</f>
        <v/>
      </c>
      <c r="J41" s="11">
        <f>J35*$B$12/(1-$B$13)*(1+$B$10)^8</f>
        <v/>
      </c>
      <c r="K41" s="11">
        <f>K35*$B$12/(1-$B$13)*(1+$B$10)^9</f>
        <v/>
      </c>
      <c r="L41" s="11">
        <f>L35*$B$12/(1-$B$13)*(1+$B$10)^10</f>
        <v/>
      </c>
    </row>
    <row r="42">
      <c r="A42" s="6" t="inlineStr">
        <is>
          <t>Empaque (bolsas)</t>
        </is>
      </c>
      <c r="B42" s="11" t="n">
        <v>0</v>
      </c>
      <c r="C42" s="11">
        <f>C35*$B$14*(1+$B$10)^1</f>
        <v/>
      </c>
      <c r="D42" s="11">
        <f>D35*$B$14*(1+$B$10)^2</f>
        <v/>
      </c>
      <c r="E42" s="11">
        <f>E35*$B$14*(1+$B$10)^3</f>
        <v/>
      </c>
      <c r="F42" s="11">
        <f>F35*$B$14*(1+$B$10)^4</f>
        <v/>
      </c>
      <c r="G42" s="11">
        <f>G35*$B$14*(1+$B$10)^5</f>
        <v/>
      </c>
      <c r="H42" s="11">
        <f>H35*$B$14*(1+$B$10)^6</f>
        <v/>
      </c>
      <c r="I42" s="11">
        <f>I35*$B$14*(1+$B$10)^7</f>
        <v/>
      </c>
      <c r="J42" s="11">
        <f>J35*$B$14*(1+$B$10)^8</f>
        <v/>
      </c>
      <c r="K42" s="11">
        <f>K35*$B$14*(1+$B$10)^9</f>
        <v/>
      </c>
      <c r="L42" s="11">
        <f>L35*$B$14*(1+$B$10)^10</f>
        <v/>
      </c>
    </row>
    <row r="43">
      <c r="A43" s="6" t="inlineStr">
        <is>
          <t>Combustible de reparto</t>
        </is>
      </c>
      <c r="B43" s="11" t="n">
        <v>0</v>
      </c>
      <c r="C43" s="11">
        <f>C35*$B$15*(1+$B$10)^1</f>
        <v/>
      </c>
      <c r="D43" s="11">
        <f>D35*$B$15*(1+$B$10)^2</f>
        <v/>
      </c>
      <c r="E43" s="11">
        <f>E35*$B$15*(1+$B$10)^3</f>
        <v/>
      </c>
      <c r="F43" s="11">
        <f>F35*$B$15*(1+$B$10)^4</f>
        <v/>
      </c>
      <c r="G43" s="11">
        <f>G35*$B$15*(1+$B$10)^5</f>
        <v/>
      </c>
      <c r="H43" s="11">
        <f>H35*$B$15*(1+$B$10)^6</f>
        <v/>
      </c>
      <c r="I43" s="11">
        <f>I35*$B$15*(1+$B$10)^7</f>
        <v/>
      </c>
      <c r="J43" s="11">
        <f>J35*$B$15*(1+$B$10)^8</f>
        <v/>
      </c>
      <c r="K43" s="11">
        <f>K35*$B$15*(1+$B$10)^9</f>
        <v/>
      </c>
      <c r="L43" s="11">
        <f>L35*$B$15*(1+$B$10)^10</f>
        <v/>
      </c>
    </row>
    <row r="44">
      <c r="A44" s="14" t="inlineStr">
        <is>
          <t>TOTAL COSTOS VARIABLES</t>
        </is>
      </c>
      <c r="B44" s="15">
        <f>SUM(B41:B43)</f>
        <v/>
      </c>
      <c r="C44" s="15">
        <f>SUM(C41:C43)</f>
        <v/>
      </c>
      <c r="D44" s="15">
        <f>SUM(D41:D43)</f>
        <v/>
      </c>
      <c r="E44" s="15">
        <f>SUM(E41:E43)</f>
        <v/>
      </c>
      <c r="F44" s="15">
        <f>SUM(F41:F43)</f>
        <v/>
      </c>
      <c r="G44" s="15">
        <f>SUM(G41:G43)</f>
        <v/>
      </c>
      <c r="H44" s="15">
        <f>SUM(H41:H43)</f>
        <v/>
      </c>
      <c r="I44" s="15">
        <f>SUM(I41:I43)</f>
        <v/>
      </c>
      <c r="J44" s="15">
        <f>SUM(J41:J43)</f>
        <v/>
      </c>
      <c r="K44" s="15">
        <f>SUM(K41:K43)</f>
        <v/>
      </c>
      <c r="L44" s="15">
        <f>SUM(L41:L43)</f>
        <v/>
      </c>
    </row>
    <row r="46">
      <c r="A46" s="3" t="inlineStr">
        <is>
          <t>4. COSTOS FIJOS (anuales)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s="3" t="inlineStr">
        <is>
          <t>Concepto</t>
        </is>
      </c>
      <c r="B47" s="5" t="inlineStr">
        <is>
          <t>Año 0</t>
        </is>
      </c>
      <c r="C47" s="5" t="inlineStr">
        <is>
          <t>Año 1</t>
        </is>
      </c>
      <c r="D47" s="5" t="inlineStr">
        <is>
          <t>Año 2</t>
        </is>
      </c>
      <c r="E47" s="5" t="inlineStr">
        <is>
          <t>Año 3</t>
        </is>
      </c>
      <c r="F47" s="5" t="inlineStr">
        <is>
          <t>Año 4</t>
        </is>
      </c>
      <c r="G47" s="5" t="inlineStr">
        <is>
          <t>Año 5</t>
        </is>
      </c>
      <c r="H47" s="5" t="inlineStr">
        <is>
          <t>Año 6</t>
        </is>
      </c>
      <c r="I47" s="5" t="inlineStr">
        <is>
          <t>Año 7</t>
        </is>
      </c>
      <c r="J47" s="5" t="inlineStr">
        <is>
          <t>Año 8</t>
        </is>
      </c>
      <c r="K47" s="5" t="inlineStr">
        <is>
          <t>Año 9</t>
        </is>
      </c>
      <c r="L47" s="5" t="inlineStr">
        <is>
          <t>Año 10</t>
        </is>
      </c>
    </row>
    <row r="48">
      <c r="A48" s="6" t="inlineStr">
        <is>
          <t>Costos fijos operativos (energía, agua, laboratorio, limpieza, mantenimiento, etc.)</t>
        </is>
      </c>
      <c r="B48" s="11" t="n">
        <v>0</v>
      </c>
      <c r="C48" s="11">
        <f>28000*12*(1+$B$10)^1</f>
        <v/>
      </c>
      <c r="D48" s="11">
        <f>28000*12*(1+$B$10)^2</f>
        <v/>
      </c>
      <c r="E48" s="11">
        <f>28000*12*(1+$B$10)^3</f>
        <v/>
      </c>
      <c r="F48" s="11">
        <f>28000*12*(1+$B$10)^4</f>
        <v/>
      </c>
      <c r="G48" s="11">
        <f>28000*12*(1+$B$10)^5</f>
        <v/>
      </c>
      <c r="H48" s="11">
        <f>28000*12*(1+$B$10)^6</f>
        <v/>
      </c>
      <c r="I48" s="11">
        <f>28000*12*(1+$B$10)^7</f>
        <v/>
      </c>
      <c r="J48" s="11">
        <f>28000*12*(1+$B$10)^8</f>
        <v/>
      </c>
      <c r="K48" s="11">
        <f>28000*12*(1+$B$10)^9</f>
        <v/>
      </c>
      <c r="L48" s="11">
        <f>28000*12*(1+$B$10)^10</f>
        <v/>
      </c>
    </row>
    <row r="49">
      <c r="A49" s="6" t="inlineStr">
        <is>
          <t>Gastos administrativos</t>
        </is>
      </c>
      <c r="B49" s="11" t="n">
        <v>0</v>
      </c>
      <c r="C49" s="11">
        <f>21600*12*(1+$B$10)^1</f>
        <v/>
      </c>
      <c r="D49" s="11">
        <f>21600*12*(1+$B$10)^2</f>
        <v/>
      </c>
      <c r="E49" s="11">
        <f>21600*12*(1+$B$10)^3</f>
        <v/>
      </c>
      <c r="F49" s="11">
        <f>21600*12*(1+$B$10)^4</f>
        <v/>
      </c>
      <c r="G49" s="11">
        <f>21600*12*(1+$B$10)^5</f>
        <v/>
      </c>
      <c r="H49" s="11">
        <f>21600*12*(1+$B$10)^6</f>
        <v/>
      </c>
      <c r="I49" s="11">
        <f>21600*12*(1+$B$10)^7</f>
        <v/>
      </c>
      <c r="J49" s="11">
        <f>21600*12*(1+$B$10)^8</f>
        <v/>
      </c>
      <c r="K49" s="11">
        <f>21600*12*(1+$B$10)^9</f>
        <v/>
      </c>
      <c r="L49" s="11">
        <f>21600*12*(1+$B$10)^10</f>
        <v/>
      </c>
    </row>
    <row r="50">
      <c r="A50" s="6" t="inlineStr">
        <is>
          <t>Personal (sueldos + aguinaldo + catorceavo + cargas patronales)</t>
        </is>
      </c>
      <c r="B50" s="11" t="n">
        <v>0</v>
      </c>
      <c r="C50" s="11">
        <f>($B$16*$B$17+$B$16*12*$B$18)*(1+$B$10)^1</f>
        <v/>
      </c>
      <c r="D50" s="11">
        <f>($B$16*$B$17+$B$16*12*$B$18)*(1+$B$10)^2</f>
        <v/>
      </c>
      <c r="E50" s="11">
        <f>($B$16*$B$17+$B$16*12*$B$18)*(1+$B$10)^3</f>
        <v/>
      </c>
      <c r="F50" s="11">
        <f>($B$16*$B$17+$B$16*12*$B$18)*(1+$B$10)^4</f>
        <v/>
      </c>
      <c r="G50" s="11">
        <f>($B$16*$B$17+$B$16*12*$B$18)*(1+$B$10)^5</f>
        <v/>
      </c>
      <c r="H50" s="11">
        <f>($B$16*$B$17+$B$16*12*$B$18)*(1+$B$10)^6</f>
        <v/>
      </c>
      <c r="I50" s="11">
        <f>($B$16*$B$17+$B$16*12*$B$18)*(1+$B$10)^7</f>
        <v/>
      </c>
      <c r="J50" s="11">
        <f>($B$16*$B$17+$B$16*12*$B$18)*(1+$B$10)^8</f>
        <v/>
      </c>
      <c r="K50" s="11">
        <f>($B$16*$B$17+$B$16*12*$B$18)*(1+$B$10)^9</f>
        <v/>
      </c>
      <c r="L50" s="11">
        <f>($B$16*$B$17+$B$16*12*$B$18)*(1+$B$10)^10</f>
        <v/>
      </c>
    </row>
    <row r="51">
      <c r="A51" s="14" t="inlineStr">
        <is>
          <t>TOTAL COSTOS FIJOS</t>
        </is>
      </c>
      <c r="B51" s="15">
        <f>SUM(B48:B50)</f>
        <v/>
      </c>
      <c r="C51" s="15">
        <f>SUM(C48:C50)</f>
        <v/>
      </c>
      <c r="D51" s="15">
        <f>SUM(D48:D50)</f>
        <v/>
      </c>
      <c r="E51" s="15">
        <f>SUM(E48:E50)</f>
        <v/>
      </c>
      <c r="F51" s="15">
        <f>SUM(F48:F50)</f>
        <v/>
      </c>
      <c r="G51" s="15">
        <f>SUM(G48:G50)</f>
        <v/>
      </c>
      <c r="H51" s="15">
        <f>SUM(H48:H50)</f>
        <v/>
      </c>
      <c r="I51" s="15">
        <f>SUM(I48:I50)</f>
        <v/>
      </c>
      <c r="J51" s="15">
        <f>SUM(J48:J50)</f>
        <v/>
      </c>
      <c r="K51" s="15">
        <f>SUM(K48:K50)</f>
        <v/>
      </c>
      <c r="L51" s="15">
        <f>SUM(L48:L50)</f>
        <v/>
      </c>
    </row>
    <row r="53">
      <c r="A53" s="3" t="inlineStr">
        <is>
          <t>5. DEPRECIACIONES Y AMORTIZACIONES (método lineal)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>
      <c r="A54" s="3" t="inlineStr">
        <is>
          <t>Activo</t>
        </is>
      </c>
      <c r="B54" s="5" t="inlineStr">
        <is>
          <t>Valor</t>
        </is>
      </c>
      <c r="C54" s="5" t="inlineStr">
        <is>
          <t>Año 1</t>
        </is>
      </c>
      <c r="D54" s="5" t="inlineStr">
        <is>
          <t>Año 2</t>
        </is>
      </c>
      <c r="E54" s="5" t="inlineStr">
        <is>
          <t>Año 3</t>
        </is>
      </c>
      <c r="F54" s="5" t="inlineStr">
        <is>
          <t>Año 4</t>
        </is>
      </c>
      <c r="G54" s="5" t="inlineStr">
        <is>
          <t>Año 5</t>
        </is>
      </c>
      <c r="H54" s="5" t="inlineStr">
        <is>
          <t>Año 6</t>
        </is>
      </c>
      <c r="I54" s="5" t="inlineStr">
        <is>
          <t>Año 7</t>
        </is>
      </c>
      <c r="J54" s="5" t="inlineStr">
        <is>
          <t>Año 8</t>
        </is>
      </c>
      <c r="K54" s="5" t="inlineStr">
        <is>
          <t>Año 9</t>
        </is>
      </c>
      <c r="L54" s="5" t="inlineStr">
        <is>
          <t>Año 10</t>
        </is>
      </c>
    </row>
    <row r="55">
      <c r="A55" s="6" t="inlineStr">
        <is>
          <t>Tanques de almacenamiento (10 años)</t>
        </is>
      </c>
      <c r="B55" s="11" t="n">
        <v>360000</v>
      </c>
      <c r="C55" s="11">
        <f>$B55/10</f>
        <v/>
      </c>
      <c r="D55" s="11">
        <f>$B55/10</f>
        <v/>
      </c>
      <c r="E55" s="11">
        <f>$B55/10</f>
        <v/>
      </c>
      <c r="F55" s="11">
        <f>$B55/10</f>
        <v/>
      </c>
      <c r="G55" s="11">
        <f>$B55/10</f>
        <v/>
      </c>
      <c r="H55" s="11">
        <f>$B55/10</f>
        <v/>
      </c>
      <c r="I55" s="11">
        <f>$B55/10</f>
        <v/>
      </c>
      <c r="J55" s="11">
        <f>$B55/10</f>
        <v/>
      </c>
      <c r="K55" s="11">
        <f>$B55/10</f>
        <v/>
      </c>
      <c r="L55" s="11">
        <f>$B55/10</f>
        <v/>
      </c>
    </row>
    <row r="56">
      <c r="A56" s="6" t="inlineStr">
        <is>
          <t>Pasteurizador HTST (10 años)</t>
        </is>
      </c>
      <c r="B56" s="11" t="n">
        <v>150000</v>
      </c>
      <c r="C56" s="11">
        <f>$B56/10</f>
        <v/>
      </c>
      <c r="D56" s="11">
        <f>$B56/10</f>
        <v/>
      </c>
      <c r="E56" s="11">
        <f>$B56/10</f>
        <v/>
      </c>
      <c r="F56" s="11">
        <f>$B56/10</f>
        <v/>
      </c>
      <c r="G56" s="11">
        <f>$B56/10</f>
        <v/>
      </c>
      <c r="H56" s="11">
        <f>$B56/10</f>
        <v/>
      </c>
      <c r="I56" s="11">
        <f>$B56/10</f>
        <v/>
      </c>
      <c r="J56" s="11">
        <f>$B56/10</f>
        <v/>
      </c>
      <c r="K56" s="11">
        <f>$B56/10</f>
        <v/>
      </c>
      <c r="L56" s="11">
        <f>$B56/10</f>
        <v/>
      </c>
    </row>
    <row r="57">
      <c r="A57" s="6" t="inlineStr">
        <is>
          <t>Envasadora automática (10 años)</t>
        </is>
      </c>
      <c r="B57" s="11" t="n">
        <v>260000</v>
      </c>
      <c r="C57" s="11">
        <f>$B57/10</f>
        <v/>
      </c>
      <c r="D57" s="11">
        <f>$B57/10</f>
        <v/>
      </c>
      <c r="E57" s="11">
        <f>$B57/10</f>
        <v/>
      </c>
      <c r="F57" s="11">
        <f>$B57/10</f>
        <v/>
      </c>
      <c r="G57" s="11">
        <f>$B57/10</f>
        <v/>
      </c>
      <c r="H57" s="11">
        <f>$B57/10</f>
        <v/>
      </c>
      <c r="I57" s="11">
        <f>$B57/10</f>
        <v/>
      </c>
      <c r="J57" s="11">
        <f>$B57/10</f>
        <v/>
      </c>
      <c r="K57" s="11">
        <f>$B57/10</f>
        <v/>
      </c>
      <c r="L57" s="11">
        <f>$B57/10</f>
        <v/>
      </c>
    </row>
    <row r="58">
      <c r="A58" s="6" t="inlineStr">
        <is>
          <t>Sistema de enfriamiento (10 años)</t>
        </is>
      </c>
      <c r="B58" s="11" t="n">
        <v>125000</v>
      </c>
      <c r="C58" s="11">
        <f>$B58/10</f>
        <v/>
      </c>
      <c r="D58" s="11">
        <f>$B58/10</f>
        <v/>
      </c>
      <c r="E58" s="11">
        <f>$B58/10</f>
        <v/>
      </c>
      <c r="F58" s="11">
        <f>$B58/10</f>
        <v/>
      </c>
      <c r="G58" s="11">
        <f>$B58/10</f>
        <v/>
      </c>
      <c r="H58" s="11">
        <f>$B58/10</f>
        <v/>
      </c>
      <c r="I58" s="11">
        <f>$B58/10</f>
        <v/>
      </c>
      <c r="J58" s="11">
        <f>$B58/10</f>
        <v/>
      </c>
      <c r="K58" s="11">
        <f>$B58/10</f>
        <v/>
      </c>
      <c r="L58" s="11">
        <f>$B58/10</f>
        <v/>
      </c>
    </row>
    <row r="59">
      <c r="A59" s="6" t="inlineStr">
        <is>
          <t>Camión de distribución (5 años)</t>
        </is>
      </c>
      <c r="B59" s="11" t="n">
        <v>500000</v>
      </c>
      <c r="C59" s="11">
        <f>$B59/5</f>
        <v/>
      </c>
      <c r="D59" s="11">
        <f>$B59/5</f>
        <v/>
      </c>
      <c r="E59" s="11">
        <f>$B59/5</f>
        <v/>
      </c>
      <c r="F59" s="11">
        <f>$B59/5</f>
        <v/>
      </c>
      <c r="G59" s="11">
        <f>$B59/5</f>
        <v/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0</v>
      </c>
    </row>
    <row r="60">
      <c r="A60" s="6" t="inlineStr">
        <is>
          <t>Amortización de diferidos (5 años)</t>
        </is>
      </c>
      <c r="B60" s="11" t="n">
        <v>76000</v>
      </c>
      <c r="C60" s="11">
        <f>$B60/5</f>
        <v/>
      </c>
      <c r="D60" s="11">
        <f>$B60/5</f>
        <v/>
      </c>
      <c r="E60" s="11">
        <f>$B60/5</f>
        <v/>
      </c>
      <c r="F60" s="11">
        <f>$B60/5</f>
        <v/>
      </c>
      <c r="G60" s="11">
        <f>$B60/5</f>
        <v/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</row>
    <row r="61">
      <c r="A61" s="14" t="inlineStr">
        <is>
          <t>TOTAL DEPRECIACIÓN Y AMORTIZACIÓN</t>
        </is>
      </c>
      <c r="B61" s="17" t="inlineStr"/>
      <c r="C61" s="15">
        <f>SUM(C55:C60)</f>
        <v/>
      </c>
      <c r="D61" s="15">
        <f>SUM(D55:D60)</f>
        <v/>
      </c>
      <c r="E61" s="15">
        <f>SUM(E55:E60)</f>
        <v/>
      </c>
      <c r="F61" s="15">
        <f>SUM(F55:F60)</f>
        <v/>
      </c>
      <c r="G61" s="15">
        <f>SUM(G55:G60)</f>
        <v/>
      </c>
      <c r="H61" s="15">
        <f>SUM(H55:H60)</f>
        <v/>
      </c>
      <c r="I61" s="15">
        <f>SUM(I55:I60)</f>
        <v/>
      </c>
      <c r="J61" s="15">
        <f>SUM(J55:J60)</f>
        <v/>
      </c>
      <c r="K61" s="15">
        <f>SUM(K55:K60)</f>
        <v/>
      </c>
      <c r="L61" s="15">
        <f>SUM(L55:L60)</f>
        <v/>
      </c>
    </row>
    <row r="63">
      <c r="A63" s="3" t="inlineStr">
        <is>
          <t>6. VALOR DE DESECHO Y CAPITAL DE TRABAJO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>
      <c r="A64" s="3" t="inlineStr">
        <is>
          <t>Concepto</t>
        </is>
      </c>
      <c r="B64" s="5" t="inlineStr">
        <is>
          <t>Año 0</t>
        </is>
      </c>
      <c r="C64" s="5" t="inlineStr">
        <is>
          <t>Año 1</t>
        </is>
      </c>
      <c r="D64" s="5" t="inlineStr">
        <is>
          <t>Año 2</t>
        </is>
      </c>
      <c r="E64" s="5" t="inlineStr">
        <is>
          <t>Año 3</t>
        </is>
      </c>
      <c r="F64" s="5" t="inlineStr">
        <is>
          <t>Año 4</t>
        </is>
      </c>
      <c r="G64" s="5" t="inlineStr">
        <is>
          <t>Año 5</t>
        </is>
      </c>
      <c r="H64" s="5" t="inlineStr">
        <is>
          <t>Año 6</t>
        </is>
      </c>
      <c r="I64" s="5" t="inlineStr">
        <is>
          <t>Año 7</t>
        </is>
      </c>
      <c r="J64" s="5" t="inlineStr">
        <is>
          <t>Año 8</t>
        </is>
      </c>
      <c r="K64" s="5" t="inlineStr">
        <is>
          <t>Año 9</t>
        </is>
      </c>
      <c r="L64" s="5" t="inlineStr">
        <is>
          <t>Año 10</t>
        </is>
      </c>
    </row>
    <row r="65">
      <c r="A65" s="6" t="inlineStr">
        <is>
          <t>Valor de desecho de activos (Año 10)</t>
        </is>
      </c>
      <c r="B65" s="11" t="n">
        <v>0</v>
      </c>
      <c r="C65" s="11" t="n">
        <v>0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</row>
    <row r="66">
      <c r="A66" s="6" t="inlineStr">
        <is>
          <t>Capital de trabajo requerido (saldo)</t>
        </is>
      </c>
      <c r="B66" s="11">
        <f>(C44+C51)*$B$19/12</f>
        <v/>
      </c>
      <c r="C66" s="11">
        <f>(C44+C51)*$B$19/12</f>
        <v/>
      </c>
      <c r="D66" s="11">
        <f>(D44+D51)*$B$19/12</f>
        <v/>
      </c>
      <c r="E66" s="11">
        <f>(E44+E51)*$B$19/12</f>
        <v/>
      </c>
      <c r="F66" s="11">
        <f>(F44+F51)*$B$19/12</f>
        <v/>
      </c>
      <c r="G66" s="11">
        <f>(G44+G51)*$B$19/12</f>
        <v/>
      </c>
      <c r="H66" s="11">
        <f>(H44+H51)*$B$19/12</f>
        <v/>
      </c>
      <c r="I66" s="11">
        <f>(I44+I51)*$B$19/12</f>
        <v/>
      </c>
      <c r="J66" s="11">
        <f>(J44+J51)*$B$19/12</f>
        <v/>
      </c>
      <c r="K66" s="11">
        <f>(K44+K51)*$B$19/12</f>
        <v/>
      </c>
      <c r="L66" s="11">
        <f>(L44+L51)*$B$19/12</f>
        <v/>
      </c>
    </row>
    <row r="67">
      <c r="A67" s="6" t="inlineStr">
        <is>
          <t>Inversión en capital de trabajo (incremento)</t>
        </is>
      </c>
      <c r="B67" s="11">
        <f>B66</f>
        <v/>
      </c>
      <c r="C67" s="11">
        <f>C66-B66</f>
        <v/>
      </c>
      <c r="D67" s="11">
        <f>D66-C66</f>
        <v/>
      </c>
      <c r="E67" s="11">
        <f>E66-D66</f>
        <v/>
      </c>
      <c r="F67" s="11">
        <f>F66-E66</f>
        <v/>
      </c>
      <c r="G67" s="11">
        <f>G66-F66</f>
        <v/>
      </c>
      <c r="H67" s="11">
        <f>H66-G66</f>
        <v/>
      </c>
      <c r="I67" s="11">
        <f>I66-H66</f>
        <v/>
      </c>
      <c r="J67" s="11">
        <f>J66-I66</f>
        <v/>
      </c>
      <c r="K67" s="11">
        <f>K66-J66</f>
        <v/>
      </c>
      <c r="L67" s="11">
        <f>L66-K66</f>
        <v/>
      </c>
    </row>
    <row r="68">
      <c r="A68" s="6" t="inlineStr">
        <is>
          <t>Recuperación capital de trabajo (Año 10)</t>
        </is>
      </c>
      <c r="B68" s="11" t="n">
        <v>0</v>
      </c>
      <c r="C68" s="11" t="n">
        <v>0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>
        <f>L66</f>
        <v/>
      </c>
    </row>
    <row r="70">
      <c r="A70" s="3" t="inlineStr">
        <is>
          <t>7. TABLA DE AMORTIZACIÓN DEL PRÉSTAMO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>
      <c r="A71" s="3" t="inlineStr">
        <is>
          <t>Concepto</t>
        </is>
      </c>
      <c r="B71" s="5" t="inlineStr">
        <is>
          <t>Año 0</t>
        </is>
      </c>
      <c r="C71" s="5" t="inlineStr">
        <is>
          <t>Año 1</t>
        </is>
      </c>
      <c r="D71" s="5" t="inlineStr">
        <is>
          <t>Año 2</t>
        </is>
      </c>
      <c r="E71" s="5" t="inlineStr">
        <is>
          <t>Año 3</t>
        </is>
      </c>
      <c r="F71" s="5" t="inlineStr">
        <is>
          <t>Año 4</t>
        </is>
      </c>
      <c r="G71" s="5" t="inlineStr">
        <is>
          <t>Año 5</t>
        </is>
      </c>
      <c r="H71" s="5" t="inlineStr">
        <is>
          <t>Año 6</t>
        </is>
      </c>
      <c r="I71" s="5" t="inlineStr">
        <is>
          <t>Año 7</t>
        </is>
      </c>
      <c r="J71" s="5" t="inlineStr">
        <is>
          <t>Año 8</t>
        </is>
      </c>
      <c r="K71" s="5" t="inlineStr">
        <is>
          <t>Año 9</t>
        </is>
      </c>
      <c r="L71" s="5" t="inlineStr">
        <is>
          <t>Año 10</t>
        </is>
      </c>
    </row>
    <row r="72">
      <c r="A72" s="6" t="inlineStr">
        <is>
          <t>Saldo inicial</t>
        </is>
      </c>
      <c r="B72" s="11" t="n">
        <v>0</v>
      </c>
      <c r="C72" s="11">
        <f>D30</f>
        <v/>
      </c>
      <c r="D72" s="11">
        <f>C76</f>
        <v/>
      </c>
      <c r="E72" s="11">
        <f>D76</f>
        <v/>
      </c>
      <c r="F72" s="11">
        <f>E76</f>
        <v/>
      </c>
      <c r="G72" s="11">
        <f>F76</f>
        <v/>
      </c>
      <c r="H72" s="11">
        <f>G76</f>
        <v/>
      </c>
      <c r="I72" s="11">
        <f>H76</f>
        <v/>
      </c>
      <c r="J72" s="11">
        <f>I76</f>
        <v/>
      </c>
      <c r="K72" s="11">
        <f>J76</f>
        <v/>
      </c>
      <c r="L72" s="11">
        <f>K76</f>
        <v/>
      </c>
    </row>
    <row r="73">
      <c r="A73" s="6" t="inlineStr">
        <is>
          <t>Abono a capital</t>
        </is>
      </c>
      <c r="B73" s="11" t="n">
        <v>0</v>
      </c>
      <c r="C73" s="11">
        <f>MIN(C75-C74,C72)</f>
        <v/>
      </c>
      <c r="D73" s="11">
        <f>MIN(D75-D74,D72)</f>
        <v/>
      </c>
      <c r="E73" s="11">
        <f>MIN(E75-E74,E72)</f>
        <v/>
      </c>
      <c r="F73" s="11">
        <f>MIN(F75-F74,F72)</f>
        <v/>
      </c>
      <c r="G73" s="11">
        <f>MIN(G75-G74,G72)</f>
        <v/>
      </c>
      <c r="H73" s="11">
        <f>MIN(H75-H74,H72)</f>
        <v/>
      </c>
      <c r="I73" s="11">
        <f>MIN(I75-I74,I72)</f>
        <v/>
      </c>
      <c r="J73" s="11">
        <f>MIN(J75-J74,J72)</f>
        <v/>
      </c>
      <c r="K73" s="11">
        <f>MIN(K75-K74,K72)</f>
        <v/>
      </c>
      <c r="L73" s="11">
        <f>MIN(L75-L74,L72)</f>
        <v/>
      </c>
    </row>
    <row r="74">
      <c r="A74" s="6" t="inlineStr">
        <is>
          <t>Intereses</t>
        </is>
      </c>
      <c r="B74" s="11" t="n">
        <v>0</v>
      </c>
      <c r="C74" s="11">
        <f>C72*$B$8</f>
        <v/>
      </c>
      <c r="D74" s="11">
        <f>D72*$B$8</f>
        <v/>
      </c>
      <c r="E74" s="11">
        <f>E72*$B$8</f>
        <v/>
      </c>
      <c r="F74" s="11">
        <f>F72*$B$8</f>
        <v/>
      </c>
      <c r="G74" s="11">
        <f>G72*$B$8</f>
        <v/>
      </c>
      <c r="H74" s="11">
        <f>H72*$B$8</f>
        <v/>
      </c>
      <c r="I74" s="11">
        <f>I72*$B$8</f>
        <v/>
      </c>
      <c r="J74" s="11">
        <f>J72*$B$8</f>
        <v/>
      </c>
      <c r="K74" s="11">
        <f>K72*$B$8</f>
        <v/>
      </c>
      <c r="L74" s="11">
        <f>L72*$B$8</f>
        <v/>
      </c>
    </row>
    <row r="75">
      <c r="A75" s="6" t="inlineStr">
        <is>
          <t>Cuota total</t>
        </is>
      </c>
      <c r="B75" s="11" t="n">
        <v>0</v>
      </c>
      <c r="C75" s="11">
        <f>IF(C72&gt;0,D30*$B$8/(1-(1+$B$8)^-5),0)</f>
        <v/>
      </c>
      <c r="D75" s="11">
        <f>IF(D72&gt;0,D30*$B$8/(1-(1+$B$8)^-5),0)</f>
        <v/>
      </c>
      <c r="E75" s="11">
        <f>IF(E72&gt;0,D30*$B$8/(1-(1+$B$8)^-5),0)</f>
        <v/>
      </c>
      <c r="F75" s="11">
        <f>IF(F72&gt;0,D30*$B$8/(1-(1+$B$8)^-5),0)</f>
        <v/>
      </c>
      <c r="G75" s="11">
        <f>IF(G72&gt;0,D30*$B$8/(1-(1+$B$8)^-5),0)</f>
        <v/>
      </c>
      <c r="H75" s="11">
        <f>IF(H72&gt;0,D30*$B$8/(1-(1+$B$8)^-5),0)</f>
        <v/>
      </c>
      <c r="I75" s="11">
        <f>IF(I72&gt;0,D30*$B$8/(1-(1+$B$8)^-5),0)</f>
        <v/>
      </c>
      <c r="J75" s="11">
        <f>IF(J72&gt;0,D30*$B$8/(1-(1+$B$8)^-5),0)</f>
        <v/>
      </c>
      <c r="K75" s="11">
        <f>IF(K72&gt;0,D30*$B$8/(1-(1+$B$8)^-5),0)</f>
        <v/>
      </c>
      <c r="L75" s="11">
        <f>IF(L72&gt;0,D30*$B$8/(1-(1+$B$8)^-5),0)</f>
        <v/>
      </c>
    </row>
    <row r="76">
      <c r="A76" s="6" t="inlineStr">
        <is>
          <t>Saldo final</t>
        </is>
      </c>
      <c r="B76" s="11" t="n">
        <v>0</v>
      </c>
      <c r="C76" s="11">
        <f>C72-C73</f>
        <v/>
      </c>
      <c r="D76" s="11">
        <f>D72-D73</f>
        <v/>
      </c>
      <c r="E76" s="11">
        <f>E72-E73</f>
        <v/>
      </c>
      <c r="F76" s="11">
        <f>F72-F73</f>
        <v/>
      </c>
      <c r="G76" s="11">
        <f>G72-G73</f>
        <v/>
      </c>
      <c r="H76" s="11">
        <f>H72-H73</f>
        <v/>
      </c>
      <c r="I76" s="11">
        <f>I72-I73</f>
        <v/>
      </c>
      <c r="J76" s="11">
        <f>J72-J73</f>
        <v/>
      </c>
      <c r="K76" s="11">
        <f>K72-K73</f>
        <v/>
      </c>
      <c r="L76" s="11">
        <f>L72-L73</f>
        <v/>
      </c>
    </row>
    <row r="78">
      <c r="A78" s="3" t="inlineStr">
        <is>
          <t>8. FLUJO DE CAJA DEL PROYECTO (SIN FINANCIAMIENTO)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>
      <c r="A79" s="3" t="inlineStr">
        <is>
          <t>Concepto</t>
        </is>
      </c>
      <c r="B79" s="5" t="inlineStr">
        <is>
          <t>Año 0</t>
        </is>
      </c>
      <c r="C79" s="5" t="inlineStr">
        <is>
          <t>Año 1</t>
        </is>
      </c>
      <c r="D79" s="5" t="inlineStr">
        <is>
          <t>Año 2</t>
        </is>
      </c>
      <c r="E79" s="5" t="inlineStr">
        <is>
          <t>Año 3</t>
        </is>
      </c>
      <c r="F79" s="5" t="inlineStr">
        <is>
          <t>Año 4</t>
        </is>
      </c>
      <c r="G79" s="5" t="inlineStr">
        <is>
          <t>Año 5</t>
        </is>
      </c>
      <c r="H79" s="5" t="inlineStr">
        <is>
          <t>Año 6</t>
        </is>
      </c>
      <c r="I79" s="5" t="inlineStr">
        <is>
          <t>Año 7</t>
        </is>
      </c>
      <c r="J79" s="5" t="inlineStr">
        <is>
          <t>Año 8</t>
        </is>
      </c>
      <c r="K79" s="5" t="inlineStr">
        <is>
          <t>Año 9</t>
        </is>
      </c>
      <c r="L79" s="5" t="inlineStr">
        <is>
          <t>Año 10</t>
        </is>
      </c>
    </row>
    <row r="80">
      <c r="A80" s="6" t="inlineStr">
        <is>
          <t>(+) Ingreso por ventas</t>
        </is>
      </c>
      <c r="B80" s="11">
        <f>B37</f>
        <v/>
      </c>
      <c r="C80" s="11">
        <f>C37</f>
        <v/>
      </c>
      <c r="D80" s="11">
        <f>D37</f>
        <v/>
      </c>
      <c r="E80" s="11">
        <f>E37</f>
        <v/>
      </c>
      <c r="F80" s="11">
        <f>F37</f>
        <v/>
      </c>
      <c r="G80" s="11">
        <f>G37</f>
        <v/>
      </c>
      <c r="H80" s="11">
        <f>H37</f>
        <v/>
      </c>
      <c r="I80" s="11">
        <f>I37</f>
        <v/>
      </c>
      <c r="J80" s="11">
        <f>J37</f>
        <v/>
      </c>
      <c r="K80" s="11">
        <f>K37</f>
        <v/>
      </c>
      <c r="L80" s="11">
        <f>L37</f>
        <v/>
      </c>
    </row>
    <row r="81">
      <c r="A81" s="6" t="inlineStr">
        <is>
          <t>(−) Costos variables</t>
        </is>
      </c>
      <c r="B81" s="11">
        <f>B44</f>
        <v/>
      </c>
      <c r="C81" s="11">
        <f>C44</f>
        <v/>
      </c>
      <c r="D81" s="11">
        <f>D44</f>
        <v/>
      </c>
      <c r="E81" s="11">
        <f>E44</f>
        <v/>
      </c>
      <c r="F81" s="11">
        <f>F44</f>
        <v/>
      </c>
      <c r="G81" s="11">
        <f>G44</f>
        <v/>
      </c>
      <c r="H81" s="11">
        <f>H44</f>
        <v/>
      </c>
      <c r="I81" s="11">
        <f>I44</f>
        <v/>
      </c>
      <c r="J81" s="11">
        <f>J44</f>
        <v/>
      </c>
      <c r="K81" s="11">
        <f>K44</f>
        <v/>
      </c>
      <c r="L81" s="11">
        <f>L44</f>
        <v/>
      </c>
    </row>
    <row r="82">
      <c r="A82" s="6" t="inlineStr">
        <is>
          <t>(−) Costos fijos</t>
        </is>
      </c>
      <c r="B82" s="11">
        <f>B51</f>
        <v/>
      </c>
      <c r="C82" s="11">
        <f>C51</f>
        <v/>
      </c>
      <c r="D82" s="11">
        <f>D51</f>
        <v/>
      </c>
      <c r="E82" s="11">
        <f>E51</f>
        <v/>
      </c>
      <c r="F82" s="11">
        <f>F51</f>
        <v/>
      </c>
      <c r="G82" s="11">
        <f>G51</f>
        <v/>
      </c>
      <c r="H82" s="11">
        <f>H51</f>
        <v/>
      </c>
      <c r="I82" s="11">
        <f>I51</f>
        <v/>
      </c>
      <c r="J82" s="11">
        <f>J51</f>
        <v/>
      </c>
      <c r="K82" s="11">
        <f>K51</f>
        <v/>
      </c>
      <c r="L82" s="11">
        <f>L51</f>
        <v/>
      </c>
    </row>
    <row r="83">
      <c r="A83" s="6" t="inlineStr">
        <is>
          <t>(−) Depreciación y amortización</t>
        </is>
      </c>
      <c r="B83" s="11" t="n">
        <v>0</v>
      </c>
      <c r="C83" s="11">
        <f>C61</f>
        <v/>
      </c>
      <c r="D83" s="11">
        <f>D61</f>
        <v/>
      </c>
      <c r="E83" s="11">
        <f>E61</f>
        <v/>
      </c>
      <c r="F83" s="11">
        <f>F61</f>
        <v/>
      </c>
      <c r="G83" s="11">
        <f>G61</f>
        <v/>
      </c>
      <c r="H83" s="11">
        <f>H61</f>
        <v/>
      </c>
      <c r="I83" s="11">
        <f>I61</f>
        <v/>
      </c>
      <c r="J83" s="11">
        <f>J61</f>
        <v/>
      </c>
      <c r="K83" s="11">
        <f>K61</f>
        <v/>
      </c>
      <c r="L83" s="11">
        <f>L61</f>
        <v/>
      </c>
    </row>
    <row r="84">
      <c r="A84" s="14" t="inlineStr">
        <is>
          <t>(=) Utilidad antes de impuestos</t>
        </is>
      </c>
      <c r="B84" s="15">
        <f>B80-B81-B82-B83</f>
        <v/>
      </c>
      <c r="C84" s="15">
        <f>C80-C81-C82-C83</f>
        <v/>
      </c>
      <c r="D84" s="15">
        <f>D80-D81-D82-D83</f>
        <v/>
      </c>
      <c r="E84" s="15">
        <f>E80-E81-E82-E83</f>
        <v/>
      </c>
      <c r="F84" s="15">
        <f>F80-F81-F82-F83</f>
        <v/>
      </c>
      <c r="G84" s="15">
        <f>G80-G81-G82-G83</f>
        <v/>
      </c>
      <c r="H84" s="15">
        <f>H80-H81-H82-H83</f>
        <v/>
      </c>
      <c r="I84" s="15">
        <f>I80-I81-I82-I83</f>
        <v/>
      </c>
      <c r="J84" s="15">
        <f>J80-J81-J82-J83</f>
        <v/>
      </c>
      <c r="K84" s="15">
        <f>K80-K81-K82-K83</f>
        <v/>
      </c>
      <c r="L84" s="15">
        <f>L80-L81-L82-L83</f>
        <v/>
      </c>
    </row>
    <row r="85">
      <c r="A85" s="6" t="inlineStr">
        <is>
          <t>(−) Impuesto sobre la renta</t>
        </is>
      </c>
      <c r="B85" s="11">
        <f>IF(B84&gt;0,$B$6*B84+$B$7*MAX(0,B84-1000000),0)</f>
        <v/>
      </c>
      <c r="C85" s="11">
        <f>IF(C84&gt;0,$B$6*C84+$B$7*MAX(0,C84-1000000),0)</f>
        <v/>
      </c>
      <c r="D85" s="11">
        <f>IF(D84&gt;0,$B$6*D84+$B$7*MAX(0,D84-1000000),0)</f>
        <v/>
      </c>
      <c r="E85" s="11">
        <f>IF(E84&gt;0,$B$6*E84+$B$7*MAX(0,E84-1000000),0)</f>
        <v/>
      </c>
      <c r="F85" s="11">
        <f>IF(F84&gt;0,$B$6*F84+$B$7*MAX(0,F84-1000000),0)</f>
        <v/>
      </c>
      <c r="G85" s="11">
        <f>IF(G84&gt;0,$B$6*G84+$B$7*MAX(0,G84-1000000),0)</f>
        <v/>
      </c>
      <c r="H85" s="11">
        <f>IF(H84&gt;0,$B$6*H84+$B$7*MAX(0,H84-1000000),0)</f>
        <v/>
      </c>
      <c r="I85" s="11">
        <f>IF(I84&gt;0,$B$6*I84+$B$7*MAX(0,I84-1000000),0)</f>
        <v/>
      </c>
      <c r="J85" s="11">
        <f>IF(J84&gt;0,$B$6*J84+$B$7*MAX(0,J84-1000000),0)</f>
        <v/>
      </c>
      <c r="K85" s="11">
        <f>IF(K84&gt;0,$B$6*K84+$B$7*MAX(0,K84-1000000),0)</f>
        <v/>
      </c>
      <c r="L85" s="11">
        <f>IF(L84&gt;0,$B$6*L84+$B$7*MAX(0,L84-1000000),0)</f>
        <v/>
      </c>
    </row>
    <row r="86">
      <c r="A86" s="14" t="inlineStr">
        <is>
          <t>(=) Utilidad después de impuestos</t>
        </is>
      </c>
      <c r="B86" s="15">
        <f>B84-B85</f>
        <v/>
      </c>
      <c r="C86" s="15">
        <f>C84-C85</f>
        <v/>
      </c>
      <c r="D86" s="15">
        <f>D84-D85</f>
        <v/>
      </c>
      <c r="E86" s="15">
        <f>E84-E85</f>
        <v/>
      </c>
      <c r="F86" s="15">
        <f>F84-F85</f>
        <v/>
      </c>
      <c r="G86" s="15">
        <f>G84-G85</f>
        <v/>
      </c>
      <c r="H86" s="15">
        <f>H84-H85</f>
        <v/>
      </c>
      <c r="I86" s="15">
        <f>I84-I85</f>
        <v/>
      </c>
      <c r="J86" s="15">
        <f>J84-J85</f>
        <v/>
      </c>
      <c r="K86" s="15">
        <f>K84-K85</f>
        <v/>
      </c>
      <c r="L86" s="15">
        <f>L84-L85</f>
        <v/>
      </c>
    </row>
    <row r="87">
      <c r="A87" s="6" t="inlineStr">
        <is>
          <t>(+) Depreciación y amortización</t>
        </is>
      </c>
      <c r="B87" s="11" t="n">
        <v>0</v>
      </c>
      <c r="C87" s="11">
        <f>C61</f>
        <v/>
      </c>
      <c r="D87" s="11">
        <f>D61</f>
        <v/>
      </c>
      <c r="E87" s="11">
        <f>E61</f>
        <v/>
      </c>
      <c r="F87" s="11">
        <f>F61</f>
        <v/>
      </c>
      <c r="G87" s="11">
        <f>G61</f>
        <v/>
      </c>
      <c r="H87" s="11">
        <f>H61</f>
        <v/>
      </c>
      <c r="I87" s="11">
        <f>I61</f>
        <v/>
      </c>
      <c r="J87" s="11">
        <f>J61</f>
        <v/>
      </c>
      <c r="K87" s="11">
        <f>K61</f>
        <v/>
      </c>
      <c r="L87" s="11">
        <f>L61</f>
        <v/>
      </c>
    </row>
    <row r="88">
      <c r="A88" s="6" t="inlineStr">
        <is>
          <t>(+) Valor de desecho</t>
        </is>
      </c>
      <c r="B88" s="11" t="n">
        <v>0</v>
      </c>
      <c r="C88" s="11" t="n">
        <v>0</v>
      </c>
      <c r="D88" s="11" t="n">
        <v>0</v>
      </c>
      <c r="E88" s="11" t="n">
        <v>0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>
        <f>L65</f>
        <v/>
      </c>
    </row>
    <row r="89">
      <c r="A89" s="6" t="inlineStr">
        <is>
          <t>(+) Recuperación capital de trabajo</t>
        </is>
      </c>
      <c r="B89" s="11">
        <f>B68</f>
        <v/>
      </c>
      <c r="C89" s="11">
        <f>C68</f>
        <v/>
      </c>
      <c r="D89" s="11">
        <f>D68</f>
        <v/>
      </c>
      <c r="E89" s="11">
        <f>E68</f>
        <v/>
      </c>
      <c r="F89" s="11">
        <f>F68</f>
        <v/>
      </c>
      <c r="G89" s="11">
        <f>G68</f>
        <v/>
      </c>
      <c r="H89" s="11">
        <f>H68</f>
        <v/>
      </c>
      <c r="I89" s="11">
        <f>I68</f>
        <v/>
      </c>
      <c r="J89" s="11">
        <f>J68</f>
        <v/>
      </c>
      <c r="K89" s="11">
        <f>K68</f>
        <v/>
      </c>
      <c r="L89" s="11">
        <f>L68</f>
        <v/>
      </c>
    </row>
    <row r="90">
      <c r="A90" s="6" t="inlineStr">
        <is>
          <t>(−) Inversión en activos fijos</t>
        </is>
      </c>
      <c r="B90" s="11">
        <f>SUM(B23:B28)</f>
        <v/>
      </c>
      <c r="C90" s="11" t="n">
        <v>0</v>
      </c>
      <c r="D90" s="11" t="n">
        <v>0</v>
      </c>
      <c r="E90" s="11" t="n">
        <v>0</v>
      </c>
      <c r="F90" s="11" t="n">
        <v>0</v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</row>
    <row r="91">
      <c r="A91" s="6" t="inlineStr">
        <is>
          <t>(−) Inversión en capital de trabajo</t>
        </is>
      </c>
      <c r="B91" s="11">
        <f>B67</f>
        <v/>
      </c>
      <c r="C91" s="11">
        <f>C67</f>
        <v/>
      </c>
      <c r="D91" s="11">
        <f>D67</f>
        <v/>
      </c>
      <c r="E91" s="11">
        <f>E67</f>
        <v/>
      </c>
      <c r="F91" s="11">
        <f>F67</f>
        <v/>
      </c>
      <c r="G91" s="11">
        <f>G67</f>
        <v/>
      </c>
      <c r="H91" s="11">
        <f>H67</f>
        <v/>
      </c>
      <c r="I91" s="11">
        <f>I67</f>
        <v/>
      </c>
      <c r="J91" s="11">
        <f>J67</f>
        <v/>
      </c>
      <c r="K91" s="11">
        <f>K67</f>
        <v/>
      </c>
      <c r="L91" s="11">
        <f>L67</f>
        <v/>
      </c>
    </row>
    <row r="92">
      <c r="A92" s="14" t="inlineStr">
        <is>
          <t>(=) FLUJO DE CAJA NETO</t>
        </is>
      </c>
      <c r="B92" s="15">
        <f>B86+B87+B88+B89-B90-B91</f>
        <v/>
      </c>
      <c r="C92" s="15">
        <f>C86+C87+C88+C89-C90-C91</f>
        <v/>
      </c>
      <c r="D92" s="15">
        <f>D86+D87+D88+D89-D90-D91</f>
        <v/>
      </c>
      <c r="E92" s="15">
        <f>E86+E87+E88+E89-E90-E91</f>
        <v/>
      </c>
      <c r="F92" s="15">
        <f>F86+F87+F88+F89-F90-F91</f>
        <v/>
      </c>
      <c r="G92" s="15">
        <f>G86+G87+G88+G89-G90-G91</f>
        <v/>
      </c>
      <c r="H92" s="15">
        <f>H86+H87+H88+H89-H90-H91</f>
        <v/>
      </c>
      <c r="I92" s="15">
        <f>I86+I87+I88+I89-I90-I91</f>
        <v/>
      </c>
      <c r="J92" s="15">
        <f>J86+J87+J88+J89-J90-J91</f>
        <v/>
      </c>
      <c r="K92" s="15">
        <f>K86+K87+K88+K89-K90-K91</f>
        <v/>
      </c>
      <c r="L92" s="15">
        <f>L86+L87+L88+L89-L90-L91</f>
        <v/>
      </c>
    </row>
    <row r="93">
      <c r="A93" s="18" t="inlineStr">
        <is>
          <t>Flujo de caja acumulado</t>
        </is>
      </c>
      <c r="B93" s="19">
        <f>B92</f>
        <v/>
      </c>
      <c r="C93" s="19">
        <f>B93+C92</f>
        <v/>
      </c>
      <c r="D93" s="19">
        <f>C93+D92</f>
        <v/>
      </c>
      <c r="E93" s="19">
        <f>D93+E92</f>
        <v/>
      </c>
      <c r="F93" s="19">
        <f>E93+F92</f>
        <v/>
      </c>
      <c r="G93" s="19">
        <f>F93+G92</f>
        <v/>
      </c>
      <c r="H93" s="19">
        <f>G93+H92</f>
        <v/>
      </c>
      <c r="I93" s="19">
        <f>H93+I92</f>
        <v/>
      </c>
      <c r="J93" s="19">
        <f>I93+J92</f>
        <v/>
      </c>
      <c r="K93" s="19">
        <f>J93+K92</f>
        <v/>
      </c>
      <c r="L93" s="19">
        <f>K93+L92</f>
        <v/>
      </c>
    </row>
    <row r="95">
      <c r="A95" s="3" t="inlineStr">
        <is>
          <t>9. FLUJO DE CAJA DEL PROYECTO (CON FINANCIAMIENTO)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>
      <c r="A96" s="3" t="inlineStr">
        <is>
          <t>Concepto</t>
        </is>
      </c>
      <c r="B96" s="5" t="inlineStr">
        <is>
          <t>Año 0</t>
        </is>
      </c>
      <c r="C96" s="5" t="inlineStr">
        <is>
          <t>Año 1</t>
        </is>
      </c>
      <c r="D96" s="5" t="inlineStr">
        <is>
          <t>Año 2</t>
        </is>
      </c>
      <c r="E96" s="5" t="inlineStr">
        <is>
          <t>Año 3</t>
        </is>
      </c>
      <c r="F96" s="5" t="inlineStr">
        <is>
          <t>Año 4</t>
        </is>
      </c>
      <c r="G96" s="5" t="inlineStr">
        <is>
          <t>Año 5</t>
        </is>
      </c>
      <c r="H96" s="5" t="inlineStr">
        <is>
          <t>Año 6</t>
        </is>
      </c>
      <c r="I96" s="5" t="inlineStr">
        <is>
          <t>Año 7</t>
        </is>
      </c>
      <c r="J96" s="5" t="inlineStr">
        <is>
          <t>Año 8</t>
        </is>
      </c>
      <c r="K96" s="5" t="inlineStr">
        <is>
          <t>Año 9</t>
        </is>
      </c>
      <c r="L96" s="5" t="inlineStr">
        <is>
          <t>Año 10</t>
        </is>
      </c>
    </row>
    <row r="97">
      <c r="A97" s="6" t="inlineStr">
        <is>
          <t>(+) Ingreso por ventas</t>
        </is>
      </c>
      <c r="B97" s="11">
        <f>B37</f>
        <v/>
      </c>
      <c r="C97" s="11">
        <f>C37</f>
        <v/>
      </c>
      <c r="D97" s="11">
        <f>D37</f>
        <v/>
      </c>
      <c r="E97" s="11">
        <f>E37</f>
        <v/>
      </c>
      <c r="F97" s="11">
        <f>F37</f>
        <v/>
      </c>
      <c r="G97" s="11">
        <f>G37</f>
        <v/>
      </c>
      <c r="H97" s="11">
        <f>H37</f>
        <v/>
      </c>
      <c r="I97" s="11">
        <f>I37</f>
        <v/>
      </c>
      <c r="J97" s="11">
        <f>J37</f>
        <v/>
      </c>
      <c r="K97" s="11">
        <f>K37</f>
        <v/>
      </c>
      <c r="L97" s="11">
        <f>L37</f>
        <v/>
      </c>
    </row>
    <row r="98">
      <c r="A98" s="6" t="inlineStr">
        <is>
          <t>(−) Costos variables</t>
        </is>
      </c>
      <c r="B98" s="11">
        <f>B44</f>
        <v/>
      </c>
      <c r="C98" s="11">
        <f>C44</f>
        <v/>
      </c>
      <c r="D98" s="11">
        <f>D44</f>
        <v/>
      </c>
      <c r="E98" s="11">
        <f>E44</f>
        <v/>
      </c>
      <c r="F98" s="11">
        <f>F44</f>
        <v/>
      </c>
      <c r="G98" s="11">
        <f>G44</f>
        <v/>
      </c>
      <c r="H98" s="11">
        <f>H44</f>
        <v/>
      </c>
      <c r="I98" s="11">
        <f>I44</f>
        <v/>
      </c>
      <c r="J98" s="11">
        <f>J44</f>
        <v/>
      </c>
      <c r="K98" s="11">
        <f>K44</f>
        <v/>
      </c>
      <c r="L98" s="11">
        <f>L44</f>
        <v/>
      </c>
    </row>
    <row r="99">
      <c r="A99" s="6" t="inlineStr">
        <is>
          <t>(−) Costos fijos</t>
        </is>
      </c>
      <c r="B99" s="11">
        <f>B51</f>
        <v/>
      </c>
      <c r="C99" s="11">
        <f>C51</f>
        <v/>
      </c>
      <c r="D99" s="11">
        <f>D51</f>
        <v/>
      </c>
      <c r="E99" s="11">
        <f>E51</f>
        <v/>
      </c>
      <c r="F99" s="11">
        <f>F51</f>
        <v/>
      </c>
      <c r="G99" s="11">
        <f>G51</f>
        <v/>
      </c>
      <c r="H99" s="11">
        <f>H51</f>
        <v/>
      </c>
      <c r="I99" s="11">
        <f>I51</f>
        <v/>
      </c>
      <c r="J99" s="11">
        <f>J51</f>
        <v/>
      </c>
      <c r="K99" s="11">
        <f>K51</f>
        <v/>
      </c>
      <c r="L99" s="11">
        <f>L51</f>
        <v/>
      </c>
    </row>
    <row r="100">
      <c r="A100" s="6" t="inlineStr">
        <is>
          <t>(−) Gastos financieros (intereses)</t>
        </is>
      </c>
      <c r="B100" s="11" t="n">
        <v>0</v>
      </c>
      <c r="C100" s="11">
        <f>C74</f>
        <v/>
      </c>
      <c r="D100" s="11">
        <f>D74</f>
        <v/>
      </c>
      <c r="E100" s="11">
        <f>E74</f>
        <v/>
      </c>
      <c r="F100" s="11">
        <f>F74</f>
        <v/>
      </c>
      <c r="G100" s="11">
        <f>G74</f>
        <v/>
      </c>
      <c r="H100" s="11">
        <f>H74</f>
        <v/>
      </c>
      <c r="I100" s="11">
        <f>I74</f>
        <v/>
      </c>
      <c r="J100" s="11">
        <f>J74</f>
        <v/>
      </c>
      <c r="K100" s="11">
        <f>K74</f>
        <v/>
      </c>
      <c r="L100" s="11">
        <f>L74</f>
        <v/>
      </c>
    </row>
    <row r="101">
      <c r="A101" s="6" t="inlineStr">
        <is>
          <t>(−) Depreciación y amortización</t>
        </is>
      </c>
      <c r="B101" s="11" t="n">
        <v>0</v>
      </c>
      <c r="C101" s="11">
        <f>C61</f>
        <v/>
      </c>
      <c r="D101" s="11">
        <f>D61</f>
        <v/>
      </c>
      <c r="E101" s="11">
        <f>E61</f>
        <v/>
      </c>
      <c r="F101" s="11">
        <f>F61</f>
        <v/>
      </c>
      <c r="G101" s="11">
        <f>G61</f>
        <v/>
      </c>
      <c r="H101" s="11">
        <f>H61</f>
        <v/>
      </c>
      <c r="I101" s="11">
        <f>I61</f>
        <v/>
      </c>
      <c r="J101" s="11">
        <f>J61</f>
        <v/>
      </c>
      <c r="K101" s="11">
        <f>K61</f>
        <v/>
      </c>
      <c r="L101" s="11">
        <f>L61</f>
        <v/>
      </c>
    </row>
    <row r="102">
      <c r="A102" s="14" t="inlineStr">
        <is>
          <t>(=) Utilidad antes de impuestos</t>
        </is>
      </c>
      <c r="B102" s="15">
        <f>B97-B98-B99-B100-B101</f>
        <v/>
      </c>
      <c r="C102" s="15">
        <f>C97-C98-C99-C100-C101</f>
        <v/>
      </c>
      <c r="D102" s="15">
        <f>D97-D98-D99-D100-D101</f>
        <v/>
      </c>
      <c r="E102" s="15">
        <f>E97-E98-E99-E100-E101</f>
        <v/>
      </c>
      <c r="F102" s="15">
        <f>F97-F98-F99-F100-F101</f>
        <v/>
      </c>
      <c r="G102" s="15">
        <f>G97-G98-G99-G100-G101</f>
        <v/>
      </c>
      <c r="H102" s="15">
        <f>H97-H98-H99-H100-H101</f>
        <v/>
      </c>
      <c r="I102" s="15">
        <f>I97-I98-I99-I100-I101</f>
        <v/>
      </c>
      <c r="J102" s="15">
        <f>J97-J98-J99-J100-J101</f>
        <v/>
      </c>
      <c r="K102" s="15">
        <f>K97-K98-K99-K100-K101</f>
        <v/>
      </c>
      <c r="L102" s="15">
        <f>L97-L98-L99-L100-L101</f>
        <v/>
      </c>
    </row>
    <row r="103">
      <c r="A103" s="6" t="inlineStr">
        <is>
          <t>(−) Impuesto sobre la renta</t>
        </is>
      </c>
      <c r="B103" s="11">
        <f>IF(B102&gt;0,$B$6*B102+$B$7*MAX(0,B102-1000000),0)</f>
        <v/>
      </c>
      <c r="C103" s="11">
        <f>IF(C102&gt;0,$B$6*C102+$B$7*MAX(0,C102-1000000),0)</f>
        <v/>
      </c>
      <c r="D103" s="11">
        <f>IF(D102&gt;0,$B$6*D102+$B$7*MAX(0,D102-1000000),0)</f>
        <v/>
      </c>
      <c r="E103" s="11">
        <f>IF(E102&gt;0,$B$6*E102+$B$7*MAX(0,E102-1000000),0)</f>
        <v/>
      </c>
      <c r="F103" s="11">
        <f>IF(F102&gt;0,$B$6*F102+$B$7*MAX(0,F102-1000000),0)</f>
        <v/>
      </c>
      <c r="G103" s="11">
        <f>IF(G102&gt;0,$B$6*G102+$B$7*MAX(0,G102-1000000),0)</f>
        <v/>
      </c>
      <c r="H103" s="11">
        <f>IF(H102&gt;0,$B$6*H102+$B$7*MAX(0,H102-1000000),0)</f>
        <v/>
      </c>
      <c r="I103" s="11">
        <f>IF(I102&gt;0,$B$6*I102+$B$7*MAX(0,I102-1000000),0)</f>
        <v/>
      </c>
      <c r="J103" s="11">
        <f>IF(J102&gt;0,$B$6*J102+$B$7*MAX(0,J102-1000000),0)</f>
        <v/>
      </c>
      <c r="K103" s="11">
        <f>IF(K102&gt;0,$B$6*K102+$B$7*MAX(0,K102-1000000),0)</f>
        <v/>
      </c>
      <c r="L103" s="11">
        <f>IF(L102&gt;0,$B$6*L102+$B$7*MAX(0,L102-1000000),0)</f>
        <v/>
      </c>
    </row>
    <row r="104">
      <c r="A104" s="14" t="inlineStr">
        <is>
          <t>(=) Utilidad después de impuestos</t>
        </is>
      </c>
      <c r="B104" s="15">
        <f>B102-B103</f>
        <v/>
      </c>
      <c r="C104" s="15">
        <f>C102-C103</f>
        <v/>
      </c>
      <c r="D104" s="15">
        <f>D102-D103</f>
        <v/>
      </c>
      <c r="E104" s="15">
        <f>E102-E103</f>
        <v/>
      </c>
      <c r="F104" s="15">
        <f>F102-F103</f>
        <v/>
      </c>
      <c r="G104" s="15">
        <f>G102-G103</f>
        <v/>
      </c>
      <c r="H104" s="15">
        <f>H102-H103</f>
        <v/>
      </c>
      <c r="I104" s="15">
        <f>I102-I103</f>
        <v/>
      </c>
      <c r="J104" s="15">
        <f>J102-J103</f>
        <v/>
      </c>
      <c r="K104" s="15">
        <f>K102-K103</f>
        <v/>
      </c>
      <c r="L104" s="15">
        <f>L102-L103</f>
        <v/>
      </c>
    </row>
    <row r="105">
      <c r="A105" s="6" t="inlineStr">
        <is>
          <t>(+) Depreciación y amortización</t>
        </is>
      </c>
      <c r="B105" s="11" t="n">
        <v>0</v>
      </c>
      <c r="C105" s="11">
        <f>C61</f>
        <v/>
      </c>
      <c r="D105" s="11">
        <f>D61</f>
        <v/>
      </c>
      <c r="E105" s="11">
        <f>E61</f>
        <v/>
      </c>
      <c r="F105" s="11">
        <f>F61</f>
        <v/>
      </c>
      <c r="G105" s="11">
        <f>G61</f>
        <v/>
      </c>
      <c r="H105" s="11">
        <f>H61</f>
        <v/>
      </c>
      <c r="I105" s="11">
        <f>I61</f>
        <v/>
      </c>
      <c r="J105" s="11">
        <f>J61</f>
        <v/>
      </c>
      <c r="K105" s="11">
        <f>K61</f>
        <v/>
      </c>
      <c r="L105" s="11">
        <f>L61</f>
        <v/>
      </c>
    </row>
    <row r="106">
      <c r="A106" s="6" t="inlineStr">
        <is>
          <t>(+) Valor de desecho</t>
        </is>
      </c>
      <c r="B106" s="11" t="n">
        <v>0</v>
      </c>
      <c r="C106" s="11" t="n">
        <v>0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>
        <f>L65</f>
        <v/>
      </c>
    </row>
    <row r="107">
      <c r="A107" s="6" t="inlineStr">
        <is>
          <t>(+) Recuperación capital de trabajo</t>
        </is>
      </c>
      <c r="B107" s="11">
        <f>B68</f>
        <v/>
      </c>
      <c r="C107" s="11">
        <f>C68</f>
        <v/>
      </c>
      <c r="D107" s="11">
        <f>D68</f>
        <v/>
      </c>
      <c r="E107" s="11">
        <f>E68</f>
        <v/>
      </c>
      <c r="F107" s="11">
        <f>F68</f>
        <v/>
      </c>
      <c r="G107" s="11">
        <f>G68</f>
        <v/>
      </c>
      <c r="H107" s="11">
        <f>H68</f>
        <v/>
      </c>
      <c r="I107" s="11">
        <f>I68</f>
        <v/>
      </c>
      <c r="J107" s="11">
        <f>J68</f>
        <v/>
      </c>
      <c r="K107" s="11">
        <f>K68</f>
        <v/>
      </c>
      <c r="L107" s="11">
        <f>L68</f>
        <v/>
      </c>
    </row>
    <row r="108">
      <c r="A108" s="6" t="inlineStr">
        <is>
          <t>(+) Préstamo bancario (Año 0)</t>
        </is>
      </c>
      <c r="B108" s="11">
        <f>D30</f>
        <v/>
      </c>
      <c r="C108" s="11" t="n">
        <v>0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</row>
    <row r="109">
      <c r="A109" s="6" t="inlineStr">
        <is>
          <t>(−) Inversión en activos fijos</t>
        </is>
      </c>
      <c r="B109" s="11">
        <f>SUM(B23:B28)</f>
        <v/>
      </c>
      <c r="C109" s="11" t="n">
        <v>0</v>
      </c>
      <c r="D109" s="11" t="n">
        <v>0</v>
      </c>
      <c r="E109" s="11" t="n">
        <v>0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</row>
    <row r="110">
      <c r="A110" s="6" t="inlineStr">
        <is>
          <t>(−) Inversión en capital de trabajo</t>
        </is>
      </c>
      <c r="B110" s="11">
        <f>B67</f>
        <v/>
      </c>
      <c r="C110" s="11">
        <f>C67</f>
        <v/>
      </c>
      <c r="D110" s="11">
        <f>D67</f>
        <v/>
      </c>
      <c r="E110" s="11">
        <f>E67</f>
        <v/>
      </c>
      <c r="F110" s="11">
        <f>F67</f>
        <v/>
      </c>
      <c r="G110" s="11">
        <f>G67</f>
        <v/>
      </c>
      <c r="H110" s="11">
        <f>H67</f>
        <v/>
      </c>
      <c r="I110" s="11">
        <f>I67</f>
        <v/>
      </c>
      <c r="J110" s="11">
        <f>J67</f>
        <v/>
      </c>
      <c r="K110" s="11">
        <f>K67</f>
        <v/>
      </c>
      <c r="L110" s="11">
        <f>L67</f>
        <v/>
      </c>
    </row>
    <row r="111">
      <c r="A111" s="6" t="inlineStr">
        <is>
          <t>(−) Abono a capital del préstamo</t>
        </is>
      </c>
      <c r="B111" s="11" t="n">
        <v>0</v>
      </c>
      <c r="C111" s="11">
        <f>C73</f>
        <v/>
      </c>
      <c r="D111" s="11">
        <f>D73</f>
        <v/>
      </c>
      <c r="E111" s="11">
        <f>E73</f>
        <v/>
      </c>
      <c r="F111" s="11">
        <f>F73</f>
        <v/>
      </c>
      <c r="G111" s="11">
        <f>G73</f>
        <v/>
      </c>
      <c r="H111" s="11">
        <f>H73</f>
        <v/>
      </c>
      <c r="I111" s="11">
        <f>I73</f>
        <v/>
      </c>
      <c r="J111" s="11">
        <f>J73</f>
        <v/>
      </c>
      <c r="K111" s="11">
        <f>K73</f>
        <v/>
      </c>
      <c r="L111" s="11">
        <f>L73</f>
        <v/>
      </c>
    </row>
    <row r="112">
      <c r="A112" s="14" t="inlineStr">
        <is>
          <t>(=) FLUJO DE CAJA NETO</t>
        </is>
      </c>
      <c r="B112" s="15">
        <f>B104+B105+B106+B107+B108-B109-B110-B111</f>
        <v/>
      </c>
      <c r="C112" s="15">
        <f>C104+C105+C106+C107+C108-C109-C110-C111</f>
        <v/>
      </c>
      <c r="D112" s="15">
        <f>D104+D105+D106+D107+D108-D109-D110-D111</f>
        <v/>
      </c>
      <c r="E112" s="15">
        <f>E104+E105+E106+E107+E108-E109-E110-E111</f>
        <v/>
      </c>
      <c r="F112" s="15">
        <f>F104+F105+F106+F107+F108-F109-F110-F111</f>
        <v/>
      </c>
      <c r="G112" s="15">
        <f>G104+G105+G106+G107+G108-G109-G110-G111</f>
        <v/>
      </c>
      <c r="H112" s="15">
        <f>H104+H105+H106+H107+H108-H109-H110-H111</f>
        <v/>
      </c>
      <c r="I112" s="15">
        <f>I104+I105+I106+I107+I108-I109-I110-I111</f>
        <v/>
      </c>
      <c r="J112" s="15">
        <f>J104+J105+J106+J107+J108-J109-J110-J111</f>
        <v/>
      </c>
      <c r="K112" s="15">
        <f>K104+K105+K106+K107+K108-K109-K110-K111</f>
        <v/>
      </c>
      <c r="L112" s="15">
        <f>L104+L105+L106+L107+L108-L109-L110-L111</f>
        <v/>
      </c>
    </row>
    <row r="113">
      <c r="A113" s="18" t="inlineStr">
        <is>
          <t>Flujo de caja acumulado</t>
        </is>
      </c>
      <c r="B113" s="19">
        <f>B112</f>
        <v/>
      </c>
      <c r="C113" s="19">
        <f>B113+C112</f>
        <v/>
      </c>
      <c r="D113" s="19">
        <f>C113+D112</f>
        <v/>
      </c>
      <c r="E113" s="19">
        <f>D113+E112</f>
        <v/>
      </c>
      <c r="F113" s="19">
        <f>E113+F112</f>
        <v/>
      </c>
      <c r="G113" s="19">
        <f>F113+G112</f>
        <v/>
      </c>
      <c r="H113" s="19">
        <f>G113+H112</f>
        <v/>
      </c>
      <c r="I113" s="19">
        <f>H113+I112</f>
        <v/>
      </c>
      <c r="J113" s="19">
        <f>I113+J112</f>
        <v/>
      </c>
      <c r="K113" s="19">
        <f>J113+K112</f>
        <v/>
      </c>
      <c r="L113" s="19">
        <f>K113+L112</f>
        <v/>
      </c>
    </row>
    <row r="115">
      <c r="A115" s="3" t="inlineStr">
        <is>
          <t>10. INDICADORES FINANCIEROS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</row>
    <row r="116">
      <c r="A116" s="3" t="inlineStr">
        <is>
          <t>Indicador</t>
        </is>
      </c>
      <c r="B116" s="5" t="inlineStr">
        <is>
          <t>Proyecto (sin financiamiento)</t>
        </is>
      </c>
      <c r="C116" s="5" t="inlineStr">
        <is>
          <t>Inversionista (con financiamiento)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</row>
    <row r="117">
      <c r="A117" s="6" t="inlineStr">
        <is>
          <t>Tasa de descuento usada</t>
        </is>
      </c>
      <c r="B117" s="20">
        <f>$B$11</f>
        <v/>
      </c>
      <c r="C117" s="20">
        <f>$B$9*$B$8*(1-$B$6)+(1-$B$9)*$B$11</f>
        <v/>
      </c>
    </row>
    <row r="118">
      <c r="A118" s="18" t="inlineStr">
        <is>
          <t>VAN (Valor Actual Neto)</t>
        </is>
      </c>
      <c r="B118" s="8">
        <f>NPV($B$11,C92:L92)+B92</f>
        <v/>
      </c>
      <c r="C118" s="8">
        <f>NPV(C117,C112:L112)+B112</f>
        <v/>
      </c>
    </row>
    <row r="119">
      <c r="A119" s="18" t="inlineStr">
        <is>
          <t>TIR (Tasa Interna de Retorno)</t>
        </is>
      </c>
      <c r="B119" s="7">
        <f>IRR(B92:L92)</f>
        <v/>
      </c>
      <c r="C119" s="7">
        <f>IRR(B112:L112)</f>
        <v/>
      </c>
    </row>
    <row r="120">
      <c r="A120" s="18" t="inlineStr">
        <is>
          <t>PRI (años de recuperación)</t>
        </is>
      </c>
      <c r="B120" s="9">
        <f>IF(COUNTIF(B93:L93,"&lt;0")=11,"&gt;10",(COUNTIF(B93:L93,"&lt;0")-1)+(-INDEX(B93:L93,COUNTIF(B93:L93,"&lt;0")))/INDEX(B92:L92,COUNTIF(B93:L93,"&lt;0")+1))</f>
        <v/>
      </c>
      <c r="C120" s="9">
        <f>IF(COUNTIF(B113:L113,"&lt;0")=11,"&gt;10",(COUNTIF(B113:L113,"&lt;0")-1)+(-INDEX(B113:L113,COUNTIF(B113:L113,"&lt;0")))/INDEX(B112:L112,COUNTIF(B113:L113,"&lt;0")+1))</f>
        <v/>
      </c>
    </row>
    <row r="121">
      <c r="A121" s="18" t="inlineStr">
        <is>
          <t>Relación Beneficio/Costo</t>
        </is>
      </c>
      <c r="B121" s="9">
        <f>NPV($B$11,C37:L37)/(B30+NPV($B$11,C44:L44)+NPV($B$11,C51:L51)+NPV($B$11,C85:L85))</f>
        <v/>
      </c>
      <c r="C121" s="9">
        <f>NPV(C117,C37:L37)/(C30+NPV(C117,C44:L44)+NPV(C117,C51:L51)+NPV(C117,C100:L100)+NPV(C117,C103:L103)+NPV(C117,C111:L111))</f>
        <v/>
      </c>
    </row>
  </sheetData>
  <mergeCells count="11">
    <mergeCell ref="A78:L78"/>
    <mergeCell ref="A95:L95"/>
    <mergeCell ref="A53:L53"/>
    <mergeCell ref="A63:L63"/>
    <mergeCell ref="A115:L115"/>
    <mergeCell ref="A46:L46"/>
    <mergeCell ref="A32:L32"/>
    <mergeCell ref="A70:L70"/>
    <mergeCell ref="A21:L21"/>
    <mergeCell ref="A39:L39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2" customWidth="1" min="4" max="4"/>
  </cols>
  <sheetData>
    <row r="1">
      <c r="A1" s="18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2" t="n">
        <v>1</v>
      </c>
      <c r="B3" s="21" t="inlineStr">
        <is>
          <t>Cuadro 6 / Costo de personal</t>
        </is>
      </c>
      <c r="C3" s="21" t="inlineStr">
        <is>
          <t>Planilla mensual (L92,600) usada como costo anual</t>
        </is>
      </c>
      <c r="D3" s="21" t="inlineStr">
        <is>
          <t>Anualizar ×12 + aguinaldo + catorceavo + 12% cargas patronales = L1,494,082/año</t>
        </is>
      </c>
    </row>
    <row r="4" ht="42" customHeight="1">
      <c r="A4" s="12" t="n">
        <v>2</v>
      </c>
      <c r="B4" s="21" t="inlineStr">
        <is>
          <t>Cuadros 5 y 6</t>
        </is>
      </c>
      <c r="C4" s="21" t="inlineStr">
        <is>
          <t>Personal contado dos veces</t>
        </is>
      </c>
      <c r="D4" s="21" t="inlineStr">
        <is>
          <t>Dejarlo en una sola línea</t>
        </is>
      </c>
    </row>
    <row r="5" ht="42" customHeight="1">
      <c r="A5" s="12" t="n">
        <v>3</v>
      </c>
      <c r="B5" s="21" t="inlineStr">
        <is>
          <t>Cuadros 5 y 6</t>
        </is>
      </c>
      <c r="C5" s="21" t="inlineStr">
        <is>
          <t>Costos mensuales usados como anuales</t>
        </is>
      </c>
      <c r="D5" s="21" t="inlineStr">
        <is>
          <t>Multiplicar por 12</t>
        </is>
      </c>
    </row>
    <row r="6" ht="42" customHeight="1">
      <c r="A6" s="12" t="n">
        <v>4</v>
      </c>
      <c r="B6" s="21" t="inlineStr">
        <is>
          <t>Costos fijos (leche L390,000)</t>
        </is>
      </c>
      <c r="C6" s="21" t="inlineStr">
        <is>
          <t>Leche, empaque y combustible como fijos</t>
        </is>
      </c>
      <c r="D6" s="21" t="inlineStr">
        <is>
          <t>Volverlos variables (por litro vendido)</t>
        </is>
      </c>
    </row>
    <row r="7" ht="42" customHeight="1">
      <c r="A7" s="12" t="n">
        <v>5</v>
      </c>
      <c r="B7" s="21" t="inlineStr">
        <is>
          <t>Gastos administrativos</t>
        </is>
      </c>
      <c r="C7" s="21" t="inlineStr">
        <is>
          <t>Los ítems suman L21,600 pero dice L22,600</t>
        </is>
      </c>
      <c r="D7" s="21" t="inlineStr">
        <is>
          <t>Corregir la suma</t>
        </is>
      </c>
    </row>
    <row r="8" ht="42" customHeight="1">
      <c r="A8" s="12" t="n">
        <v>6</v>
      </c>
      <c r="B8" s="21" t="inlineStr">
        <is>
          <t>Cuadro 3 (depreciación)</t>
        </is>
      </c>
      <c r="C8" s="21" t="inlineStr">
        <is>
          <t>Camión con vida de 3 años</t>
        </is>
      </c>
      <c r="D8" s="21" t="inlineStr">
        <is>
          <t>Vida útil realista de 5 años</t>
        </is>
      </c>
    </row>
    <row r="9" ht="42" customHeight="1">
      <c r="A9" s="12" t="n">
        <v>7</v>
      </c>
      <c r="B9" s="21" t="inlineStr">
        <is>
          <t>Estudio financiero</t>
        </is>
      </c>
      <c r="C9" s="21" t="inlineStr">
        <is>
          <t>No aplica impuesto sobre la renta</t>
        </is>
      </c>
      <c r="D9" s="21" t="inlineStr">
        <is>
          <t>Aplicar ISR 25% + 5% solidaria (renta &gt; L1M)</t>
        </is>
      </c>
    </row>
    <row r="10" ht="42" customHeight="1">
      <c r="A10" s="12" t="n">
        <v>8</v>
      </c>
      <c r="B10" s="21" t="inlineStr">
        <is>
          <t>Estudio financiero</t>
        </is>
      </c>
      <c r="C10" s="21" t="inlineStr">
        <is>
          <t>No define tasa de descuento</t>
        </is>
      </c>
      <c r="D10" s="21" t="inlineStr">
        <is>
          <t>Usar tasa de descuento 15%</t>
        </is>
      </c>
    </row>
    <row r="11" ht="42" customHeight="1">
      <c r="A11" s="12" t="n">
        <v>9</v>
      </c>
      <c r="B11" s="21" t="inlineStr">
        <is>
          <t>Estudio financiero</t>
        </is>
      </c>
      <c r="C11" s="21" t="inlineStr">
        <is>
          <t>No incluye capital de trabajo</t>
        </is>
      </c>
      <c r="D11" s="21" t="inlineStr">
        <is>
          <t>Incluir 2 meses de costos, recuperar en Año 10</t>
        </is>
      </c>
    </row>
    <row r="12" ht="42" customHeight="1">
      <c r="A12" s="12" t="n">
        <v>10</v>
      </c>
      <c r="B12" s="21" t="inlineStr">
        <is>
          <t>Cuadro 1 / ventas</t>
        </is>
      </c>
      <c r="C12" s="21" t="inlineStr">
        <is>
          <t>El consumo por cliente (60 L/mes) es muy bajo para cafeterías/HORECA</t>
        </is>
      </c>
      <c r="D12" s="21" t="inlineStr">
        <is>
          <t>Ajustar a un consumo realista por cliente (ya incorporado en este estudio)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2026-07-11T00:27:46Z</dcterms:created>
  <dcterms:modified xsi:type="dcterms:W3CDTF">2026-07-11T00:27:46Z</dcterms:modified>
</cp:coreProperties>
</file>