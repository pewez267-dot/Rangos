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udio Financiero" sheetId="1" state="visible" r:id="rId1"/>
    <sheet xmlns:r="http://schemas.openxmlformats.org/officeDocument/2006/relationships" name="Correccion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000000"/>
      <sz val="12"/>
    </font>
    <font>
      <name val="Calibri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left" vertical="center"/>
    </xf>
    <xf numFmtId="3" fontId="1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2" fillId="3" borderId="1" pivotButton="0" quotePrefix="0" xfId="0"/>
    <xf numFmtId="0" fontId="1" fillId="0" borderId="1" applyAlignment="1" pivotButton="0" quotePrefix="0" xfId="0">
      <alignment horizontal="left" vertical="center"/>
    </xf>
    <xf numFmtId="3" fontId="1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PRODUCTORA DE LECHE PASTEURIZADA «PURA» — Flujo de Caja del Proyecto</t>
        </is>
      </c>
    </row>
    <row r="2">
      <c r="A2" s="2" t="inlineStr">
        <is>
          <t>Estudio financiero (Honduras) · cifras en Lempiras</t>
        </is>
      </c>
    </row>
    <row r="4">
      <c r="A4" s="3" t="inlineStr">
        <is>
          <t>SUPUESTOS BASE DEL PROYECTO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3" t="inlineStr">
        <is>
          <t>Parámetro</t>
        </is>
      </c>
      <c r="B5" s="5" t="inlineStr">
        <is>
          <t>Valor</t>
        </is>
      </c>
    </row>
    <row r="6">
      <c r="A6" s="6" t="inlineStr">
        <is>
          <t>Tasa de impuesto sobre la renta (ISR)</t>
        </is>
      </c>
      <c r="B6" s="7" t="n">
        <v>0.25</v>
      </c>
    </row>
    <row r="7">
      <c r="A7" s="6" t="inlineStr">
        <is>
          <t>Aportación solidaria (renta &gt; L 1,000,000)</t>
        </is>
      </c>
      <c r="B7" s="7" t="n">
        <v>0.05</v>
      </c>
    </row>
    <row r="8">
      <c r="A8" s="6" t="inlineStr">
        <is>
          <t>Tasa de interés del préstamo (anual)</t>
        </is>
      </c>
      <c r="B8" s="7" t="n">
        <v>0.14</v>
      </c>
    </row>
    <row r="9">
      <c r="A9" s="6" t="inlineStr">
        <is>
          <t>Porcentaje financiado con préstamo</t>
        </is>
      </c>
      <c r="B9" s="7" t="n">
        <v>0.4</v>
      </c>
    </row>
    <row r="10">
      <c r="A10" s="6" t="inlineStr">
        <is>
          <t>Inflación anual</t>
        </is>
      </c>
      <c r="B10" s="7" t="n">
        <v>0.045</v>
      </c>
    </row>
    <row r="11">
      <c r="A11" s="6" t="inlineStr">
        <is>
          <t>Tasa de descuento anual (rendimiento mínimo)</t>
        </is>
      </c>
      <c r="B11" s="7" t="n">
        <v>0.15</v>
      </c>
    </row>
    <row r="12">
      <c r="A12" s="6" t="inlineStr">
        <is>
          <t>Costo de leche cruda (Lps/litro)</t>
        </is>
      </c>
      <c r="B12" s="8" t="n">
        <v>13</v>
      </c>
    </row>
    <row r="13">
      <c r="A13" s="6" t="inlineStr">
        <is>
          <t>Merma de proceso</t>
        </is>
      </c>
      <c r="B13" s="7" t="n">
        <v>0.03</v>
      </c>
    </row>
    <row r="14">
      <c r="A14" s="6" t="inlineStr">
        <is>
          <t>Costo de empaque (Lps/litro)</t>
        </is>
      </c>
      <c r="B14" s="9">
        <f>26000/30000</f>
        <v/>
      </c>
    </row>
    <row r="15">
      <c r="A15" s="6" t="inlineStr">
        <is>
          <t>Costo de combustible de reparto (Lps/litro)</t>
        </is>
      </c>
      <c r="B15" s="9">
        <f>26000/30000</f>
        <v/>
      </c>
    </row>
    <row r="16">
      <c r="A16" s="6" t="inlineStr">
        <is>
          <t>Planilla mensual (6 empleados)</t>
        </is>
      </c>
      <c r="B16" s="8" t="n">
        <v>92600</v>
      </c>
    </row>
    <row r="17">
      <c r="A17" s="6" t="inlineStr">
        <is>
          <t>Meses de salario al año (con aguinaldo y catorceavo)</t>
        </is>
      </c>
      <c r="B17" s="10" t="n">
        <v>14</v>
      </c>
    </row>
    <row r="18">
      <c r="A18" s="6" t="inlineStr">
        <is>
          <t>Cargas patronales (IHSS, RAP, INFOP)</t>
        </is>
      </c>
      <c r="B18" s="7" t="n">
        <v>0.12</v>
      </c>
    </row>
    <row r="19">
      <c r="A19" s="6" t="inlineStr">
        <is>
          <t>Multiplicador de ventas (vs proyección de la tesis)</t>
        </is>
      </c>
      <c r="B19" s="9" t="n">
        <v>2</v>
      </c>
    </row>
    <row r="20">
      <c r="A20" s="6" t="inlineStr">
        <is>
          <t>Meses de capital de trabajo</t>
        </is>
      </c>
      <c r="B20" s="10" t="n">
        <v>2</v>
      </c>
    </row>
    <row r="22">
      <c r="A22" s="3" t="inlineStr">
        <is>
          <t>1. PLAN DE INVERSIONES Y FINANCIAMIENTO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s="3" t="inlineStr">
        <is>
          <t>Activo</t>
        </is>
      </c>
      <c r="B23" s="5" t="inlineStr">
        <is>
          <t>Valor</t>
        </is>
      </c>
      <c r="C23" s="5" t="inlineStr">
        <is>
          <t>Recursos propios</t>
        </is>
      </c>
      <c r="D23" s="5" t="inlineStr">
        <is>
          <t>Préstamo</t>
        </is>
      </c>
      <c r="E23" s="5" t="inlineStr">
        <is>
          <t>Vida (años)</t>
        </is>
      </c>
      <c r="F23" s="5" t="inlineStr">
        <is>
          <t>Depreciable</t>
        </is>
      </c>
      <c r="G23" s="4" t="n"/>
      <c r="H23" s="4" t="n"/>
      <c r="I23" s="4" t="n"/>
      <c r="J23" s="4" t="n"/>
      <c r="K23" s="4" t="n"/>
      <c r="L23" s="4" t="n"/>
    </row>
    <row r="24">
      <c r="A24" s="6" t="inlineStr">
        <is>
          <t>Tanques de almacenamiento</t>
        </is>
      </c>
      <c r="B24" s="11" t="n">
        <v>360000</v>
      </c>
      <c r="C24" s="11">
        <f>B24-D24</f>
        <v/>
      </c>
      <c r="D24" s="11">
        <f>B24*$B$9</f>
        <v/>
      </c>
      <c r="E24" s="12" t="n">
        <v>10</v>
      </c>
      <c r="F24" s="12" t="inlineStr">
        <is>
          <t>Sí</t>
        </is>
      </c>
      <c r="G24" s="13" t="n"/>
      <c r="H24" s="13" t="n"/>
      <c r="I24" s="13" t="n"/>
      <c r="J24" s="13" t="n"/>
      <c r="K24" s="13" t="n"/>
      <c r="L24" s="13" t="n"/>
    </row>
    <row r="25">
      <c r="A25" s="6" t="inlineStr">
        <is>
          <t>Pasteurizador HTST</t>
        </is>
      </c>
      <c r="B25" s="11" t="n">
        <v>150000</v>
      </c>
      <c r="C25" s="11">
        <f>B25-D25</f>
        <v/>
      </c>
      <c r="D25" s="11">
        <f>B25*$B$9</f>
        <v/>
      </c>
      <c r="E25" s="12" t="n">
        <v>10</v>
      </c>
      <c r="F25" s="12" t="inlineStr">
        <is>
          <t>Sí</t>
        </is>
      </c>
      <c r="G25" s="13" t="n"/>
      <c r="H25" s="13" t="n"/>
      <c r="I25" s="13" t="n"/>
      <c r="J25" s="13" t="n"/>
      <c r="K25" s="13" t="n"/>
      <c r="L25" s="13" t="n"/>
    </row>
    <row r="26">
      <c r="A26" s="6" t="inlineStr">
        <is>
          <t>Envasadora automática</t>
        </is>
      </c>
      <c r="B26" s="11" t="n">
        <v>260000</v>
      </c>
      <c r="C26" s="11">
        <f>B26-D26</f>
        <v/>
      </c>
      <c r="D26" s="11">
        <f>B26*$B$9</f>
        <v/>
      </c>
      <c r="E26" s="12" t="n">
        <v>10</v>
      </c>
      <c r="F26" s="12" t="inlineStr">
        <is>
          <t>Sí</t>
        </is>
      </c>
      <c r="G26" s="13" t="n"/>
      <c r="H26" s="13" t="n"/>
      <c r="I26" s="13" t="n"/>
      <c r="J26" s="13" t="n"/>
      <c r="K26" s="13" t="n"/>
      <c r="L26" s="13" t="n"/>
    </row>
    <row r="27">
      <c r="A27" s="6" t="inlineStr">
        <is>
          <t>Sistema de enfriamiento</t>
        </is>
      </c>
      <c r="B27" s="11" t="n">
        <v>125000</v>
      </c>
      <c r="C27" s="11">
        <f>B27-D27</f>
        <v/>
      </c>
      <c r="D27" s="11">
        <f>B27*$B$9</f>
        <v/>
      </c>
      <c r="E27" s="12" t="n">
        <v>10</v>
      </c>
      <c r="F27" s="12" t="inlineStr">
        <is>
          <t>Sí</t>
        </is>
      </c>
      <c r="G27" s="13" t="n"/>
      <c r="H27" s="13" t="n"/>
      <c r="I27" s="13" t="n"/>
      <c r="J27" s="13" t="n"/>
      <c r="K27" s="13" t="n"/>
      <c r="L27" s="13" t="n"/>
    </row>
    <row r="28">
      <c r="A28" s="6" t="inlineStr">
        <is>
          <t>Camión de distribución</t>
        </is>
      </c>
      <c r="B28" s="11" t="n">
        <v>500000</v>
      </c>
      <c r="C28" s="11">
        <f>B28-D28</f>
        <v/>
      </c>
      <c r="D28" s="11">
        <f>B28*$B$9</f>
        <v/>
      </c>
      <c r="E28" s="12" t="n">
        <v>5</v>
      </c>
      <c r="F28" s="12" t="inlineStr">
        <is>
          <t>Sí</t>
        </is>
      </c>
      <c r="G28" s="13" t="n"/>
      <c r="H28" s="13" t="n"/>
      <c r="I28" s="13" t="n"/>
      <c r="J28" s="13" t="n"/>
      <c r="K28" s="13" t="n"/>
      <c r="L28" s="13" t="n"/>
    </row>
    <row r="29">
      <c r="A29" s="6" t="inlineStr">
        <is>
          <t>Gastos diferidos (preoperativos + legales)</t>
        </is>
      </c>
      <c r="B29" s="11" t="n">
        <v>76000</v>
      </c>
      <c r="C29" s="11">
        <f>B29-D29</f>
        <v/>
      </c>
      <c r="D29" s="11">
        <f>B29*$B$9</f>
        <v/>
      </c>
      <c r="E29" s="12" t="n">
        <v>5</v>
      </c>
      <c r="F29" s="12" t="inlineStr">
        <is>
          <t>Amortizable</t>
        </is>
      </c>
      <c r="G29" s="13" t="n"/>
      <c r="H29" s="13" t="n"/>
      <c r="I29" s="13" t="n"/>
      <c r="J29" s="13" t="n"/>
      <c r="K29" s="13" t="n"/>
      <c r="L29" s="13" t="n"/>
    </row>
    <row r="30">
      <c r="A30" s="6" t="inlineStr">
        <is>
          <t>Capital de trabajo inicial</t>
        </is>
      </c>
      <c r="B30" s="11">
        <f>B67</f>
        <v/>
      </c>
      <c r="C30" s="11">
        <f>B30-D30</f>
        <v/>
      </c>
      <c r="D30" s="11">
        <f>B30*$B$9</f>
        <v/>
      </c>
      <c r="E30" s="12" t="inlineStr">
        <is>
          <t>-</t>
        </is>
      </c>
      <c r="F30" s="12" t="inlineStr">
        <is>
          <t>No</t>
        </is>
      </c>
      <c r="G30" s="13" t="n"/>
      <c r="H30" s="13" t="n"/>
      <c r="I30" s="13" t="n"/>
      <c r="J30" s="13" t="n"/>
      <c r="K30" s="13" t="n"/>
      <c r="L30" s="13" t="n"/>
    </row>
    <row r="31">
      <c r="A31" s="14" t="inlineStr">
        <is>
          <t>TOTAL INVERSIONES</t>
        </is>
      </c>
      <c r="B31" s="15">
        <f>SUM(B24:B30)</f>
        <v/>
      </c>
      <c r="C31" s="15">
        <f>SUM(C24:C30)</f>
        <v/>
      </c>
      <c r="D31" s="15">
        <f>SUM(D24:D30)</f>
        <v/>
      </c>
      <c r="E31" s="16" t="n"/>
      <c r="F31" s="16" t="n"/>
      <c r="G31" s="16" t="n"/>
      <c r="H31" s="16" t="n"/>
      <c r="I31" s="16" t="n"/>
      <c r="J31" s="16" t="n"/>
      <c r="K31" s="16" t="n"/>
      <c r="L31" s="16" t="n"/>
    </row>
    <row r="33">
      <c r="A33" s="3" t="inlineStr">
        <is>
          <t>2. PRODUCCIÓN Y VENTAS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</row>
    <row r="34">
      <c r="A34" s="3" t="inlineStr">
        <is>
          <t>Concepto</t>
        </is>
      </c>
      <c r="B34" s="5" t="inlineStr">
        <is>
          <t>Año 0</t>
        </is>
      </c>
      <c r="C34" s="5" t="inlineStr">
        <is>
          <t>Año 1</t>
        </is>
      </c>
      <c r="D34" s="5" t="inlineStr">
        <is>
          <t>Año 2</t>
        </is>
      </c>
      <c r="E34" s="5" t="inlineStr">
        <is>
          <t>Año 3</t>
        </is>
      </c>
      <c r="F34" s="5" t="inlineStr">
        <is>
          <t>Año 4</t>
        </is>
      </c>
      <c r="G34" s="5" t="inlineStr">
        <is>
          <t>Año 5</t>
        </is>
      </c>
      <c r="H34" s="5" t="inlineStr">
        <is>
          <t>Año 6</t>
        </is>
      </c>
      <c r="I34" s="5" t="inlineStr">
        <is>
          <t>Año 7</t>
        </is>
      </c>
      <c r="J34" s="5" t="inlineStr">
        <is>
          <t>Año 8</t>
        </is>
      </c>
      <c r="K34" s="5" t="inlineStr">
        <is>
          <t>Año 9</t>
        </is>
      </c>
      <c r="L34" s="5" t="inlineStr">
        <is>
          <t>Año 10</t>
        </is>
      </c>
    </row>
    <row r="35">
      <c r="A35" s="6" t="inlineStr">
        <is>
          <t>Clientes activos</t>
        </is>
      </c>
      <c r="B35" s="11" t="n">
        <v>0</v>
      </c>
      <c r="C35" s="11" t="n">
        <v>15</v>
      </c>
      <c r="D35" s="11" t="n">
        <v>20</v>
      </c>
      <c r="E35" s="11" t="n">
        <v>25</v>
      </c>
      <c r="F35" s="11" t="n">
        <v>30</v>
      </c>
      <c r="G35" s="11" t="n">
        <v>35</v>
      </c>
      <c r="H35" s="11" t="n">
        <v>40</v>
      </c>
      <c r="I35" s="11" t="n">
        <v>45</v>
      </c>
      <c r="J35" s="11" t="n">
        <v>50</v>
      </c>
      <c r="K35" s="11" t="n">
        <v>55</v>
      </c>
      <c r="L35" s="11" t="n">
        <v>60</v>
      </c>
    </row>
    <row r="36">
      <c r="A36" s="6" t="inlineStr">
        <is>
          <t>Volumen anual (litros)</t>
        </is>
      </c>
      <c r="B36" s="11" t="n">
        <v>0</v>
      </c>
      <c r="C36" s="11">
        <f>14000*$B$19</f>
        <v/>
      </c>
      <c r="D36" s="11">
        <f>23000*$B$19</f>
        <v/>
      </c>
      <c r="E36" s="11">
        <f>37000*$B$19</f>
        <v/>
      </c>
      <c r="F36" s="11">
        <f>59000*$B$19</f>
        <v/>
      </c>
      <c r="G36" s="11">
        <f>94000*$B$19</f>
        <v/>
      </c>
      <c r="H36" s="11">
        <f>150000*$B$19</f>
        <v/>
      </c>
      <c r="I36" s="11">
        <f>240000*$B$19</f>
        <v/>
      </c>
      <c r="J36" s="11">
        <f>380000*$B$19</f>
        <v/>
      </c>
      <c r="K36" s="11">
        <f>600000*$B$19</f>
        <v/>
      </c>
      <c r="L36" s="11">
        <f>950000*$B$19</f>
        <v/>
      </c>
    </row>
    <row r="37">
      <c r="A37" s="6" t="inlineStr">
        <is>
          <t>Precio de venta (Lps/litro)</t>
        </is>
      </c>
      <c r="B37" s="11" t="n">
        <v>0</v>
      </c>
      <c r="C37" s="11" t="n">
        <v>28</v>
      </c>
      <c r="D37" s="11" t="n">
        <v>29</v>
      </c>
      <c r="E37" s="11" t="n">
        <v>30</v>
      </c>
      <c r="F37" s="11" t="n">
        <v>31</v>
      </c>
      <c r="G37" s="11" t="n">
        <v>32</v>
      </c>
      <c r="H37" s="11" t="n">
        <v>33</v>
      </c>
      <c r="I37" s="11" t="n">
        <v>34</v>
      </c>
      <c r="J37" s="11" t="n">
        <v>35</v>
      </c>
      <c r="K37" s="11" t="n">
        <v>36</v>
      </c>
      <c r="L37" s="11" t="n">
        <v>37</v>
      </c>
    </row>
    <row r="38">
      <c r="A38" s="14" t="inlineStr">
        <is>
          <t>INGRESOS POR VENTAS</t>
        </is>
      </c>
      <c r="B38" s="15">
        <f>B36*B37</f>
        <v/>
      </c>
      <c r="C38" s="15">
        <f>C36*C37</f>
        <v/>
      </c>
      <c r="D38" s="15">
        <f>D36*D37</f>
        <v/>
      </c>
      <c r="E38" s="15">
        <f>E36*E37</f>
        <v/>
      </c>
      <c r="F38" s="15">
        <f>F36*F37</f>
        <v/>
      </c>
      <c r="G38" s="15">
        <f>G36*G37</f>
        <v/>
      </c>
      <c r="H38" s="15">
        <f>H36*H37</f>
        <v/>
      </c>
      <c r="I38" s="15">
        <f>I36*I37</f>
        <v/>
      </c>
      <c r="J38" s="15">
        <f>J36*J37</f>
        <v/>
      </c>
      <c r="K38" s="15">
        <f>K36*K37</f>
        <v/>
      </c>
      <c r="L38" s="15">
        <f>L36*L37</f>
        <v/>
      </c>
    </row>
    <row r="40">
      <c r="A40" s="3" t="inlineStr">
        <is>
          <t>3. COSTOS VARIABLES (según litros vendidos)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</row>
    <row r="41">
      <c r="A41" s="3" t="inlineStr">
        <is>
          <t>Concepto</t>
        </is>
      </c>
      <c r="B41" s="5" t="inlineStr">
        <is>
          <t>Año 0</t>
        </is>
      </c>
      <c r="C41" s="5" t="inlineStr">
        <is>
          <t>Año 1</t>
        </is>
      </c>
      <c r="D41" s="5" t="inlineStr">
        <is>
          <t>Año 2</t>
        </is>
      </c>
      <c r="E41" s="5" t="inlineStr">
        <is>
          <t>Año 3</t>
        </is>
      </c>
      <c r="F41" s="5" t="inlineStr">
        <is>
          <t>Año 4</t>
        </is>
      </c>
      <c r="G41" s="5" t="inlineStr">
        <is>
          <t>Año 5</t>
        </is>
      </c>
      <c r="H41" s="5" t="inlineStr">
        <is>
          <t>Año 6</t>
        </is>
      </c>
      <c r="I41" s="5" t="inlineStr">
        <is>
          <t>Año 7</t>
        </is>
      </c>
      <c r="J41" s="5" t="inlineStr">
        <is>
          <t>Año 8</t>
        </is>
      </c>
      <c r="K41" s="5" t="inlineStr">
        <is>
          <t>Año 9</t>
        </is>
      </c>
      <c r="L41" s="5" t="inlineStr">
        <is>
          <t>Año 10</t>
        </is>
      </c>
    </row>
    <row r="42">
      <c r="A42" s="6" t="inlineStr">
        <is>
          <t>Leche cruda (con merma)</t>
        </is>
      </c>
      <c r="B42" s="11" t="n">
        <v>0</v>
      </c>
      <c r="C42" s="11">
        <f>C36*$B$12/(1-$B$13)*(1+$B$10)^1</f>
        <v/>
      </c>
      <c r="D42" s="11">
        <f>D36*$B$12/(1-$B$13)*(1+$B$10)^2</f>
        <v/>
      </c>
      <c r="E42" s="11">
        <f>E36*$B$12/(1-$B$13)*(1+$B$10)^3</f>
        <v/>
      </c>
      <c r="F42" s="11">
        <f>F36*$B$12/(1-$B$13)*(1+$B$10)^4</f>
        <v/>
      </c>
      <c r="G42" s="11">
        <f>G36*$B$12/(1-$B$13)*(1+$B$10)^5</f>
        <v/>
      </c>
      <c r="H42" s="11">
        <f>H36*$B$12/(1-$B$13)*(1+$B$10)^6</f>
        <v/>
      </c>
      <c r="I42" s="11">
        <f>I36*$B$12/(1-$B$13)*(1+$B$10)^7</f>
        <v/>
      </c>
      <c r="J42" s="11">
        <f>J36*$B$12/(1-$B$13)*(1+$B$10)^8</f>
        <v/>
      </c>
      <c r="K42" s="11">
        <f>K36*$B$12/(1-$B$13)*(1+$B$10)^9</f>
        <v/>
      </c>
      <c r="L42" s="11">
        <f>L36*$B$12/(1-$B$13)*(1+$B$10)^10</f>
        <v/>
      </c>
    </row>
    <row r="43">
      <c r="A43" s="6" t="inlineStr">
        <is>
          <t>Empaque (bolsas)</t>
        </is>
      </c>
      <c r="B43" s="11" t="n">
        <v>0</v>
      </c>
      <c r="C43" s="11">
        <f>C36*$B$14*(1+$B$10)^1</f>
        <v/>
      </c>
      <c r="D43" s="11">
        <f>D36*$B$14*(1+$B$10)^2</f>
        <v/>
      </c>
      <c r="E43" s="11">
        <f>E36*$B$14*(1+$B$10)^3</f>
        <v/>
      </c>
      <c r="F43" s="11">
        <f>F36*$B$14*(1+$B$10)^4</f>
        <v/>
      </c>
      <c r="G43" s="11">
        <f>G36*$B$14*(1+$B$10)^5</f>
        <v/>
      </c>
      <c r="H43" s="11">
        <f>H36*$B$14*(1+$B$10)^6</f>
        <v/>
      </c>
      <c r="I43" s="11">
        <f>I36*$B$14*(1+$B$10)^7</f>
        <v/>
      </c>
      <c r="J43" s="11">
        <f>J36*$B$14*(1+$B$10)^8</f>
        <v/>
      </c>
      <c r="K43" s="11">
        <f>K36*$B$14*(1+$B$10)^9</f>
        <v/>
      </c>
      <c r="L43" s="11">
        <f>L36*$B$14*(1+$B$10)^10</f>
        <v/>
      </c>
    </row>
    <row r="44">
      <c r="A44" s="6" t="inlineStr">
        <is>
          <t>Combustible de reparto</t>
        </is>
      </c>
      <c r="B44" s="11" t="n">
        <v>0</v>
      </c>
      <c r="C44" s="11">
        <f>C36*$B$15*(1+$B$10)^1</f>
        <v/>
      </c>
      <c r="D44" s="11">
        <f>D36*$B$15*(1+$B$10)^2</f>
        <v/>
      </c>
      <c r="E44" s="11">
        <f>E36*$B$15*(1+$B$10)^3</f>
        <v/>
      </c>
      <c r="F44" s="11">
        <f>F36*$B$15*(1+$B$10)^4</f>
        <v/>
      </c>
      <c r="G44" s="11">
        <f>G36*$B$15*(1+$B$10)^5</f>
        <v/>
      </c>
      <c r="H44" s="11">
        <f>H36*$B$15*(1+$B$10)^6</f>
        <v/>
      </c>
      <c r="I44" s="11">
        <f>I36*$B$15*(1+$B$10)^7</f>
        <v/>
      </c>
      <c r="J44" s="11">
        <f>J36*$B$15*(1+$B$10)^8</f>
        <v/>
      </c>
      <c r="K44" s="11">
        <f>K36*$B$15*(1+$B$10)^9</f>
        <v/>
      </c>
      <c r="L44" s="11">
        <f>L36*$B$15*(1+$B$10)^10</f>
        <v/>
      </c>
    </row>
    <row r="45">
      <c r="A45" s="14" t="inlineStr">
        <is>
          <t>TOTAL COSTOS VARIABLES</t>
        </is>
      </c>
      <c r="B45" s="15">
        <f>SUM(B42:B44)</f>
        <v/>
      </c>
      <c r="C45" s="15">
        <f>SUM(C42:C44)</f>
        <v/>
      </c>
      <c r="D45" s="15">
        <f>SUM(D42:D44)</f>
        <v/>
      </c>
      <c r="E45" s="15">
        <f>SUM(E42:E44)</f>
        <v/>
      </c>
      <c r="F45" s="15">
        <f>SUM(F42:F44)</f>
        <v/>
      </c>
      <c r="G45" s="15">
        <f>SUM(G42:G44)</f>
        <v/>
      </c>
      <c r="H45" s="15">
        <f>SUM(H42:H44)</f>
        <v/>
      </c>
      <c r="I45" s="15">
        <f>SUM(I42:I44)</f>
        <v/>
      </c>
      <c r="J45" s="15">
        <f>SUM(J42:J44)</f>
        <v/>
      </c>
      <c r="K45" s="15">
        <f>SUM(K42:K44)</f>
        <v/>
      </c>
      <c r="L45" s="15">
        <f>SUM(L42:L44)</f>
        <v/>
      </c>
    </row>
    <row r="47">
      <c r="A47" s="3" t="inlineStr">
        <is>
          <t>4. COSTOS FIJOS (anuales)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</row>
    <row r="48">
      <c r="A48" s="3" t="inlineStr">
        <is>
          <t>Concepto</t>
        </is>
      </c>
      <c r="B48" s="5" t="inlineStr">
        <is>
          <t>Año 0</t>
        </is>
      </c>
      <c r="C48" s="5" t="inlineStr">
        <is>
          <t>Año 1</t>
        </is>
      </c>
      <c r="D48" s="5" t="inlineStr">
        <is>
          <t>Año 2</t>
        </is>
      </c>
      <c r="E48" s="5" t="inlineStr">
        <is>
          <t>Año 3</t>
        </is>
      </c>
      <c r="F48" s="5" t="inlineStr">
        <is>
          <t>Año 4</t>
        </is>
      </c>
      <c r="G48" s="5" t="inlineStr">
        <is>
          <t>Año 5</t>
        </is>
      </c>
      <c r="H48" s="5" t="inlineStr">
        <is>
          <t>Año 6</t>
        </is>
      </c>
      <c r="I48" s="5" t="inlineStr">
        <is>
          <t>Año 7</t>
        </is>
      </c>
      <c r="J48" s="5" t="inlineStr">
        <is>
          <t>Año 8</t>
        </is>
      </c>
      <c r="K48" s="5" t="inlineStr">
        <is>
          <t>Año 9</t>
        </is>
      </c>
      <c r="L48" s="5" t="inlineStr">
        <is>
          <t>Año 10</t>
        </is>
      </c>
    </row>
    <row r="49">
      <c r="A49" s="6" t="inlineStr">
        <is>
          <t>Costos fijos operativos (energía, agua, laboratorio, limpieza, mantenimiento, etc.)</t>
        </is>
      </c>
      <c r="B49" s="11" t="n">
        <v>0</v>
      </c>
      <c r="C49" s="11">
        <f>28000*12*(1+$B$10)^1</f>
        <v/>
      </c>
      <c r="D49" s="11">
        <f>28000*12*(1+$B$10)^2</f>
        <v/>
      </c>
      <c r="E49" s="11">
        <f>28000*12*(1+$B$10)^3</f>
        <v/>
      </c>
      <c r="F49" s="11">
        <f>28000*12*(1+$B$10)^4</f>
        <v/>
      </c>
      <c r="G49" s="11">
        <f>28000*12*(1+$B$10)^5</f>
        <v/>
      </c>
      <c r="H49" s="11">
        <f>28000*12*(1+$B$10)^6</f>
        <v/>
      </c>
      <c r="I49" s="11">
        <f>28000*12*(1+$B$10)^7</f>
        <v/>
      </c>
      <c r="J49" s="11">
        <f>28000*12*(1+$B$10)^8</f>
        <v/>
      </c>
      <c r="K49" s="11">
        <f>28000*12*(1+$B$10)^9</f>
        <v/>
      </c>
      <c r="L49" s="11">
        <f>28000*12*(1+$B$10)^10</f>
        <v/>
      </c>
    </row>
    <row r="50">
      <c r="A50" s="6" t="inlineStr">
        <is>
          <t>Gastos administrativos</t>
        </is>
      </c>
      <c r="B50" s="11" t="n">
        <v>0</v>
      </c>
      <c r="C50" s="11">
        <f>21600*12*(1+$B$10)^1</f>
        <v/>
      </c>
      <c r="D50" s="11">
        <f>21600*12*(1+$B$10)^2</f>
        <v/>
      </c>
      <c r="E50" s="11">
        <f>21600*12*(1+$B$10)^3</f>
        <v/>
      </c>
      <c r="F50" s="11">
        <f>21600*12*(1+$B$10)^4</f>
        <v/>
      </c>
      <c r="G50" s="11">
        <f>21600*12*(1+$B$10)^5</f>
        <v/>
      </c>
      <c r="H50" s="11">
        <f>21600*12*(1+$B$10)^6</f>
        <v/>
      </c>
      <c r="I50" s="11">
        <f>21600*12*(1+$B$10)^7</f>
        <v/>
      </c>
      <c r="J50" s="11">
        <f>21600*12*(1+$B$10)^8</f>
        <v/>
      </c>
      <c r="K50" s="11">
        <f>21600*12*(1+$B$10)^9</f>
        <v/>
      </c>
      <c r="L50" s="11">
        <f>21600*12*(1+$B$10)^10</f>
        <v/>
      </c>
    </row>
    <row r="51">
      <c r="A51" s="6" t="inlineStr">
        <is>
          <t>Personal (sueldos + aguinaldo + catorceavo + cargas patronales)</t>
        </is>
      </c>
      <c r="B51" s="11" t="n">
        <v>0</v>
      </c>
      <c r="C51" s="11">
        <f>($B$16*$B$17+$B$16*12*$B$18)*(1+$B$10)^1</f>
        <v/>
      </c>
      <c r="D51" s="11">
        <f>($B$16*$B$17+$B$16*12*$B$18)*(1+$B$10)^2</f>
        <v/>
      </c>
      <c r="E51" s="11">
        <f>($B$16*$B$17+$B$16*12*$B$18)*(1+$B$10)^3</f>
        <v/>
      </c>
      <c r="F51" s="11">
        <f>($B$16*$B$17+$B$16*12*$B$18)*(1+$B$10)^4</f>
        <v/>
      </c>
      <c r="G51" s="11">
        <f>($B$16*$B$17+$B$16*12*$B$18)*(1+$B$10)^5</f>
        <v/>
      </c>
      <c r="H51" s="11">
        <f>($B$16*$B$17+$B$16*12*$B$18)*(1+$B$10)^6</f>
        <v/>
      </c>
      <c r="I51" s="11">
        <f>($B$16*$B$17+$B$16*12*$B$18)*(1+$B$10)^7</f>
        <v/>
      </c>
      <c r="J51" s="11">
        <f>($B$16*$B$17+$B$16*12*$B$18)*(1+$B$10)^8</f>
        <v/>
      </c>
      <c r="K51" s="11">
        <f>($B$16*$B$17+$B$16*12*$B$18)*(1+$B$10)^9</f>
        <v/>
      </c>
      <c r="L51" s="11">
        <f>($B$16*$B$17+$B$16*12*$B$18)*(1+$B$10)^10</f>
        <v/>
      </c>
    </row>
    <row r="52">
      <c r="A52" s="14" t="inlineStr">
        <is>
          <t>TOTAL COSTOS FIJOS</t>
        </is>
      </c>
      <c r="B52" s="15">
        <f>SUM(B49:B51)</f>
        <v/>
      </c>
      <c r="C52" s="15">
        <f>SUM(C49:C51)</f>
        <v/>
      </c>
      <c r="D52" s="15">
        <f>SUM(D49:D51)</f>
        <v/>
      </c>
      <c r="E52" s="15">
        <f>SUM(E49:E51)</f>
        <v/>
      </c>
      <c r="F52" s="15">
        <f>SUM(F49:F51)</f>
        <v/>
      </c>
      <c r="G52" s="15">
        <f>SUM(G49:G51)</f>
        <v/>
      </c>
      <c r="H52" s="15">
        <f>SUM(H49:H51)</f>
        <v/>
      </c>
      <c r="I52" s="15">
        <f>SUM(I49:I51)</f>
        <v/>
      </c>
      <c r="J52" s="15">
        <f>SUM(J49:J51)</f>
        <v/>
      </c>
      <c r="K52" s="15">
        <f>SUM(K49:K51)</f>
        <v/>
      </c>
      <c r="L52" s="15">
        <f>SUM(L49:L51)</f>
        <v/>
      </c>
    </row>
    <row r="54">
      <c r="A54" s="3" t="inlineStr">
        <is>
          <t>5. DEPRECIACIONES Y AMORTIZACIONES (método lineal)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</row>
    <row r="55">
      <c r="A55" s="3" t="inlineStr">
        <is>
          <t>Activo</t>
        </is>
      </c>
      <c r="B55" s="5" t="inlineStr">
        <is>
          <t>Valor</t>
        </is>
      </c>
      <c r="C55" s="5" t="inlineStr">
        <is>
          <t>Año 1</t>
        </is>
      </c>
      <c r="D55" s="5" t="inlineStr">
        <is>
          <t>Año 2</t>
        </is>
      </c>
      <c r="E55" s="5" t="inlineStr">
        <is>
          <t>Año 3</t>
        </is>
      </c>
      <c r="F55" s="5" t="inlineStr">
        <is>
          <t>Año 4</t>
        </is>
      </c>
      <c r="G55" s="5" t="inlineStr">
        <is>
          <t>Año 5</t>
        </is>
      </c>
      <c r="H55" s="5" t="inlineStr">
        <is>
          <t>Año 6</t>
        </is>
      </c>
      <c r="I55" s="5" t="inlineStr">
        <is>
          <t>Año 7</t>
        </is>
      </c>
      <c r="J55" s="5" t="inlineStr">
        <is>
          <t>Año 8</t>
        </is>
      </c>
      <c r="K55" s="5" t="inlineStr">
        <is>
          <t>Año 9</t>
        </is>
      </c>
      <c r="L55" s="5" t="inlineStr">
        <is>
          <t>Año 10</t>
        </is>
      </c>
    </row>
    <row r="56">
      <c r="A56" s="6" t="inlineStr">
        <is>
          <t>Tanques de almacenamiento (10 años)</t>
        </is>
      </c>
      <c r="B56" s="11" t="n">
        <v>360000</v>
      </c>
      <c r="C56" s="11">
        <f>$B56/10</f>
        <v/>
      </c>
      <c r="D56" s="11">
        <f>$B56/10</f>
        <v/>
      </c>
      <c r="E56" s="11">
        <f>$B56/10</f>
        <v/>
      </c>
      <c r="F56" s="11">
        <f>$B56/10</f>
        <v/>
      </c>
      <c r="G56" s="11">
        <f>$B56/10</f>
        <v/>
      </c>
      <c r="H56" s="11">
        <f>$B56/10</f>
        <v/>
      </c>
      <c r="I56" s="11">
        <f>$B56/10</f>
        <v/>
      </c>
      <c r="J56" s="11">
        <f>$B56/10</f>
        <v/>
      </c>
      <c r="K56" s="11">
        <f>$B56/10</f>
        <v/>
      </c>
      <c r="L56" s="11">
        <f>$B56/10</f>
        <v/>
      </c>
    </row>
    <row r="57">
      <c r="A57" s="6" t="inlineStr">
        <is>
          <t>Pasteurizador HTST (10 años)</t>
        </is>
      </c>
      <c r="B57" s="11" t="n">
        <v>150000</v>
      </c>
      <c r="C57" s="11">
        <f>$B57/10</f>
        <v/>
      </c>
      <c r="D57" s="11">
        <f>$B57/10</f>
        <v/>
      </c>
      <c r="E57" s="11">
        <f>$B57/10</f>
        <v/>
      </c>
      <c r="F57" s="11">
        <f>$B57/10</f>
        <v/>
      </c>
      <c r="G57" s="11">
        <f>$B57/10</f>
        <v/>
      </c>
      <c r="H57" s="11">
        <f>$B57/10</f>
        <v/>
      </c>
      <c r="I57" s="11">
        <f>$B57/10</f>
        <v/>
      </c>
      <c r="J57" s="11">
        <f>$B57/10</f>
        <v/>
      </c>
      <c r="K57" s="11">
        <f>$B57/10</f>
        <v/>
      </c>
      <c r="L57" s="11">
        <f>$B57/10</f>
        <v/>
      </c>
    </row>
    <row r="58">
      <c r="A58" s="6" t="inlineStr">
        <is>
          <t>Envasadora automática (10 años)</t>
        </is>
      </c>
      <c r="B58" s="11" t="n">
        <v>260000</v>
      </c>
      <c r="C58" s="11">
        <f>$B58/10</f>
        <v/>
      </c>
      <c r="D58" s="11">
        <f>$B58/10</f>
        <v/>
      </c>
      <c r="E58" s="11">
        <f>$B58/10</f>
        <v/>
      </c>
      <c r="F58" s="11">
        <f>$B58/10</f>
        <v/>
      </c>
      <c r="G58" s="11">
        <f>$B58/10</f>
        <v/>
      </c>
      <c r="H58" s="11">
        <f>$B58/10</f>
        <v/>
      </c>
      <c r="I58" s="11">
        <f>$B58/10</f>
        <v/>
      </c>
      <c r="J58" s="11">
        <f>$B58/10</f>
        <v/>
      </c>
      <c r="K58" s="11">
        <f>$B58/10</f>
        <v/>
      </c>
      <c r="L58" s="11">
        <f>$B58/10</f>
        <v/>
      </c>
    </row>
    <row r="59">
      <c r="A59" s="6" t="inlineStr">
        <is>
          <t>Sistema de enfriamiento (10 años)</t>
        </is>
      </c>
      <c r="B59" s="11" t="n">
        <v>125000</v>
      </c>
      <c r="C59" s="11">
        <f>$B59/10</f>
        <v/>
      </c>
      <c r="D59" s="11">
        <f>$B59/10</f>
        <v/>
      </c>
      <c r="E59" s="11">
        <f>$B59/10</f>
        <v/>
      </c>
      <c r="F59" s="11">
        <f>$B59/10</f>
        <v/>
      </c>
      <c r="G59" s="11">
        <f>$B59/10</f>
        <v/>
      </c>
      <c r="H59" s="11">
        <f>$B59/10</f>
        <v/>
      </c>
      <c r="I59" s="11">
        <f>$B59/10</f>
        <v/>
      </c>
      <c r="J59" s="11">
        <f>$B59/10</f>
        <v/>
      </c>
      <c r="K59" s="11">
        <f>$B59/10</f>
        <v/>
      </c>
      <c r="L59" s="11">
        <f>$B59/10</f>
        <v/>
      </c>
    </row>
    <row r="60">
      <c r="A60" s="6" t="inlineStr">
        <is>
          <t>Camión de distribución (5 años)</t>
        </is>
      </c>
      <c r="B60" s="11" t="n">
        <v>500000</v>
      </c>
      <c r="C60" s="11">
        <f>$B60/5</f>
        <v/>
      </c>
      <c r="D60" s="11">
        <f>$B60/5</f>
        <v/>
      </c>
      <c r="E60" s="11">
        <f>$B60/5</f>
        <v/>
      </c>
      <c r="F60" s="11">
        <f>$B60/5</f>
        <v/>
      </c>
      <c r="G60" s="11">
        <f>$B60/5</f>
        <v/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</row>
    <row r="61">
      <c r="A61" s="6" t="inlineStr">
        <is>
          <t>Amortización de diferidos (5 años)</t>
        </is>
      </c>
      <c r="B61" s="11" t="n">
        <v>76000</v>
      </c>
      <c r="C61" s="11">
        <f>$B61/5</f>
        <v/>
      </c>
      <c r="D61" s="11">
        <f>$B61/5</f>
        <v/>
      </c>
      <c r="E61" s="11">
        <f>$B61/5</f>
        <v/>
      </c>
      <c r="F61" s="11">
        <f>$B61/5</f>
        <v/>
      </c>
      <c r="G61" s="11">
        <f>$B61/5</f>
        <v/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0</v>
      </c>
    </row>
    <row r="62">
      <c r="A62" s="14" t="inlineStr">
        <is>
          <t>TOTAL DEPRECIACIÓN Y AMORTIZACIÓN</t>
        </is>
      </c>
      <c r="B62" s="17" t="inlineStr"/>
      <c r="C62" s="15">
        <f>SUM(C56:C61)</f>
        <v/>
      </c>
      <c r="D62" s="15">
        <f>SUM(D56:D61)</f>
        <v/>
      </c>
      <c r="E62" s="15">
        <f>SUM(E56:E61)</f>
        <v/>
      </c>
      <c r="F62" s="15">
        <f>SUM(F56:F61)</f>
        <v/>
      </c>
      <c r="G62" s="15">
        <f>SUM(G56:G61)</f>
        <v/>
      </c>
      <c r="H62" s="15">
        <f>SUM(H56:H61)</f>
        <v/>
      </c>
      <c r="I62" s="15">
        <f>SUM(I56:I61)</f>
        <v/>
      </c>
      <c r="J62" s="15">
        <f>SUM(J56:J61)</f>
        <v/>
      </c>
      <c r="K62" s="15">
        <f>SUM(K56:K61)</f>
        <v/>
      </c>
      <c r="L62" s="15">
        <f>SUM(L56:L61)</f>
        <v/>
      </c>
    </row>
    <row r="64">
      <c r="A64" s="3" t="inlineStr">
        <is>
          <t>6. VALOR DE DESECHO Y CAPITAL DE TRABAJO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</row>
    <row r="65">
      <c r="A65" s="3" t="inlineStr">
        <is>
          <t>Concepto</t>
        </is>
      </c>
      <c r="B65" s="5" t="inlineStr">
        <is>
          <t>Año 0</t>
        </is>
      </c>
      <c r="C65" s="5" t="inlineStr">
        <is>
          <t>Año 1</t>
        </is>
      </c>
      <c r="D65" s="5" t="inlineStr">
        <is>
          <t>Año 2</t>
        </is>
      </c>
      <c r="E65" s="5" t="inlineStr">
        <is>
          <t>Año 3</t>
        </is>
      </c>
      <c r="F65" s="5" t="inlineStr">
        <is>
          <t>Año 4</t>
        </is>
      </c>
      <c r="G65" s="5" t="inlineStr">
        <is>
          <t>Año 5</t>
        </is>
      </c>
      <c r="H65" s="5" t="inlineStr">
        <is>
          <t>Año 6</t>
        </is>
      </c>
      <c r="I65" s="5" t="inlineStr">
        <is>
          <t>Año 7</t>
        </is>
      </c>
      <c r="J65" s="5" t="inlineStr">
        <is>
          <t>Año 8</t>
        </is>
      </c>
      <c r="K65" s="5" t="inlineStr">
        <is>
          <t>Año 9</t>
        </is>
      </c>
      <c r="L65" s="5" t="inlineStr">
        <is>
          <t>Año 10</t>
        </is>
      </c>
    </row>
    <row r="66">
      <c r="A66" s="6" t="inlineStr">
        <is>
          <t>Valor de desecho de activos (Año 10)</t>
        </is>
      </c>
      <c r="B66" s="11" t="n">
        <v>0</v>
      </c>
      <c r="C66" s="11" t="n">
        <v>0</v>
      </c>
      <c r="D66" s="11" t="n">
        <v>0</v>
      </c>
      <c r="E66" s="11" t="n">
        <v>0</v>
      </c>
      <c r="F66" s="11" t="n">
        <v>0</v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</row>
    <row r="67">
      <c r="A67" s="6" t="inlineStr">
        <is>
          <t>Capital de trabajo requerido (saldo)</t>
        </is>
      </c>
      <c r="B67" s="11">
        <f>(C45+C52)*$B$20/12</f>
        <v/>
      </c>
      <c r="C67" s="11">
        <f>(C45+C52)*$B$20/12</f>
        <v/>
      </c>
      <c r="D67" s="11">
        <f>(D45+D52)*$B$20/12</f>
        <v/>
      </c>
      <c r="E67" s="11">
        <f>(E45+E52)*$B$20/12</f>
        <v/>
      </c>
      <c r="F67" s="11">
        <f>(F45+F52)*$B$20/12</f>
        <v/>
      </c>
      <c r="G67" s="11">
        <f>(G45+G52)*$B$20/12</f>
        <v/>
      </c>
      <c r="H67" s="11">
        <f>(H45+H52)*$B$20/12</f>
        <v/>
      </c>
      <c r="I67" s="11">
        <f>(I45+I52)*$B$20/12</f>
        <v/>
      </c>
      <c r="J67" s="11">
        <f>(J45+J52)*$B$20/12</f>
        <v/>
      </c>
      <c r="K67" s="11">
        <f>(K45+K52)*$B$20/12</f>
        <v/>
      </c>
      <c r="L67" s="11">
        <f>(L45+L52)*$B$20/12</f>
        <v/>
      </c>
    </row>
    <row r="68">
      <c r="A68" s="6" t="inlineStr">
        <is>
          <t>Inversión en capital de trabajo (incremento)</t>
        </is>
      </c>
      <c r="B68" s="11">
        <f>B67</f>
        <v/>
      </c>
      <c r="C68" s="11">
        <f>C67-B67</f>
        <v/>
      </c>
      <c r="D68" s="11">
        <f>D67-C67</f>
        <v/>
      </c>
      <c r="E68" s="11">
        <f>E67-D67</f>
        <v/>
      </c>
      <c r="F68" s="11">
        <f>F67-E67</f>
        <v/>
      </c>
      <c r="G68" s="11">
        <f>G67-F67</f>
        <v/>
      </c>
      <c r="H68" s="11">
        <f>H67-G67</f>
        <v/>
      </c>
      <c r="I68" s="11">
        <f>I67-H67</f>
        <v/>
      </c>
      <c r="J68" s="11">
        <f>J67-I67</f>
        <v/>
      </c>
      <c r="K68" s="11">
        <f>K67-J67</f>
        <v/>
      </c>
      <c r="L68" s="11">
        <f>L67-K67</f>
        <v/>
      </c>
    </row>
    <row r="69">
      <c r="A69" s="6" t="inlineStr">
        <is>
          <t>Recuperación capital de trabajo (Año 10)</t>
        </is>
      </c>
      <c r="B69" s="11" t="n">
        <v>0</v>
      </c>
      <c r="C69" s="11" t="n">
        <v>0</v>
      </c>
      <c r="D69" s="11" t="n">
        <v>0</v>
      </c>
      <c r="E69" s="11" t="n">
        <v>0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>
        <f>L67</f>
        <v/>
      </c>
    </row>
    <row r="71">
      <c r="A71" s="3" t="inlineStr">
        <is>
          <t>7. TABLA DE AMORTIZACIÓN DEL PRÉSTAMO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</row>
    <row r="72">
      <c r="A72" s="3" t="inlineStr">
        <is>
          <t>Concepto</t>
        </is>
      </c>
      <c r="B72" s="5" t="inlineStr">
        <is>
          <t>Año 0</t>
        </is>
      </c>
      <c r="C72" s="5" t="inlineStr">
        <is>
          <t>Año 1</t>
        </is>
      </c>
      <c r="D72" s="5" t="inlineStr">
        <is>
          <t>Año 2</t>
        </is>
      </c>
      <c r="E72" s="5" t="inlineStr">
        <is>
          <t>Año 3</t>
        </is>
      </c>
      <c r="F72" s="5" t="inlineStr">
        <is>
          <t>Año 4</t>
        </is>
      </c>
      <c r="G72" s="5" t="inlineStr">
        <is>
          <t>Año 5</t>
        </is>
      </c>
      <c r="H72" s="5" t="inlineStr">
        <is>
          <t>Año 6</t>
        </is>
      </c>
      <c r="I72" s="5" t="inlineStr">
        <is>
          <t>Año 7</t>
        </is>
      </c>
      <c r="J72" s="5" t="inlineStr">
        <is>
          <t>Año 8</t>
        </is>
      </c>
      <c r="K72" s="5" t="inlineStr">
        <is>
          <t>Año 9</t>
        </is>
      </c>
      <c r="L72" s="5" t="inlineStr">
        <is>
          <t>Año 10</t>
        </is>
      </c>
    </row>
    <row r="73">
      <c r="A73" s="6" t="inlineStr">
        <is>
          <t>Saldo inicial</t>
        </is>
      </c>
      <c r="B73" s="11" t="n">
        <v>0</v>
      </c>
      <c r="C73" s="11">
        <f>D31</f>
        <v/>
      </c>
      <c r="D73" s="11">
        <f>C77</f>
        <v/>
      </c>
      <c r="E73" s="11">
        <f>D77</f>
        <v/>
      </c>
      <c r="F73" s="11">
        <f>E77</f>
        <v/>
      </c>
      <c r="G73" s="11">
        <f>F77</f>
        <v/>
      </c>
      <c r="H73" s="11">
        <f>G77</f>
        <v/>
      </c>
      <c r="I73" s="11">
        <f>H77</f>
        <v/>
      </c>
      <c r="J73" s="11">
        <f>I77</f>
        <v/>
      </c>
      <c r="K73" s="11">
        <f>J77</f>
        <v/>
      </c>
      <c r="L73" s="11">
        <f>K77</f>
        <v/>
      </c>
    </row>
    <row r="74">
      <c r="A74" s="6" t="inlineStr">
        <is>
          <t>Abono a capital</t>
        </is>
      </c>
      <c r="B74" s="11" t="n">
        <v>0</v>
      </c>
      <c r="C74" s="11">
        <f>MIN(C76-C75,C73)</f>
        <v/>
      </c>
      <c r="D74" s="11">
        <f>MIN(D76-D75,D73)</f>
        <v/>
      </c>
      <c r="E74" s="11">
        <f>MIN(E76-E75,E73)</f>
        <v/>
      </c>
      <c r="F74" s="11">
        <f>MIN(F76-F75,F73)</f>
        <v/>
      </c>
      <c r="G74" s="11">
        <f>MIN(G76-G75,G73)</f>
        <v/>
      </c>
      <c r="H74" s="11">
        <f>MIN(H76-H75,H73)</f>
        <v/>
      </c>
      <c r="I74" s="11">
        <f>MIN(I76-I75,I73)</f>
        <v/>
      </c>
      <c r="J74" s="11">
        <f>MIN(J76-J75,J73)</f>
        <v/>
      </c>
      <c r="K74" s="11">
        <f>MIN(K76-K75,K73)</f>
        <v/>
      </c>
      <c r="L74" s="11">
        <f>MIN(L76-L75,L73)</f>
        <v/>
      </c>
    </row>
    <row r="75">
      <c r="A75" s="6" t="inlineStr">
        <is>
          <t>Intereses</t>
        </is>
      </c>
      <c r="B75" s="11" t="n">
        <v>0</v>
      </c>
      <c r="C75" s="11">
        <f>C73*$B$8</f>
        <v/>
      </c>
      <c r="D75" s="11">
        <f>D73*$B$8</f>
        <v/>
      </c>
      <c r="E75" s="11">
        <f>E73*$B$8</f>
        <v/>
      </c>
      <c r="F75" s="11">
        <f>F73*$B$8</f>
        <v/>
      </c>
      <c r="G75" s="11">
        <f>G73*$B$8</f>
        <v/>
      </c>
      <c r="H75" s="11">
        <f>H73*$B$8</f>
        <v/>
      </c>
      <c r="I75" s="11">
        <f>I73*$B$8</f>
        <v/>
      </c>
      <c r="J75" s="11">
        <f>J73*$B$8</f>
        <v/>
      </c>
      <c r="K75" s="11">
        <f>K73*$B$8</f>
        <v/>
      </c>
      <c r="L75" s="11">
        <f>L73*$B$8</f>
        <v/>
      </c>
    </row>
    <row r="76">
      <c r="A76" s="6" t="inlineStr">
        <is>
          <t>Cuota total</t>
        </is>
      </c>
      <c r="B76" s="11" t="n">
        <v>0</v>
      </c>
      <c r="C76" s="11">
        <f>IF(C73&gt;0,D31*$B$8/(1-(1+$B$8)^-5),0)</f>
        <v/>
      </c>
      <c r="D76" s="11">
        <f>IF(D73&gt;0,D31*$B$8/(1-(1+$B$8)^-5),0)</f>
        <v/>
      </c>
      <c r="E76" s="11">
        <f>IF(E73&gt;0,D31*$B$8/(1-(1+$B$8)^-5),0)</f>
        <v/>
      </c>
      <c r="F76" s="11">
        <f>IF(F73&gt;0,D31*$B$8/(1-(1+$B$8)^-5),0)</f>
        <v/>
      </c>
      <c r="G76" s="11">
        <f>IF(G73&gt;0,D31*$B$8/(1-(1+$B$8)^-5),0)</f>
        <v/>
      </c>
      <c r="H76" s="11">
        <f>IF(H73&gt;0,D31*$B$8/(1-(1+$B$8)^-5),0)</f>
        <v/>
      </c>
      <c r="I76" s="11">
        <f>IF(I73&gt;0,D31*$B$8/(1-(1+$B$8)^-5),0)</f>
        <v/>
      </c>
      <c r="J76" s="11">
        <f>IF(J73&gt;0,D31*$B$8/(1-(1+$B$8)^-5),0)</f>
        <v/>
      </c>
      <c r="K76" s="11">
        <f>IF(K73&gt;0,D31*$B$8/(1-(1+$B$8)^-5),0)</f>
        <v/>
      </c>
      <c r="L76" s="11">
        <f>IF(L73&gt;0,D31*$B$8/(1-(1+$B$8)^-5),0)</f>
        <v/>
      </c>
    </row>
    <row r="77">
      <c r="A77" s="6" t="inlineStr">
        <is>
          <t>Saldo final</t>
        </is>
      </c>
      <c r="B77" s="11" t="n">
        <v>0</v>
      </c>
      <c r="C77" s="11">
        <f>C73-C74</f>
        <v/>
      </c>
      <c r="D77" s="11">
        <f>D73-D74</f>
        <v/>
      </c>
      <c r="E77" s="11">
        <f>E73-E74</f>
        <v/>
      </c>
      <c r="F77" s="11">
        <f>F73-F74</f>
        <v/>
      </c>
      <c r="G77" s="11">
        <f>G73-G74</f>
        <v/>
      </c>
      <c r="H77" s="11">
        <f>H73-H74</f>
        <v/>
      </c>
      <c r="I77" s="11">
        <f>I73-I74</f>
        <v/>
      </c>
      <c r="J77" s="11">
        <f>J73-J74</f>
        <v/>
      </c>
      <c r="K77" s="11">
        <f>K73-K74</f>
        <v/>
      </c>
      <c r="L77" s="11">
        <f>L73-L74</f>
        <v/>
      </c>
    </row>
    <row r="79">
      <c r="A79" s="3" t="inlineStr">
        <is>
          <t>8. FLUJO DE CAJA DEL PROYECTO (SIN FINANCIAMIENTO)</t>
        </is>
      </c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</row>
    <row r="80">
      <c r="A80" s="3" t="inlineStr">
        <is>
          <t>Concepto</t>
        </is>
      </c>
      <c r="B80" s="5" t="inlineStr">
        <is>
          <t>Año 0</t>
        </is>
      </c>
      <c r="C80" s="5" t="inlineStr">
        <is>
          <t>Año 1</t>
        </is>
      </c>
      <c r="D80" s="5" t="inlineStr">
        <is>
          <t>Año 2</t>
        </is>
      </c>
      <c r="E80" s="5" t="inlineStr">
        <is>
          <t>Año 3</t>
        </is>
      </c>
      <c r="F80" s="5" t="inlineStr">
        <is>
          <t>Año 4</t>
        </is>
      </c>
      <c r="G80" s="5" t="inlineStr">
        <is>
          <t>Año 5</t>
        </is>
      </c>
      <c r="H80" s="5" t="inlineStr">
        <is>
          <t>Año 6</t>
        </is>
      </c>
      <c r="I80" s="5" t="inlineStr">
        <is>
          <t>Año 7</t>
        </is>
      </c>
      <c r="J80" s="5" t="inlineStr">
        <is>
          <t>Año 8</t>
        </is>
      </c>
      <c r="K80" s="5" t="inlineStr">
        <is>
          <t>Año 9</t>
        </is>
      </c>
      <c r="L80" s="5" t="inlineStr">
        <is>
          <t>Año 10</t>
        </is>
      </c>
    </row>
    <row r="81">
      <c r="A81" s="6" t="inlineStr">
        <is>
          <t>+ Ingreso por ventas</t>
        </is>
      </c>
      <c r="B81" s="11">
        <f>B38</f>
        <v/>
      </c>
      <c r="C81" s="11">
        <f>C38</f>
        <v/>
      </c>
      <c r="D81" s="11">
        <f>D38</f>
        <v/>
      </c>
      <c r="E81" s="11">
        <f>E38</f>
        <v/>
      </c>
      <c r="F81" s="11">
        <f>F38</f>
        <v/>
      </c>
      <c r="G81" s="11">
        <f>G38</f>
        <v/>
      </c>
      <c r="H81" s="11">
        <f>H38</f>
        <v/>
      </c>
      <c r="I81" s="11">
        <f>I38</f>
        <v/>
      </c>
      <c r="J81" s="11">
        <f>J38</f>
        <v/>
      </c>
      <c r="K81" s="11">
        <f>K38</f>
        <v/>
      </c>
      <c r="L81" s="11">
        <f>L38</f>
        <v/>
      </c>
    </row>
    <row r="82">
      <c r="A82" s="6" t="inlineStr">
        <is>
          <t>- Costos variables</t>
        </is>
      </c>
      <c r="B82" s="11">
        <f>B45</f>
        <v/>
      </c>
      <c r="C82" s="11">
        <f>C45</f>
        <v/>
      </c>
      <c r="D82" s="11">
        <f>D45</f>
        <v/>
      </c>
      <c r="E82" s="11">
        <f>E45</f>
        <v/>
      </c>
      <c r="F82" s="11">
        <f>F45</f>
        <v/>
      </c>
      <c r="G82" s="11">
        <f>G45</f>
        <v/>
      </c>
      <c r="H82" s="11">
        <f>H45</f>
        <v/>
      </c>
      <c r="I82" s="11">
        <f>I45</f>
        <v/>
      </c>
      <c r="J82" s="11">
        <f>J45</f>
        <v/>
      </c>
      <c r="K82" s="11">
        <f>K45</f>
        <v/>
      </c>
      <c r="L82" s="11">
        <f>L45</f>
        <v/>
      </c>
    </row>
    <row r="83">
      <c r="A83" s="6" t="inlineStr">
        <is>
          <t>- Costos fijos</t>
        </is>
      </c>
      <c r="B83" s="11">
        <f>B52</f>
        <v/>
      </c>
      <c r="C83" s="11">
        <f>C52</f>
        <v/>
      </c>
      <c r="D83" s="11">
        <f>D52</f>
        <v/>
      </c>
      <c r="E83" s="11">
        <f>E52</f>
        <v/>
      </c>
      <c r="F83" s="11">
        <f>F52</f>
        <v/>
      </c>
      <c r="G83" s="11">
        <f>G52</f>
        <v/>
      </c>
      <c r="H83" s="11">
        <f>H52</f>
        <v/>
      </c>
      <c r="I83" s="11">
        <f>I52</f>
        <v/>
      </c>
      <c r="J83" s="11">
        <f>J52</f>
        <v/>
      </c>
      <c r="K83" s="11">
        <f>K52</f>
        <v/>
      </c>
      <c r="L83" s="11">
        <f>L52</f>
        <v/>
      </c>
    </row>
    <row r="84">
      <c r="A84" s="6" t="inlineStr">
        <is>
          <t>- Depreciación y amortización</t>
        </is>
      </c>
      <c r="B84" s="11" t="n">
        <v>0</v>
      </c>
      <c r="C84" s="11">
        <f>C62</f>
        <v/>
      </c>
      <c r="D84" s="11">
        <f>D62</f>
        <v/>
      </c>
      <c r="E84" s="11">
        <f>E62</f>
        <v/>
      </c>
      <c r="F84" s="11">
        <f>F62</f>
        <v/>
      </c>
      <c r="G84" s="11">
        <f>G62</f>
        <v/>
      </c>
      <c r="H84" s="11">
        <f>H62</f>
        <v/>
      </c>
      <c r="I84" s="11">
        <f>I62</f>
        <v/>
      </c>
      <c r="J84" s="11">
        <f>J62</f>
        <v/>
      </c>
      <c r="K84" s="11">
        <f>K62</f>
        <v/>
      </c>
      <c r="L84" s="11">
        <f>L62</f>
        <v/>
      </c>
    </row>
    <row r="85">
      <c r="A85" s="14">
        <f> Utilidad antes de impuestos</f>
        <v/>
      </c>
      <c r="B85" s="15">
        <f>B81-B82-B83-B84</f>
        <v/>
      </c>
      <c r="C85" s="15">
        <f>C81-C82-C83-C84</f>
        <v/>
      </c>
      <c r="D85" s="15">
        <f>D81-D82-D83-D84</f>
        <v/>
      </c>
      <c r="E85" s="15">
        <f>E81-E82-E83-E84</f>
        <v/>
      </c>
      <c r="F85" s="15">
        <f>F81-F82-F83-F84</f>
        <v/>
      </c>
      <c r="G85" s="15">
        <f>G81-G82-G83-G84</f>
        <v/>
      </c>
      <c r="H85" s="15">
        <f>H81-H82-H83-H84</f>
        <v/>
      </c>
      <c r="I85" s="15">
        <f>I81-I82-I83-I84</f>
        <v/>
      </c>
      <c r="J85" s="15">
        <f>J81-J82-J83-J84</f>
        <v/>
      </c>
      <c r="K85" s="15">
        <f>K81-K82-K83-K84</f>
        <v/>
      </c>
      <c r="L85" s="15">
        <f>L81-L82-L83-L84</f>
        <v/>
      </c>
    </row>
    <row r="86">
      <c r="A86" s="6" t="inlineStr">
        <is>
          <t>- Impuesto sobre la renta</t>
        </is>
      </c>
      <c r="B86" s="11">
        <f>IF(B85&gt;0,$B$6*B85+$B$7*MAX(0,B85-1000000),0)</f>
        <v/>
      </c>
      <c r="C86" s="11">
        <f>IF(C85&gt;0,$B$6*C85+$B$7*MAX(0,C85-1000000),0)</f>
        <v/>
      </c>
      <c r="D86" s="11">
        <f>IF(D85&gt;0,$B$6*D85+$B$7*MAX(0,D85-1000000),0)</f>
        <v/>
      </c>
      <c r="E86" s="11">
        <f>IF(E85&gt;0,$B$6*E85+$B$7*MAX(0,E85-1000000),0)</f>
        <v/>
      </c>
      <c r="F86" s="11">
        <f>IF(F85&gt;0,$B$6*F85+$B$7*MAX(0,F85-1000000),0)</f>
        <v/>
      </c>
      <c r="G86" s="11">
        <f>IF(G85&gt;0,$B$6*G85+$B$7*MAX(0,G85-1000000),0)</f>
        <v/>
      </c>
      <c r="H86" s="11">
        <f>IF(H85&gt;0,$B$6*H85+$B$7*MAX(0,H85-1000000),0)</f>
        <v/>
      </c>
      <c r="I86" s="11">
        <f>IF(I85&gt;0,$B$6*I85+$B$7*MAX(0,I85-1000000),0)</f>
        <v/>
      </c>
      <c r="J86" s="11">
        <f>IF(J85&gt;0,$B$6*J85+$B$7*MAX(0,J85-1000000),0)</f>
        <v/>
      </c>
      <c r="K86" s="11">
        <f>IF(K85&gt;0,$B$6*K85+$B$7*MAX(0,K85-1000000),0)</f>
        <v/>
      </c>
      <c r="L86" s="11">
        <f>IF(L85&gt;0,$B$6*L85+$B$7*MAX(0,L85-1000000),0)</f>
        <v/>
      </c>
    </row>
    <row r="87">
      <c r="A87" s="14">
        <f> Utilidad después de impuestos</f>
        <v/>
      </c>
      <c r="B87" s="15">
        <f>B85-B86</f>
        <v/>
      </c>
      <c r="C87" s="15">
        <f>C85-C86</f>
        <v/>
      </c>
      <c r="D87" s="15">
        <f>D85-D86</f>
        <v/>
      </c>
      <c r="E87" s="15">
        <f>E85-E86</f>
        <v/>
      </c>
      <c r="F87" s="15">
        <f>F85-F86</f>
        <v/>
      </c>
      <c r="G87" s="15">
        <f>G85-G86</f>
        <v/>
      </c>
      <c r="H87" s="15">
        <f>H85-H86</f>
        <v/>
      </c>
      <c r="I87" s="15">
        <f>I85-I86</f>
        <v/>
      </c>
      <c r="J87" s="15">
        <f>J85-J86</f>
        <v/>
      </c>
      <c r="K87" s="15">
        <f>K85-K86</f>
        <v/>
      </c>
      <c r="L87" s="15">
        <f>L85-L86</f>
        <v/>
      </c>
    </row>
    <row r="88">
      <c r="A88" s="6" t="inlineStr">
        <is>
          <t>+ Depreciación y amortización</t>
        </is>
      </c>
      <c r="B88" s="11" t="n">
        <v>0</v>
      </c>
      <c r="C88" s="11">
        <f>C62</f>
        <v/>
      </c>
      <c r="D88" s="11">
        <f>D62</f>
        <v/>
      </c>
      <c r="E88" s="11">
        <f>E62</f>
        <v/>
      </c>
      <c r="F88" s="11">
        <f>F62</f>
        <v/>
      </c>
      <c r="G88" s="11">
        <f>G62</f>
        <v/>
      </c>
      <c r="H88" s="11">
        <f>H62</f>
        <v/>
      </c>
      <c r="I88" s="11">
        <f>I62</f>
        <v/>
      </c>
      <c r="J88" s="11">
        <f>J62</f>
        <v/>
      </c>
      <c r="K88" s="11">
        <f>K62</f>
        <v/>
      </c>
      <c r="L88" s="11">
        <f>L62</f>
        <v/>
      </c>
    </row>
    <row r="89">
      <c r="A89" s="6" t="inlineStr">
        <is>
          <t>+ Valor de desecho</t>
        </is>
      </c>
      <c r="B89" s="11" t="n">
        <v>0</v>
      </c>
      <c r="C89" s="11" t="n">
        <v>0</v>
      </c>
      <c r="D89" s="11" t="n">
        <v>0</v>
      </c>
      <c r="E89" s="11" t="n">
        <v>0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>
        <f>L66</f>
        <v/>
      </c>
    </row>
    <row r="90">
      <c r="A90" s="6" t="inlineStr">
        <is>
          <t>+ Recuperación capital de trabajo</t>
        </is>
      </c>
      <c r="B90" s="11">
        <f>B69</f>
        <v/>
      </c>
      <c r="C90" s="11">
        <f>C69</f>
        <v/>
      </c>
      <c r="D90" s="11">
        <f>D69</f>
        <v/>
      </c>
      <c r="E90" s="11">
        <f>E69</f>
        <v/>
      </c>
      <c r="F90" s="11">
        <f>F69</f>
        <v/>
      </c>
      <c r="G90" s="11">
        <f>G69</f>
        <v/>
      </c>
      <c r="H90" s="11">
        <f>H69</f>
        <v/>
      </c>
      <c r="I90" s="11">
        <f>I69</f>
        <v/>
      </c>
      <c r="J90" s="11">
        <f>J69</f>
        <v/>
      </c>
      <c r="K90" s="11">
        <f>K69</f>
        <v/>
      </c>
      <c r="L90" s="11">
        <f>L69</f>
        <v/>
      </c>
    </row>
    <row r="91">
      <c r="A91" s="6" t="inlineStr">
        <is>
          <t>- Inversión en activos fijos</t>
        </is>
      </c>
      <c r="B91" s="11">
        <f>SUM(B24:B29)</f>
        <v/>
      </c>
      <c r="C91" s="11" t="n">
        <v>0</v>
      </c>
      <c r="D91" s="11" t="n">
        <v>0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</row>
    <row r="92">
      <c r="A92" s="6" t="inlineStr">
        <is>
          <t>- Inversión en capital de trabajo</t>
        </is>
      </c>
      <c r="B92" s="11">
        <f>B68</f>
        <v/>
      </c>
      <c r="C92" s="11">
        <f>C68</f>
        <v/>
      </c>
      <c r="D92" s="11">
        <f>D68</f>
        <v/>
      </c>
      <c r="E92" s="11">
        <f>E68</f>
        <v/>
      </c>
      <c r="F92" s="11">
        <f>F68</f>
        <v/>
      </c>
      <c r="G92" s="11">
        <f>G68</f>
        <v/>
      </c>
      <c r="H92" s="11">
        <f>H68</f>
        <v/>
      </c>
      <c r="I92" s="11">
        <f>I68</f>
        <v/>
      </c>
      <c r="J92" s="11">
        <f>J68</f>
        <v/>
      </c>
      <c r="K92" s="11">
        <f>K68</f>
        <v/>
      </c>
      <c r="L92" s="11">
        <f>L68</f>
        <v/>
      </c>
    </row>
    <row r="93">
      <c r="A93" s="14">
        <f> FLUJO DE CAJA NETO</f>
        <v/>
      </c>
      <c r="B93" s="15">
        <f>B87+B88+B89+B90-B91-B92</f>
        <v/>
      </c>
      <c r="C93" s="15">
        <f>C87+C88+C89+C90-C91-C92</f>
        <v/>
      </c>
      <c r="D93" s="15">
        <f>D87+D88+D89+D90-D91-D92</f>
        <v/>
      </c>
      <c r="E93" s="15">
        <f>E87+E88+E89+E90-E91-E92</f>
        <v/>
      </c>
      <c r="F93" s="15">
        <f>F87+F88+F89+F90-F91-F92</f>
        <v/>
      </c>
      <c r="G93" s="15">
        <f>G87+G88+G89+G90-G91-G92</f>
        <v/>
      </c>
      <c r="H93" s="15">
        <f>H87+H88+H89+H90-H91-H92</f>
        <v/>
      </c>
      <c r="I93" s="15">
        <f>I87+I88+I89+I90-I91-I92</f>
        <v/>
      </c>
      <c r="J93" s="15">
        <f>J87+J88+J89+J90-J91-J92</f>
        <v/>
      </c>
      <c r="K93" s="15">
        <f>K87+K88+K89+K90-K91-K92</f>
        <v/>
      </c>
      <c r="L93" s="15">
        <f>L87+L88+L89+L90-L91-L92</f>
        <v/>
      </c>
    </row>
    <row r="94">
      <c r="A94" s="18" t="inlineStr">
        <is>
          <t>Flujo de caja acumulado</t>
        </is>
      </c>
      <c r="B94" s="19">
        <f>B93</f>
        <v/>
      </c>
      <c r="C94" s="19">
        <f>B94+C93</f>
        <v/>
      </c>
      <c r="D94" s="19">
        <f>C94+D93</f>
        <v/>
      </c>
      <c r="E94" s="19">
        <f>D94+E93</f>
        <v/>
      </c>
      <c r="F94" s="19">
        <f>E94+F93</f>
        <v/>
      </c>
      <c r="G94" s="19">
        <f>F94+G93</f>
        <v/>
      </c>
      <c r="H94" s="19">
        <f>G94+H93</f>
        <v/>
      </c>
      <c r="I94" s="19">
        <f>H94+I93</f>
        <v/>
      </c>
      <c r="J94" s="19">
        <f>I94+J93</f>
        <v/>
      </c>
      <c r="K94" s="19">
        <f>J94+K93</f>
        <v/>
      </c>
      <c r="L94" s="19">
        <f>K94+L93</f>
        <v/>
      </c>
    </row>
    <row r="96">
      <c r="A96" s="3" t="inlineStr">
        <is>
          <t>9. FLUJO DE CAJA DEL PROYECTO (CON FINANCIAMIENTO)</t>
        </is>
      </c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</row>
    <row r="97">
      <c r="A97" s="3" t="inlineStr">
        <is>
          <t>Concepto</t>
        </is>
      </c>
      <c r="B97" s="5" t="inlineStr">
        <is>
          <t>Año 0</t>
        </is>
      </c>
      <c r="C97" s="5" t="inlineStr">
        <is>
          <t>Año 1</t>
        </is>
      </c>
      <c r="D97" s="5" t="inlineStr">
        <is>
          <t>Año 2</t>
        </is>
      </c>
      <c r="E97" s="5" t="inlineStr">
        <is>
          <t>Año 3</t>
        </is>
      </c>
      <c r="F97" s="5" t="inlineStr">
        <is>
          <t>Año 4</t>
        </is>
      </c>
      <c r="G97" s="5" t="inlineStr">
        <is>
          <t>Año 5</t>
        </is>
      </c>
      <c r="H97" s="5" t="inlineStr">
        <is>
          <t>Año 6</t>
        </is>
      </c>
      <c r="I97" s="5" t="inlineStr">
        <is>
          <t>Año 7</t>
        </is>
      </c>
      <c r="J97" s="5" t="inlineStr">
        <is>
          <t>Año 8</t>
        </is>
      </c>
      <c r="K97" s="5" t="inlineStr">
        <is>
          <t>Año 9</t>
        </is>
      </c>
      <c r="L97" s="5" t="inlineStr">
        <is>
          <t>Año 10</t>
        </is>
      </c>
    </row>
    <row r="98">
      <c r="A98" s="6" t="inlineStr">
        <is>
          <t>+ Ingreso por ventas</t>
        </is>
      </c>
      <c r="B98" s="11">
        <f>B38</f>
        <v/>
      </c>
      <c r="C98" s="11">
        <f>C38</f>
        <v/>
      </c>
      <c r="D98" s="11">
        <f>D38</f>
        <v/>
      </c>
      <c r="E98" s="11">
        <f>E38</f>
        <v/>
      </c>
      <c r="F98" s="11">
        <f>F38</f>
        <v/>
      </c>
      <c r="G98" s="11">
        <f>G38</f>
        <v/>
      </c>
      <c r="H98" s="11">
        <f>H38</f>
        <v/>
      </c>
      <c r="I98" s="11">
        <f>I38</f>
        <v/>
      </c>
      <c r="J98" s="11">
        <f>J38</f>
        <v/>
      </c>
      <c r="K98" s="11">
        <f>K38</f>
        <v/>
      </c>
      <c r="L98" s="11">
        <f>L38</f>
        <v/>
      </c>
    </row>
    <row r="99">
      <c r="A99" s="6" t="inlineStr">
        <is>
          <t>- Costos variables</t>
        </is>
      </c>
      <c r="B99" s="11">
        <f>B45</f>
        <v/>
      </c>
      <c r="C99" s="11">
        <f>C45</f>
        <v/>
      </c>
      <c r="D99" s="11">
        <f>D45</f>
        <v/>
      </c>
      <c r="E99" s="11">
        <f>E45</f>
        <v/>
      </c>
      <c r="F99" s="11">
        <f>F45</f>
        <v/>
      </c>
      <c r="G99" s="11">
        <f>G45</f>
        <v/>
      </c>
      <c r="H99" s="11">
        <f>H45</f>
        <v/>
      </c>
      <c r="I99" s="11">
        <f>I45</f>
        <v/>
      </c>
      <c r="J99" s="11">
        <f>J45</f>
        <v/>
      </c>
      <c r="K99" s="11">
        <f>K45</f>
        <v/>
      </c>
      <c r="L99" s="11">
        <f>L45</f>
        <v/>
      </c>
    </row>
    <row r="100">
      <c r="A100" s="6" t="inlineStr">
        <is>
          <t>- Costos fijos</t>
        </is>
      </c>
      <c r="B100" s="11">
        <f>B52</f>
        <v/>
      </c>
      <c r="C100" s="11">
        <f>C52</f>
        <v/>
      </c>
      <c r="D100" s="11">
        <f>D52</f>
        <v/>
      </c>
      <c r="E100" s="11">
        <f>E52</f>
        <v/>
      </c>
      <c r="F100" s="11">
        <f>F52</f>
        <v/>
      </c>
      <c r="G100" s="11">
        <f>G52</f>
        <v/>
      </c>
      <c r="H100" s="11">
        <f>H52</f>
        <v/>
      </c>
      <c r="I100" s="11">
        <f>I52</f>
        <v/>
      </c>
      <c r="J100" s="11">
        <f>J52</f>
        <v/>
      </c>
      <c r="K100" s="11">
        <f>K52</f>
        <v/>
      </c>
      <c r="L100" s="11">
        <f>L52</f>
        <v/>
      </c>
    </row>
    <row r="101">
      <c r="A101" s="6" t="inlineStr">
        <is>
          <t>- Gastos financieros (intereses)</t>
        </is>
      </c>
      <c r="B101" s="11" t="n">
        <v>0</v>
      </c>
      <c r="C101" s="11">
        <f>C75</f>
        <v/>
      </c>
      <c r="D101" s="11">
        <f>D75</f>
        <v/>
      </c>
      <c r="E101" s="11">
        <f>E75</f>
        <v/>
      </c>
      <c r="F101" s="11">
        <f>F75</f>
        <v/>
      </c>
      <c r="G101" s="11">
        <f>G75</f>
        <v/>
      </c>
      <c r="H101" s="11">
        <f>H75</f>
        <v/>
      </c>
      <c r="I101" s="11">
        <f>I75</f>
        <v/>
      </c>
      <c r="J101" s="11">
        <f>J75</f>
        <v/>
      </c>
      <c r="K101" s="11">
        <f>K75</f>
        <v/>
      </c>
      <c r="L101" s="11">
        <f>L75</f>
        <v/>
      </c>
    </row>
    <row r="102">
      <c r="A102" s="6" t="inlineStr">
        <is>
          <t>- Depreciación y amortización</t>
        </is>
      </c>
      <c r="B102" s="11" t="n">
        <v>0</v>
      </c>
      <c r="C102" s="11">
        <f>C62</f>
        <v/>
      </c>
      <c r="D102" s="11">
        <f>D62</f>
        <v/>
      </c>
      <c r="E102" s="11">
        <f>E62</f>
        <v/>
      </c>
      <c r="F102" s="11">
        <f>F62</f>
        <v/>
      </c>
      <c r="G102" s="11">
        <f>G62</f>
        <v/>
      </c>
      <c r="H102" s="11">
        <f>H62</f>
        <v/>
      </c>
      <c r="I102" s="11">
        <f>I62</f>
        <v/>
      </c>
      <c r="J102" s="11">
        <f>J62</f>
        <v/>
      </c>
      <c r="K102" s="11">
        <f>K62</f>
        <v/>
      </c>
      <c r="L102" s="11">
        <f>L62</f>
        <v/>
      </c>
    </row>
    <row r="103">
      <c r="A103" s="14">
        <f> Utilidad antes de impuestos</f>
        <v/>
      </c>
      <c r="B103" s="15">
        <f>B98-B99-B100-B101-B102</f>
        <v/>
      </c>
      <c r="C103" s="15">
        <f>C98-C99-C100-C101-C102</f>
        <v/>
      </c>
      <c r="D103" s="15">
        <f>D98-D99-D100-D101-D102</f>
        <v/>
      </c>
      <c r="E103" s="15">
        <f>E98-E99-E100-E101-E102</f>
        <v/>
      </c>
      <c r="F103" s="15">
        <f>F98-F99-F100-F101-F102</f>
        <v/>
      </c>
      <c r="G103" s="15">
        <f>G98-G99-G100-G101-G102</f>
        <v/>
      </c>
      <c r="H103" s="15">
        <f>H98-H99-H100-H101-H102</f>
        <v/>
      </c>
      <c r="I103" s="15">
        <f>I98-I99-I100-I101-I102</f>
        <v/>
      </c>
      <c r="J103" s="15">
        <f>J98-J99-J100-J101-J102</f>
        <v/>
      </c>
      <c r="K103" s="15">
        <f>K98-K99-K100-K101-K102</f>
        <v/>
      </c>
      <c r="L103" s="15">
        <f>L98-L99-L100-L101-L102</f>
        <v/>
      </c>
    </row>
    <row r="104">
      <c r="A104" s="6" t="inlineStr">
        <is>
          <t>- Impuesto sobre la renta</t>
        </is>
      </c>
      <c r="B104" s="11">
        <f>IF(B103&gt;0,$B$6*B103+$B$7*MAX(0,B103-1000000),0)</f>
        <v/>
      </c>
      <c r="C104" s="11">
        <f>IF(C103&gt;0,$B$6*C103+$B$7*MAX(0,C103-1000000),0)</f>
        <v/>
      </c>
      <c r="D104" s="11">
        <f>IF(D103&gt;0,$B$6*D103+$B$7*MAX(0,D103-1000000),0)</f>
        <v/>
      </c>
      <c r="E104" s="11">
        <f>IF(E103&gt;0,$B$6*E103+$B$7*MAX(0,E103-1000000),0)</f>
        <v/>
      </c>
      <c r="F104" s="11">
        <f>IF(F103&gt;0,$B$6*F103+$B$7*MAX(0,F103-1000000),0)</f>
        <v/>
      </c>
      <c r="G104" s="11">
        <f>IF(G103&gt;0,$B$6*G103+$B$7*MAX(0,G103-1000000),0)</f>
        <v/>
      </c>
      <c r="H104" s="11">
        <f>IF(H103&gt;0,$B$6*H103+$B$7*MAX(0,H103-1000000),0)</f>
        <v/>
      </c>
      <c r="I104" s="11">
        <f>IF(I103&gt;0,$B$6*I103+$B$7*MAX(0,I103-1000000),0)</f>
        <v/>
      </c>
      <c r="J104" s="11">
        <f>IF(J103&gt;0,$B$6*J103+$B$7*MAX(0,J103-1000000),0)</f>
        <v/>
      </c>
      <c r="K104" s="11">
        <f>IF(K103&gt;0,$B$6*K103+$B$7*MAX(0,K103-1000000),0)</f>
        <v/>
      </c>
      <c r="L104" s="11">
        <f>IF(L103&gt;0,$B$6*L103+$B$7*MAX(0,L103-1000000),0)</f>
        <v/>
      </c>
    </row>
    <row r="105">
      <c r="A105" s="14">
        <f> Utilidad después de impuestos</f>
        <v/>
      </c>
      <c r="B105" s="15">
        <f>B103-B104</f>
        <v/>
      </c>
      <c r="C105" s="15">
        <f>C103-C104</f>
        <v/>
      </c>
      <c r="D105" s="15">
        <f>D103-D104</f>
        <v/>
      </c>
      <c r="E105" s="15">
        <f>E103-E104</f>
        <v/>
      </c>
      <c r="F105" s="15">
        <f>F103-F104</f>
        <v/>
      </c>
      <c r="G105" s="15">
        <f>G103-G104</f>
        <v/>
      </c>
      <c r="H105" s="15">
        <f>H103-H104</f>
        <v/>
      </c>
      <c r="I105" s="15">
        <f>I103-I104</f>
        <v/>
      </c>
      <c r="J105" s="15">
        <f>J103-J104</f>
        <v/>
      </c>
      <c r="K105" s="15">
        <f>K103-K104</f>
        <v/>
      </c>
      <c r="L105" s="15">
        <f>L103-L104</f>
        <v/>
      </c>
    </row>
    <row r="106">
      <c r="A106" s="6" t="inlineStr">
        <is>
          <t>+ Depreciación y amortización</t>
        </is>
      </c>
      <c r="B106" s="11" t="n">
        <v>0</v>
      </c>
      <c r="C106" s="11">
        <f>C62</f>
        <v/>
      </c>
      <c r="D106" s="11">
        <f>D62</f>
        <v/>
      </c>
      <c r="E106" s="11">
        <f>E62</f>
        <v/>
      </c>
      <c r="F106" s="11">
        <f>F62</f>
        <v/>
      </c>
      <c r="G106" s="11">
        <f>G62</f>
        <v/>
      </c>
      <c r="H106" s="11">
        <f>H62</f>
        <v/>
      </c>
      <c r="I106" s="11">
        <f>I62</f>
        <v/>
      </c>
      <c r="J106" s="11">
        <f>J62</f>
        <v/>
      </c>
      <c r="K106" s="11">
        <f>K62</f>
        <v/>
      </c>
      <c r="L106" s="11">
        <f>L62</f>
        <v/>
      </c>
    </row>
    <row r="107">
      <c r="A107" s="6" t="inlineStr">
        <is>
          <t>+ Valor de desecho</t>
        </is>
      </c>
      <c r="B107" s="11" t="n">
        <v>0</v>
      </c>
      <c r="C107" s="11" t="n">
        <v>0</v>
      </c>
      <c r="D107" s="11" t="n">
        <v>0</v>
      </c>
      <c r="E107" s="11" t="n">
        <v>0</v>
      </c>
      <c r="F107" s="11" t="n">
        <v>0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>
        <f>L66</f>
        <v/>
      </c>
    </row>
    <row r="108">
      <c r="A108" s="6" t="inlineStr">
        <is>
          <t>+ Recuperación capital de trabajo</t>
        </is>
      </c>
      <c r="B108" s="11">
        <f>B69</f>
        <v/>
      </c>
      <c r="C108" s="11">
        <f>C69</f>
        <v/>
      </c>
      <c r="D108" s="11">
        <f>D69</f>
        <v/>
      </c>
      <c r="E108" s="11">
        <f>E69</f>
        <v/>
      </c>
      <c r="F108" s="11">
        <f>F69</f>
        <v/>
      </c>
      <c r="G108" s="11">
        <f>G69</f>
        <v/>
      </c>
      <c r="H108" s="11">
        <f>H69</f>
        <v/>
      </c>
      <c r="I108" s="11">
        <f>I69</f>
        <v/>
      </c>
      <c r="J108" s="11">
        <f>J69</f>
        <v/>
      </c>
      <c r="K108" s="11">
        <f>K69</f>
        <v/>
      </c>
      <c r="L108" s="11">
        <f>L69</f>
        <v/>
      </c>
    </row>
    <row r="109">
      <c r="A109" s="6" t="inlineStr">
        <is>
          <t>+ Préstamo bancario (Año 0)</t>
        </is>
      </c>
      <c r="B109" s="11">
        <f>D31</f>
        <v/>
      </c>
      <c r="C109" s="11" t="n">
        <v>0</v>
      </c>
      <c r="D109" s="11" t="n">
        <v>0</v>
      </c>
      <c r="E109" s="11" t="n">
        <v>0</v>
      </c>
      <c r="F109" s="11" t="n">
        <v>0</v>
      </c>
      <c r="G109" s="11" t="n">
        <v>0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</row>
    <row r="110">
      <c r="A110" s="6" t="inlineStr">
        <is>
          <t>- Inversión en activos fijos</t>
        </is>
      </c>
      <c r="B110" s="11">
        <f>SUM(B24:B29)</f>
        <v/>
      </c>
      <c r="C110" s="11" t="n">
        <v>0</v>
      </c>
      <c r="D110" s="11" t="n">
        <v>0</v>
      </c>
      <c r="E110" s="11" t="n">
        <v>0</v>
      </c>
      <c r="F110" s="11" t="n">
        <v>0</v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</row>
    <row r="111">
      <c r="A111" s="6" t="inlineStr">
        <is>
          <t>- Inversión en capital de trabajo</t>
        </is>
      </c>
      <c r="B111" s="11">
        <f>B68</f>
        <v/>
      </c>
      <c r="C111" s="11">
        <f>C68</f>
        <v/>
      </c>
      <c r="D111" s="11">
        <f>D68</f>
        <v/>
      </c>
      <c r="E111" s="11">
        <f>E68</f>
        <v/>
      </c>
      <c r="F111" s="11">
        <f>F68</f>
        <v/>
      </c>
      <c r="G111" s="11">
        <f>G68</f>
        <v/>
      </c>
      <c r="H111" s="11">
        <f>H68</f>
        <v/>
      </c>
      <c r="I111" s="11">
        <f>I68</f>
        <v/>
      </c>
      <c r="J111" s="11">
        <f>J68</f>
        <v/>
      </c>
      <c r="K111" s="11">
        <f>K68</f>
        <v/>
      </c>
      <c r="L111" s="11">
        <f>L68</f>
        <v/>
      </c>
    </row>
    <row r="112">
      <c r="A112" s="6" t="inlineStr">
        <is>
          <t>- Abono a capital del préstamo</t>
        </is>
      </c>
      <c r="B112" s="11" t="n">
        <v>0</v>
      </c>
      <c r="C112" s="11">
        <f>C74</f>
        <v/>
      </c>
      <c r="D112" s="11">
        <f>D74</f>
        <v/>
      </c>
      <c r="E112" s="11">
        <f>E74</f>
        <v/>
      </c>
      <c r="F112" s="11">
        <f>F74</f>
        <v/>
      </c>
      <c r="G112" s="11">
        <f>G74</f>
        <v/>
      </c>
      <c r="H112" s="11">
        <f>H74</f>
        <v/>
      </c>
      <c r="I112" s="11">
        <f>I74</f>
        <v/>
      </c>
      <c r="J112" s="11">
        <f>J74</f>
        <v/>
      </c>
      <c r="K112" s="11">
        <f>K74</f>
        <v/>
      </c>
      <c r="L112" s="11">
        <f>L74</f>
        <v/>
      </c>
    </row>
    <row r="113">
      <c r="A113" s="14">
        <f> FLUJO DE CAJA NETO</f>
        <v/>
      </c>
      <c r="B113" s="15">
        <f>B105+B106+B107+B108+B109-B110-B111-B112</f>
        <v/>
      </c>
      <c r="C113" s="15">
        <f>C105+C106+C107+C108+C109-C110-C111-C112</f>
        <v/>
      </c>
      <c r="D113" s="15">
        <f>D105+D106+D107+D108+D109-D110-D111-D112</f>
        <v/>
      </c>
      <c r="E113" s="15">
        <f>E105+E106+E107+E108+E109-E110-E111-E112</f>
        <v/>
      </c>
      <c r="F113" s="15">
        <f>F105+F106+F107+F108+F109-F110-F111-F112</f>
        <v/>
      </c>
      <c r="G113" s="15">
        <f>G105+G106+G107+G108+G109-G110-G111-G112</f>
        <v/>
      </c>
      <c r="H113" s="15">
        <f>H105+H106+H107+H108+H109-H110-H111-H112</f>
        <v/>
      </c>
      <c r="I113" s="15">
        <f>I105+I106+I107+I108+I109-I110-I111-I112</f>
        <v/>
      </c>
      <c r="J113" s="15">
        <f>J105+J106+J107+J108+J109-J110-J111-J112</f>
        <v/>
      </c>
      <c r="K113" s="15">
        <f>K105+K106+K107+K108+K109-K110-K111-K112</f>
        <v/>
      </c>
      <c r="L113" s="15">
        <f>L105+L106+L107+L108+L109-L110-L111-L112</f>
        <v/>
      </c>
    </row>
    <row r="114">
      <c r="A114" s="18" t="inlineStr">
        <is>
          <t>Flujo de caja acumulado</t>
        </is>
      </c>
      <c r="B114" s="19">
        <f>B113</f>
        <v/>
      </c>
      <c r="C114" s="19">
        <f>B114+C113</f>
        <v/>
      </c>
      <c r="D114" s="19">
        <f>C114+D113</f>
        <v/>
      </c>
      <c r="E114" s="19">
        <f>D114+E113</f>
        <v/>
      </c>
      <c r="F114" s="19">
        <f>E114+F113</f>
        <v/>
      </c>
      <c r="G114" s="19">
        <f>F114+G113</f>
        <v/>
      </c>
      <c r="H114" s="19">
        <f>G114+H113</f>
        <v/>
      </c>
      <c r="I114" s="19">
        <f>H114+I113</f>
        <v/>
      </c>
      <c r="J114" s="19">
        <f>I114+J113</f>
        <v/>
      </c>
      <c r="K114" s="19">
        <f>J114+K113</f>
        <v/>
      </c>
      <c r="L114" s="19">
        <f>K114+L113</f>
        <v/>
      </c>
    </row>
    <row r="116">
      <c r="A116" s="3" t="inlineStr">
        <is>
          <t>10. INDICADORES FINANCIEROS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</row>
    <row r="117">
      <c r="A117" s="3" t="inlineStr">
        <is>
          <t>Indicador</t>
        </is>
      </c>
      <c r="B117" s="5" t="inlineStr">
        <is>
          <t>Proyecto (sin financiamiento)</t>
        </is>
      </c>
      <c r="C117" s="5" t="inlineStr">
        <is>
          <t>Inversionista (con financiamiento)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</row>
    <row r="118">
      <c r="A118" s="6" t="inlineStr">
        <is>
          <t>Tasa de descuento usada</t>
        </is>
      </c>
      <c r="B118" s="20">
        <f>$B$11</f>
        <v/>
      </c>
      <c r="C118" s="20">
        <f>$B$9*$B$8*(1-$B$6)+(1-$B$9)*$B$11</f>
        <v/>
      </c>
    </row>
    <row r="119">
      <c r="A119" s="18" t="inlineStr">
        <is>
          <t>VAN (Valor Actual Neto)</t>
        </is>
      </c>
      <c r="B119" s="8">
        <f>NPV($B$11,C93:L93)+B93</f>
        <v/>
      </c>
      <c r="C119" s="8">
        <f>NPV(C118,C113:L113)+B113</f>
        <v/>
      </c>
    </row>
    <row r="120">
      <c r="A120" s="18" t="inlineStr">
        <is>
          <t>TIR (Tasa Interna de Retorno)</t>
        </is>
      </c>
      <c r="B120" s="7">
        <f>IRR(B93:L93)</f>
        <v/>
      </c>
      <c r="C120" s="7">
        <f>IRR(B113:L113)</f>
        <v/>
      </c>
    </row>
    <row r="121">
      <c r="A121" s="18" t="inlineStr">
        <is>
          <t>PRI (años de recuperación)</t>
        </is>
      </c>
      <c r="B121" s="9">
        <f>(COUNTIF(B94:L94,"&lt;0")-1)+(-INDEX(B94:L94,COUNTIF(B94:L94,"&lt;0")))/INDEX(B93:L93,COUNTIF(B94:L94,"&lt;0")+1)</f>
        <v/>
      </c>
      <c r="C121" s="12" t="inlineStr">
        <is>
          <t>-</t>
        </is>
      </c>
    </row>
    <row r="122">
      <c r="A122" s="18" t="inlineStr">
        <is>
          <t>Relación Beneficio/Costo</t>
        </is>
      </c>
      <c r="B122" s="9">
        <f>NPV($B$11,C38:L38)/(B31+NPV($B$11,C45:L45)+NPV($B$11,C52:L52)+NPV($B$11,C86:L86))</f>
        <v/>
      </c>
      <c r="C122" s="12" t="inlineStr">
        <is>
          <t>-</t>
        </is>
      </c>
    </row>
  </sheetData>
  <mergeCells count="11">
    <mergeCell ref="A96:L96"/>
    <mergeCell ref="A54:L54"/>
    <mergeCell ref="A64:L64"/>
    <mergeCell ref="A33:L33"/>
    <mergeCell ref="A71:L71"/>
    <mergeCell ref="A47:L47"/>
    <mergeCell ref="A116:L116"/>
    <mergeCell ref="A22:L22"/>
    <mergeCell ref="A40:L40"/>
    <mergeCell ref="A79:L79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40" customWidth="1" min="4" max="4"/>
  </cols>
  <sheetData>
    <row r="1">
      <c r="A1" s="18" t="inlineStr">
        <is>
          <t>Correcciones a realizar en el documento de tesis</t>
        </is>
      </c>
    </row>
    <row r="2">
      <c r="A2" s="5" t="inlineStr">
        <is>
          <t>#</t>
        </is>
      </c>
      <c r="B2" s="3" t="inlineStr">
        <is>
          <t>Dónde en la tesis</t>
        </is>
      </c>
      <c r="C2" s="3" t="inlineStr">
        <is>
          <t>Qué está mal</t>
        </is>
      </c>
      <c r="D2" s="3" t="inlineStr">
        <is>
          <t>Corrección</t>
        </is>
      </c>
    </row>
    <row r="3" ht="42" customHeight="1">
      <c r="A3" s="12" t="n">
        <v>1</v>
      </c>
      <c r="B3" s="21" t="inlineStr">
        <is>
          <t>Cuadro 6 / Costo de personal</t>
        </is>
      </c>
      <c r="C3" s="21" t="inlineStr">
        <is>
          <t>Planilla mensual (L92,600) usada como costo anual</t>
        </is>
      </c>
      <c r="D3" s="21" t="inlineStr">
        <is>
          <t>Anualizar ×12 + aguinaldo + catorceavo + 12% cargas patronales = L1,494,082/año</t>
        </is>
      </c>
    </row>
    <row r="4" ht="42" customHeight="1">
      <c r="A4" s="12" t="n">
        <v>2</v>
      </c>
      <c r="B4" s="21" t="inlineStr">
        <is>
          <t>Cuadros 5 y 6</t>
        </is>
      </c>
      <c r="C4" s="21" t="inlineStr">
        <is>
          <t>Personal contado dos veces</t>
        </is>
      </c>
      <c r="D4" s="21" t="inlineStr">
        <is>
          <t>Dejarlo en una sola línea</t>
        </is>
      </c>
    </row>
    <row r="5" ht="42" customHeight="1">
      <c r="A5" s="12" t="n">
        <v>3</v>
      </c>
      <c r="B5" s="21" t="inlineStr">
        <is>
          <t>Cuadros 5 y 6</t>
        </is>
      </c>
      <c r="C5" s="21" t="inlineStr">
        <is>
          <t>Costos mensuales usados como anuales</t>
        </is>
      </c>
      <c r="D5" s="21" t="inlineStr">
        <is>
          <t>Multiplicar por 12</t>
        </is>
      </c>
    </row>
    <row r="6" ht="42" customHeight="1">
      <c r="A6" s="12" t="n">
        <v>4</v>
      </c>
      <c r="B6" s="21" t="inlineStr">
        <is>
          <t>Costos fijos (leche L390,000)</t>
        </is>
      </c>
      <c r="C6" s="21" t="inlineStr">
        <is>
          <t>Leche, empaque y combustible como fijos</t>
        </is>
      </c>
      <c r="D6" s="21" t="inlineStr">
        <is>
          <t>Volverlos variables (por litro vendido)</t>
        </is>
      </c>
    </row>
    <row r="7" ht="42" customHeight="1">
      <c r="A7" s="12" t="n">
        <v>5</v>
      </c>
      <c r="B7" s="21" t="inlineStr">
        <is>
          <t>Gastos administrativos</t>
        </is>
      </c>
      <c r="C7" s="21" t="inlineStr">
        <is>
          <t>Los ítems suman L21,600 pero dice L22,600</t>
        </is>
      </c>
      <c r="D7" s="21" t="inlineStr">
        <is>
          <t>Corregir la suma</t>
        </is>
      </c>
    </row>
    <row r="8" ht="42" customHeight="1">
      <c r="A8" s="12" t="n">
        <v>6</v>
      </c>
      <c r="B8" s="21" t="inlineStr">
        <is>
          <t>Cuadro 1 (Año 1)</t>
        </is>
      </c>
      <c r="C8" s="21" t="inlineStr">
        <is>
          <t>14,000 × L28 = L392,000, pero dice L396,000</t>
        </is>
      </c>
      <c r="D8" s="21" t="inlineStr">
        <is>
          <t>Usar L392,000</t>
        </is>
      </c>
    </row>
    <row r="9" ht="42" customHeight="1">
      <c r="A9" s="12" t="n">
        <v>7</v>
      </c>
      <c r="B9" s="21" t="inlineStr">
        <is>
          <t>Cuadro 3 (depreciación)</t>
        </is>
      </c>
      <c r="C9" s="21" t="inlineStr">
        <is>
          <t>Camión con vida de 3 años</t>
        </is>
      </c>
      <c r="D9" s="21" t="inlineStr">
        <is>
          <t>Vida útil realista de 5 años, sin recompra</t>
        </is>
      </c>
    </row>
    <row r="10" ht="42" customHeight="1">
      <c r="A10" s="12" t="n">
        <v>8</v>
      </c>
      <c r="B10" s="21" t="inlineStr">
        <is>
          <t>Estudio financiero</t>
        </is>
      </c>
      <c r="C10" s="21" t="inlineStr">
        <is>
          <t>No aplica impuesto sobre la renta</t>
        </is>
      </c>
      <c r="D10" s="21" t="inlineStr">
        <is>
          <t>Aplicar ISR 25% + 5% solidaria (renta &gt; L1M)</t>
        </is>
      </c>
    </row>
    <row r="11" ht="42" customHeight="1">
      <c r="A11" s="12" t="n">
        <v>9</v>
      </c>
      <c r="B11" s="21" t="inlineStr">
        <is>
          <t>Estudio financiero</t>
        </is>
      </c>
      <c r="C11" s="21" t="inlineStr">
        <is>
          <t>No define tasa de descuento</t>
        </is>
      </c>
      <c r="D11" s="21" t="inlineStr">
        <is>
          <t>Usar tasa de descuento 15%</t>
        </is>
      </c>
    </row>
    <row r="12" ht="42" customHeight="1">
      <c r="A12" s="12" t="n">
        <v>10</v>
      </c>
      <c r="B12" s="21" t="inlineStr">
        <is>
          <t>Estudio financiero</t>
        </is>
      </c>
      <c r="C12" s="21" t="inlineStr">
        <is>
          <t>No incluye capital de trabajo</t>
        </is>
      </c>
      <c r="D12" s="21" t="inlineStr">
        <is>
          <t>Incluir 2 meses de costos, recuperar en Año 10</t>
        </is>
      </c>
    </row>
    <row r="13" ht="42" customHeight="1">
      <c r="A13" s="12" t="n">
        <v>11</v>
      </c>
      <c r="B13" s="21" t="inlineStr">
        <is>
          <t>Cuadro 1 / ventas</t>
        </is>
      </c>
      <c r="C13" s="21" t="inlineStr">
        <is>
          <t>Cada cliente compra 60 L/mes (muy bajo)</t>
        </is>
      </c>
      <c r="D13" s="21" t="inlineStr">
        <is>
          <t>Subir a ~150 L/mes (cafeterías/HORECA) → ventas ×2</t>
        </is>
      </c>
    </row>
    <row r="14" ht="42" customHeight="1">
      <c r="A14" s="12" t="n">
        <v>12</v>
      </c>
      <c r="B14" s="21" t="inlineStr">
        <is>
          <t>Conclusión financiera</t>
        </is>
      </c>
      <c r="C14" s="21" t="inlineStr">
        <is>
          <t>Viabilidad basada en costos subestimados</t>
        </is>
      </c>
      <c r="D14" s="21" t="inlineStr">
        <is>
          <t>Con ventas realistas el proyecto es VIABLE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2026-07-10T22:24:15Z</dcterms:created>
  <dcterms:modified xmlns:dcterms="http://purl.org/dc/terms/" xmlns:xsi="http://www.w3.org/2001/XMLSchema-instance" xsi:type="dcterms:W3CDTF">2026-07-10T22:24:15Z</dcterms:modified>
</cp:coreProperties>
</file>