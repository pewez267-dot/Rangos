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000000"/>
      <sz val="12"/>
    </font>
    <font>
      <name val="Calibri"/>
      <color rgb="FF000000"/>
      <sz val="12"/>
    </font>
    <font>
      <name val="Calibri"/>
      <b val="1"/>
      <color rgb="00000000"/>
      <sz val="14"/>
    </font>
    <font>
      <name val="Calibri"/>
      <b val="1"/>
      <color rgb="00000000"/>
      <sz val="12"/>
    </font>
    <font>
      <name val="Calibri"/>
      <color rgb="00000000"/>
      <sz val="12"/>
    </font>
  </fonts>
  <fills count="4">
    <fill>
      <patternFill/>
    </fill>
    <fill>
      <patternFill patternType="gray125"/>
    </fill>
    <fill>
      <patternFill patternType="solid">
        <fgColor rgb="FFD9E1F2"/>
      </patternFill>
    </fill>
    <fill>
      <patternFill patternType="solid">
        <fgColor rgb="FFFCE4D6"/>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left" vertical="center"/>
    </xf>
    <xf numFmtId="0" fontId="0" fillId="2" borderId="1" pivotButton="0" quotePrefix="0" xfId="0"/>
    <xf numFmtId="0" fontId="1" fillId="2" borderId="1" applyAlignment="1" pivotButton="0" quotePrefix="0" xfId="0">
      <alignment horizontal="center" vertical="center"/>
    </xf>
    <xf numFmtId="0" fontId="2" fillId="0" borderId="1" applyAlignment="1" pivotButton="0" quotePrefix="0" xfId="0">
      <alignment horizontal="left" vertical="center"/>
    </xf>
    <xf numFmtId="10" fontId="1" fillId="0" borderId="1" applyAlignment="1" pivotButton="0" quotePrefix="0" xfId="0">
      <alignment horizontal="center" vertical="center"/>
    </xf>
    <xf numFmtId="3" fontId="1" fillId="0" borderId="1" applyAlignment="1" pivotButton="0" quotePrefix="0" xfId="0">
      <alignment horizontal="center" vertical="center"/>
    </xf>
    <xf numFmtId="2" fontId="1" fillId="0" borderId="1" applyAlignment="1" pivotButton="0" quotePrefix="0" xfId="0">
      <alignment horizontal="center" vertical="center"/>
    </xf>
    <xf numFmtId="1" fontId="1" fillId="0" borderId="1" applyAlignment="1" pivotButton="0" quotePrefix="0" xfId="0">
      <alignment horizontal="center" vertical="center"/>
    </xf>
    <xf numFmtId="4" fontId="1" fillId="0" borderId="1" applyAlignment="1" pivotButton="0" quotePrefix="0" xfId="0">
      <alignment horizontal="center" vertical="center"/>
    </xf>
    <xf numFmtId="3" fontId="2" fillId="0" borderId="1" applyAlignment="1" pivotButton="0" quotePrefix="0" xfId="0">
      <alignment horizontal="right" vertical="center"/>
    </xf>
    <xf numFmtId="0" fontId="2" fillId="0"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left" vertical="center"/>
    </xf>
    <xf numFmtId="3" fontId="1" fillId="3" borderId="1" applyAlignment="1" pivotButton="0" quotePrefix="0" xfId="0">
      <alignment horizontal="right" vertical="center"/>
    </xf>
    <xf numFmtId="0" fontId="0" fillId="3" borderId="1" pivotButton="0" quotePrefix="0" xfId="0"/>
    <xf numFmtId="0" fontId="2" fillId="2" borderId="1" pivotButton="0" quotePrefix="0" xfId="0"/>
    <xf numFmtId="0" fontId="2" fillId="0" borderId="1" pivotButton="0" quotePrefix="0" xfId="0"/>
    <xf numFmtId="0" fontId="2" fillId="3" borderId="1" pivotButton="0" quotePrefix="0" xfId="0"/>
    <xf numFmtId="0" fontId="1" fillId="0" borderId="1" applyAlignment="1" pivotButton="0" quotePrefix="0" xfId="0">
      <alignment horizontal="left" vertical="center"/>
    </xf>
    <xf numFmtId="3" fontId="1" fillId="0" borderId="1" applyAlignment="1" pivotButton="0" quotePrefix="0" xfId="0">
      <alignment horizontal="right" vertical="center"/>
    </xf>
    <xf numFmtId="10" fontId="2" fillId="0" borderId="1" applyAlignment="1" pivotButton="0" quotePrefix="0" xfId="0">
      <alignment horizontal="center" vertical="center"/>
    </xf>
    <xf numFmtId="10" fontId="1" fillId="3" borderId="1" applyAlignment="1" pivotButton="0" quotePrefix="0" xfId="0">
      <alignment horizontal="center" vertical="center"/>
    </xf>
    <xf numFmtId="0" fontId="1" fillId="3" borderId="1" applyAlignment="1" pivotButton="0" quotePrefix="0" xfId="0">
      <alignment horizontal="center"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7"/>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c r="B4" s="27" t="n"/>
      <c r="C4" s="27" t="n"/>
      <c r="D4" s="27" t="n"/>
      <c r="E4" s="27" t="n"/>
      <c r="F4" s="27" t="n"/>
      <c r="G4" s="27" t="n"/>
      <c r="H4" s="27" t="n"/>
      <c r="I4" s="27" t="n"/>
      <c r="J4" s="27" t="n"/>
      <c r="K4" s="27" t="n"/>
      <c r="L4" s="28" t="n"/>
    </row>
    <row r="5">
      <c r="A5" s="3" t="inlineStr">
        <is>
          <t>Parámetro</t>
        </is>
      </c>
      <c r="B5" s="5" t="inlineStr">
        <is>
          <t>Valor</t>
        </is>
      </c>
    </row>
    <row r="6">
      <c r="A6" s="6" t="inlineStr">
        <is>
          <t>Tasa de impuesto sobre la renta (ISR)</t>
        </is>
      </c>
      <c r="B6" s="7" t="n">
        <v>0.25</v>
      </c>
    </row>
    <row r="7">
      <c r="A7" s="6" t="inlineStr">
        <is>
          <t>Aportación solidaria (sobre renta &gt; umbral)</t>
        </is>
      </c>
      <c r="B7" s="7" t="n">
        <v>0.05</v>
      </c>
    </row>
    <row r="8">
      <c r="A8" s="6" t="inlineStr">
        <is>
          <t>Umbral aportación solidaria (Lps)</t>
        </is>
      </c>
      <c r="B8" s="8" t="n">
        <v>1000000</v>
      </c>
    </row>
    <row r="9">
      <c r="A9" s="6" t="inlineStr">
        <is>
          <t>Tasa de interés del préstamo (anual)</t>
        </is>
      </c>
      <c r="B9" s="7" t="n">
        <v>0.14</v>
      </c>
    </row>
    <row r="10">
      <c r="A10" s="6" t="inlineStr">
        <is>
          <t>Porcentaje financiado con préstamo</t>
        </is>
      </c>
      <c r="B10" s="7" t="n">
        <v>0.5</v>
      </c>
    </row>
    <row r="11">
      <c r="A11" s="6" t="inlineStr">
        <is>
          <t>Inflación anual</t>
        </is>
      </c>
      <c r="B11" s="7" t="n">
        <v>0.045</v>
      </c>
    </row>
    <row r="12">
      <c r="A12" s="6" t="inlineStr">
        <is>
          <t>Tasa de descuento anual (rendimiento mínimo)</t>
        </is>
      </c>
      <c r="B12" s="7" t="n">
        <v>0.15</v>
      </c>
    </row>
    <row r="13">
      <c r="A13" s="6" t="inlineStr">
        <is>
          <t>Costo de leche cruda (Lps/litro)</t>
        </is>
      </c>
      <c r="B13" s="8" t="n">
        <v>13</v>
      </c>
    </row>
    <row r="14">
      <c r="A14" s="6" t="inlineStr">
        <is>
          <t>Merma de proceso</t>
        </is>
      </c>
      <c r="B14" s="7" t="n">
        <v>0.03</v>
      </c>
    </row>
    <row r="15">
      <c r="A15" s="6" t="inlineStr">
        <is>
          <t>Costo de empaque (Lps/litro)</t>
        </is>
      </c>
      <c r="B15" s="9">
        <f>26000/30000</f>
        <v/>
      </c>
    </row>
    <row r="16">
      <c r="A16" s="6" t="inlineStr">
        <is>
          <t>Costo de combustible de reparto (Lps/litro)</t>
        </is>
      </c>
      <c r="B16" s="9">
        <f>26000/30000</f>
        <v/>
      </c>
    </row>
    <row r="17">
      <c r="A17" s="6" t="inlineStr">
        <is>
          <t>Meses de salario al año (12 + aguinaldo + catorceavo)</t>
        </is>
      </c>
      <c r="B17" s="10" t="n">
        <v>14</v>
      </c>
    </row>
    <row r="18">
      <c r="A18" s="6" t="inlineStr">
        <is>
          <t>Aporte patronal con techo (IHSS EM 2.5%+IVM 1%+RP 0.2%+RAP 1.5%)</t>
        </is>
      </c>
      <c r="B18" s="7" t="n">
        <v>0.052</v>
      </c>
    </row>
    <row r="19">
      <c r="A19" s="6" t="inlineStr">
        <is>
          <t>INFOP patronal (sobre planilla total, sin techo)</t>
        </is>
      </c>
      <c r="B19" s="7" t="n">
        <v>0.01</v>
      </c>
    </row>
    <row r="20">
      <c r="A20" s="6" t="inlineStr">
        <is>
          <t>Techo mensual de cotización IHSS/RAP (Lps)</t>
        </is>
      </c>
      <c r="B20" s="11" t="n">
        <v>11903.13</v>
      </c>
    </row>
    <row r="21">
      <c r="A21" s="6" t="inlineStr">
        <is>
          <t>Costos fijos operativos (mensual)</t>
        </is>
      </c>
      <c r="B21" s="8" t="n">
        <v>28000</v>
      </c>
    </row>
    <row r="22">
      <c r="A22" s="6" t="inlineStr">
        <is>
          <t>Gastos administrativos (mensual)</t>
        </is>
      </c>
      <c r="B22" s="8" t="n">
        <v>21600</v>
      </c>
    </row>
    <row r="23">
      <c r="A23" s="6" t="inlineStr">
        <is>
          <t>Consumo promedio por cliente (litros/mes)</t>
        </is>
      </c>
      <c r="B23" s="8" t="n">
        <v>150</v>
      </c>
    </row>
    <row r="24">
      <c r="A24" s="6" t="inlineStr">
        <is>
          <t>Meses de capital de trabajo (crédito de proveedores)</t>
        </is>
      </c>
      <c r="B24" s="10" t="n">
        <v>1</v>
      </c>
    </row>
    <row r="26">
      <c r="A26" s="3" t="inlineStr">
        <is>
          <t>1. PLAN DE INVERSIONES Y FINANCIAMIENTO</t>
        </is>
      </c>
      <c r="B26" s="27" t="n"/>
      <c r="C26" s="27" t="n"/>
      <c r="D26" s="27" t="n"/>
      <c r="E26" s="27" t="n"/>
      <c r="F26" s="27" t="n"/>
      <c r="G26" s="27" t="n"/>
      <c r="H26" s="27" t="n"/>
      <c r="I26" s="27" t="n"/>
      <c r="J26" s="27" t="n"/>
      <c r="K26" s="27" t="n"/>
      <c r="L26" s="28" t="n"/>
    </row>
    <row r="27">
      <c r="A27" s="3" t="inlineStr">
        <is>
          <t>Activo</t>
        </is>
      </c>
      <c r="B27" s="5" t="inlineStr">
        <is>
          <t>Valor</t>
        </is>
      </c>
      <c r="C27" s="5" t="inlineStr">
        <is>
          <t>Recursos propios</t>
        </is>
      </c>
      <c r="D27" s="5" t="inlineStr">
        <is>
          <t>Préstamo</t>
        </is>
      </c>
      <c r="E27" s="5" t="inlineStr">
        <is>
          <t>Vida (años)</t>
        </is>
      </c>
      <c r="F27" s="5" t="inlineStr">
        <is>
          <t>Depreciable</t>
        </is>
      </c>
      <c r="G27" s="4" t="n"/>
      <c r="H27" s="4" t="n"/>
      <c r="I27" s="4" t="n"/>
      <c r="J27" s="4" t="n"/>
      <c r="K27" s="4" t="n"/>
      <c r="L27" s="4" t="n"/>
    </row>
    <row r="28">
      <c r="A28" s="6" t="inlineStr">
        <is>
          <t>Tanques de almacenamiento</t>
        </is>
      </c>
      <c r="B28" s="12" t="n">
        <v>360000</v>
      </c>
      <c r="C28" s="12">
        <f>B28-D28</f>
        <v/>
      </c>
      <c r="D28" s="12">
        <f>B28*$B$10</f>
        <v/>
      </c>
      <c r="E28" s="13" t="n">
        <v>10</v>
      </c>
      <c r="F28" s="13" t="inlineStr">
        <is>
          <t>Sí</t>
        </is>
      </c>
      <c r="G28" s="14" t="n"/>
      <c r="H28" s="14" t="n"/>
      <c r="I28" s="14" t="n"/>
      <c r="J28" s="14" t="n"/>
      <c r="K28" s="14" t="n"/>
      <c r="L28" s="14" t="n"/>
    </row>
    <row r="29">
      <c r="A29" s="6" t="inlineStr">
        <is>
          <t>Pasteurizador HTST</t>
        </is>
      </c>
      <c r="B29" s="12" t="n">
        <v>150000</v>
      </c>
      <c r="C29" s="12">
        <f>B29-D29</f>
        <v/>
      </c>
      <c r="D29" s="12">
        <f>B29*$B$10</f>
        <v/>
      </c>
      <c r="E29" s="13" t="n">
        <v>10</v>
      </c>
      <c r="F29" s="13" t="inlineStr">
        <is>
          <t>Sí</t>
        </is>
      </c>
      <c r="G29" s="14" t="n"/>
      <c r="H29" s="14" t="n"/>
      <c r="I29" s="14" t="n"/>
      <c r="J29" s="14" t="n"/>
      <c r="K29" s="14" t="n"/>
      <c r="L29" s="14" t="n"/>
    </row>
    <row r="30">
      <c r="A30" s="6" t="inlineStr">
        <is>
          <t>Envasadora automática</t>
        </is>
      </c>
      <c r="B30" s="12" t="n">
        <v>260000</v>
      </c>
      <c r="C30" s="12">
        <f>B30-D30</f>
        <v/>
      </c>
      <c r="D30" s="12">
        <f>B30*$B$10</f>
        <v/>
      </c>
      <c r="E30" s="13" t="n">
        <v>10</v>
      </c>
      <c r="F30" s="13" t="inlineStr">
        <is>
          <t>Sí</t>
        </is>
      </c>
      <c r="G30" s="14" t="n"/>
      <c r="H30" s="14" t="n"/>
      <c r="I30" s="14" t="n"/>
      <c r="J30" s="14" t="n"/>
      <c r="K30" s="14" t="n"/>
      <c r="L30" s="14" t="n"/>
    </row>
    <row r="31">
      <c r="A31" s="6" t="inlineStr">
        <is>
          <t>Sistema de enfriamiento</t>
        </is>
      </c>
      <c r="B31" s="12" t="n">
        <v>125000</v>
      </c>
      <c r="C31" s="12">
        <f>B31-D31</f>
        <v/>
      </c>
      <c r="D31" s="12">
        <f>B31*$B$10</f>
        <v/>
      </c>
      <c r="E31" s="13" t="n">
        <v>10</v>
      </c>
      <c r="F31" s="13" t="inlineStr">
        <is>
          <t>Sí</t>
        </is>
      </c>
      <c r="G31" s="14" t="n"/>
      <c r="H31" s="14" t="n"/>
      <c r="I31" s="14" t="n"/>
      <c r="J31" s="14" t="n"/>
      <c r="K31" s="14" t="n"/>
      <c r="L31" s="14" t="n"/>
    </row>
    <row r="32">
      <c r="A32" s="6" t="inlineStr">
        <is>
          <t>Camión de distribución</t>
        </is>
      </c>
      <c r="B32" s="12" t="n">
        <v>500000</v>
      </c>
      <c r="C32" s="12">
        <f>B32-D32</f>
        <v/>
      </c>
      <c r="D32" s="12">
        <f>B32*$B$10</f>
        <v/>
      </c>
      <c r="E32" s="13" t="n">
        <v>5</v>
      </c>
      <c r="F32" s="13" t="inlineStr">
        <is>
          <t>Sí</t>
        </is>
      </c>
      <c r="G32" s="14" t="n"/>
      <c r="H32" s="14" t="n"/>
      <c r="I32" s="14" t="n"/>
      <c r="J32" s="14" t="n"/>
      <c r="K32" s="14" t="n"/>
      <c r="L32" s="14" t="n"/>
    </row>
    <row r="33">
      <c r="A33" s="6" t="inlineStr">
        <is>
          <t>Gastos diferidos preoperativos y legales</t>
        </is>
      </c>
      <c r="B33" s="12" t="n">
        <v>76000</v>
      </c>
      <c r="C33" s="12">
        <f>B33-D33</f>
        <v/>
      </c>
      <c r="D33" s="12">
        <f>B33*$B$10</f>
        <v/>
      </c>
      <c r="E33" s="13" t="n">
        <v>5</v>
      </c>
      <c r="F33" s="13" t="inlineStr">
        <is>
          <t>Amortizable</t>
        </is>
      </c>
      <c r="G33" s="14" t="n"/>
      <c r="H33" s="14" t="n"/>
      <c r="I33" s="14" t="n"/>
      <c r="J33" s="14" t="n"/>
      <c r="K33" s="14" t="n"/>
      <c r="L33" s="14" t="n"/>
    </row>
    <row r="34">
      <c r="A34" s="6" t="inlineStr">
        <is>
          <t>Capital de trabajo inicial</t>
        </is>
      </c>
      <c r="B34" s="12">
        <f>B84</f>
        <v/>
      </c>
      <c r="C34" s="12">
        <f>B34-D34</f>
        <v/>
      </c>
      <c r="D34" s="12">
        <f>B34*$B$10</f>
        <v/>
      </c>
      <c r="E34" s="13" t="inlineStr">
        <is>
          <t>-</t>
        </is>
      </c>
      <c r="F34" s="13" t="inlineStr">
        <is>
          <t>No</t>
        </is>
      </c>
      <c r="G34" s="14" t="n"/>
      <c r="H34" s="14" t="n"/>
      <c r="I34" s="14" t="n"/>
      <c r="J34" s="14" t="n"/>
      <c r="K34" s="14" t="n"/>
      <c r="L34" s="14" t="n"/>
    </row>
    <row r="35">
      <c r="A35" s="15" t="inlineStr">
        <is>
          <t>TOTAL INVERSIONES</t>
        </is>
      </c>
      <c r="B35" s="16">
        <f>SUM(B28:B34)</f>
        <v/>
      </c>
      <c r="C35" s="16">
        <f>SUM(C28:C34)</f>
        <v/>
      </c>
      <c r="D35" s="16">
        <f>SUM(D28:D34)</f>
        <v/>
      </c>
      <c r="E35" s="17" t="n"/>
      <c r="F35" s="17" t="n"/>
      <c r="G35" s="17" t="n"/>
      <c r="H35" s="17" t="n"/>
      <c r="I35" s="17" t="n"/>
      <c r="J35" s="17" t="n"/>
      <c r="K35" s="17" t="n"/>
      <c r="L35" s="17" t="n"/>
    </row>
    <row r="37">
      <c r="A37" s="3" t="inlineStr">
        <is>
          <t>2. PRODUCCIÓN Y VENTAS</t>
        </is>
      </c>
      <c r="B37" s="27" t="n"/>
      <c r="C37" s="27" t="n"/>
      <c r="D37" s="27" t="n"/>
      <c r="E37" s="27" t="n"/>
      <c r="F37" s="27" t="n"/>
      <c r="G37" s="27" t="n"/>
      <c r="H37" s="27" t="n"/>
      <c r="I37" s="27" t="n"/>
      <c r="J37" s="27" t="n"/>
      <c r="K37" s="27" t="n"/>
      <c r="L37" s="28" t="n"/>
    </row>
    <row r="38">
      <c r="A38" s="3" t="inlineStr">
        <is>
          <t>Concepto</t>
        </is>
      </c>
      <c r="B38" s="5" t="inlineStr">
        <is>
          <t>Año 0</t>
        </is>
      </c>
      <c r="C38" s="5" t="inlineStr">
        <is>
          <t>Año 1</t>
        </is>
      </c>
      <c r="D38" s="5" t="inlineStr">
        <is>
          <t>Año 2</t>
        </is>
      </c>
      <c r="E38" s="5" t="inlineStr">
        <is>
          <t>Año 3</t>
        </is>
      </c>
      <c r="F38" s="5" t="inlineStr">
        <is>
          <t>Año 4</t>
        </is>
      </c>
      <c r="G38" s="5" t="inlineStr">
        <is>
          <t>Año 5</t>
        </is>
      </c>
      <c r="H38" s="5" t="inlineStr">
        <is>
          <t>Año 6</t>
        </is>
      </c>
      <c r="I38" s="5" t="inlineStr">
        <is>
          <t>Año 7</t>
        </is>
      </c>
      <c r="J38" s="5" t="inlineStr">
        <is>
          <t>Año 8</t>
        </is>
      </c>
      <c r="K38" s="5" t="inlineStr">
        <is>
          <t>Año 9</t>
        </is>
      </c>
      <c r="L38" s="5" t="inlineStr">
        <is>
          <t>Año 10</t>
        </is>
      </c>
    </row>
    <row r="39">
      <c r="A39" s="6" t="inlineStr">
        <is>
          <t>Clientes activos</t>
        </is>
      </c>
      <c r="B39" s="12" t="n">
        <v>0</v>
      </c>
      <c r="C39" s="12" t="n">
        <v>60</v>
      </c>
      <c r="D39" s="12" t="n">
        <v>100</v>
      </c>
      <c r="E39" s="12" t="n">
        <v>150</v>
      </c>
      <c r="F39" s="12" t="n">
        <v>210</v>
      </c>
      <c r="G39" s="12" t="n">
        <v>280</v>
      </c>
      <c r="H39" s="12" t="n">
        <v>350</v>
      </c>
      <c r="I39" s="12" t="n">
        <v>430</v>
      </c>
      <c r="J39" s="12" t="n">
        <v>510</v>
      </c>
      <c r="K39" s="12" t="n">
        <v>600</v>
      </c>
      <c r="L39" s="12" t="n">
        <v>690</v>
      </c>
    </row>
    <row r="40">
      <c r="A40" s="6" t="inlineStr">
        <is>
          <t>Volumen anual (litros)</t>
        </is>
      </c>
      <c r="B40" s="12" t="n">
        <v>0</v>
      </c>
      <c r="C40" s="12">
        <f>C39*$B$23*12</f>
        <v/>
      </c>
      <c r="D40" s="12">
        <f>D39*$B$23*12</f>
        <v/>
      </c>
      <c r="E40" s="12">
        <f>E39*$B$23*12</f>
        <v/>
      </c>
      <c r="F40" s="12">
        <f>F39*$B$23*12</f>
        <v/>
      </c>
      <c r="G40" s="12">
        <f>G39*$B$23*12</f>
        <v/>
      </c>
      <c r="H40" s="12">
        <f>H39*$B$23*12</f>
        <v/>
      </c>
      <c r="I40" s="12">
        <f>I39*$B$23*12</f>
        <v/>
      </c>
      <c r="J40" s="12">
        <f>J39*$B$23*12</f>
        <v/>
      </c>
      <c r="K40" s="12">
        <f>K39*$B$23*12</f>
        <v/>
      </c>
      <c r="L40" s="12">
        <f>L39*$B$23*12</f>
        <v/>
      </c>
    </row>
    <row r="41">
      <c r="A41" s="6" t="inlineStr">
        <is>
          <t>Precio de venta (Lps/litro)</t>
        </is>
      </c>
      <c r="B41" s="12" t="n">
        <v>0</v>
      </c>
      <c r="C41" s="12" t="n">
        <v>28</v>
      </c>
      <c r="D41" s="12">
        <f>C41*(1+$B$11)</f>
        <v/>
      </c>
      <c r="E41" s="12">
        <f>D41*(1+$B$11)</f>
        <v/>
      </c>
      <c r="F41" s="12">
        <f>E41*(1+$B$11)</f>
        <v/>
      </c>
      <c r="G41" s="12">
        <f>F41*(1+$B$11)</f>
        <v/>
      </c>
      <c r="H41" s="12">
        <f>G41*(1+$B$11)</f>
        <v/>
      </c>
      <c r="I41" s="12">
        <f>H41*(1+$B$11)</f>
        <v/>
      </c>
      <c r="J41" s="12">
        <f>I41*(1+$B$11)</f>
        <v/>
      </c>
      <c r="K41" s="12">
        <f>J41*(1+$B$11)</f>
        <v/>
      </c>
      <c r="L41" s="12">
        <f>K41*(1+$B$11)</f>
        <v/>
      </c>
    </row>
    <row r="42">
      <c r="A42" s="15" t="inlineStr">
        <is>
          <t>INGRESOS POR VENTAS</t>
        </is>
      </c>
      <c r="B42" s="16">
        <f>B40*B41</f>
        <v/>
      </c>
      <c r="C42" s="16">
        <f>C40*C41</f>
        <v/>
      </c>
      <c r="D42" s="16">
        <f>D40*D41</f>
        <v/>
      </c>
      <c r="E42" s="16">
        <f>E40*E41</f>
        <v/>
      </c>
      <c r="F42" s="16">
        <f>F40*F41</f>
        <v/>
      </c>
      <c r="G42" s="16">
        <f>G40*G41</f>
        <v/>
      </c>
      <c r="H42" s="16">
        <f>H40*H41</f>
        <v/>
      </c>
      <c r="I42" s="16">
        <f>I40*I41</f>
        <v/>
      </c>
      <c r="J42" s="16">
        <f>J40*J41</f>
        <v/>
      </c>
      <c r="K42" s="16">
        <f>K40*K41</f>
        <v/>
      </c>
      <c r="L42" s="16">
        <f>L40*L41</f>
        <v/>
      </c>
    </row>
    <row r="44">
      <c r="A44" s="3" t="inlineStr">
        <is>
          <t>3. COSTOS VARIABLES</t>
        </is>
      </c>
      <c r="B44" s="27" t="n"/>
      <c r="C44" s="27" t="n"/>
      <c r="D44" s="27" t="n"/>
      <c r="E44" s="27" t="n"/>
      <c r="F44" s="27" t="n"/>
      <c r="G44" s="27" t="n"/>
      <c r="H44" s="27" t="n"/>
      <c r="I44" s="27" t="n"/>
      <c r="J44" s="27" t="n"/>
      <c r="K44" s="27" t="n"/>
      <c r="L44" s="28" t="n"/>
    </row>
    <row r="45">
      <c r="A45" s="3" t="inlineStr">
        <is>
          <t>Concepto</t>
        </is>
      </c>
      <c r="B45" s="5" t="inlineStr">
        <is>
          <t>Año 0</t>
        </is>
      </c>
      <c r="C45" s="5" t="inlineStr">
        <is>
          <t>Año 1</t>
        </is>
      </c>
      <c r="D45" s="5" t="inlineStr">
        <is>
          <t>Año 2</t>
        </is>
      </c>
      <c r="E45" s="5" t="inlineStr">
        <is>
          <t>Año 3</t>
        </is>
      </c>
      <c r="F45" s="5" t="inlineStr">
        <is>
          <t>Año 4</t>
        </is>
      </c>
      <c r="G45" s="5" t="inlineStr">
        <is>
          <t>Año 5</t>
        </is>
      </c>
      <c r="H45" s="5" t="inlineStr">
        <is>
          <t>Año 6</t>
        </is>
      </c>
      <c r="I45" s="5" t="inlineStr">
        <is>
          <t>Año 7</t>
        </is>
      </c>
      <c r="J45" s="5" t="inlineStr">
        <is>
          <t>Año 8</t>
        </is>
      </c>
      <c r="K45" s="5" t="inlineStr">
        <is>
          <t>Año 9</t>
        </is>
      </c>
      <c r="L45" s="5" t="inlineStr">
        <is>
          <t>Año 10</t>
        </is>
      </c>
    </row>
    <row r="46">
      <c r="A46" s="6" t="inlineStr">
        <is>
          <t>Leche cruda (con merma)</t>
        </is>
      </c>
      <c r="B46" s="12" t="n">
        <v>0</v>
      </c>
      <c r="C46" s="12">
        <f>C40*$B$13/(1-$B$14)*(1+$B$11)^1</f>
        <v/>
      </c>
      <c r="D46" s="12">
        <f>D40*$B$13/(1-$B$14)*(1+$B$11)^2</f>
        <v/>
      </c>
      <c r="E46" s="12">
        <f>E40*$B$13/(1-$B$14)*(1+$B$11)^3</f>
        <v/>
      </c>
      <c r="F46" s="12">
        <f>F40*$B$13/(1-$B$14)*(1+$B$11)^4</f>
        <v/>
      </c>
      <c r="G46" s="12">
        <f>G40*$B$13/(1-$B$14)*(1+$B$11)^5</f>
        <v/>
      </c>
      <c r="H46" s="12">
        <f>H40*$B$13/(1-$B$14)*(1+$B$11)^6</f>
        <v/>
      </c>
      <c r="I46" s="12">
        <f>I40*$B$13/(1-$B$14)*(1+$B$11)^7</f>
        <v/>
      </c>
      <c r="J46" s="12">
        <f>J40*$B$13/(1-$B$14)*(1+$B$11)^8</f>
        <v/>
      </c>
      <c r="K46" s="12">
        <f>K40*$B$13/(1-$B$14)*(1+$B$11)^9</f>
        <v/>
      </c>
      <c r="L46" s="12">
        <f>L40*$B$13/(1-$B$14)*(1+$B$11)^10</f>
        <v/>
      </c>
    </row>
    <row r="47">
      <c r="A47" s="6" t="inlineStr">
        <is>
          <t>Empaque (bolsas)</t>
        </is>
      </c>
      <c r="B47" s="12" t="n">
        <v>0</v>
      </c>
      <c r="C47" s="12">
        <f>C40*$B$15*(1+$B$11)^1</f>
        <v/>
      </c>
      <c r="D47" s="12">
        <f>D40*$B$15*(1+$B$11)^2</f>
        <v/>
      </c>
      <c r="E47" s="12">
        <f>E40*$B$15*(1+$B$11)^3</f>
        <v/>
      </c>
      <c r="F47" s="12">
        <f>F40*$B$15*(1+$B$11)^4</f>
        <v/>
      </c>
      <c r="G47" s="12">
        <f>G40*$B$15*(1+$B$11)^5</f>
        <v/>
      </c>
      <c r="H47" s="12">
        <f>H40*$B$15*(1+$B$11)^6</f>
        <v/>
      </c>
      <c r="I47" s="12">
        <f>I40*$B$15*(1+$B$11)^7</f>
        <v/>
      </c>
      <c r="J47" s="12">
        <f>J40*$B$15*(1+$B$11)^8</f>
        <v/>
      </c>
      <c r="K47" s="12">
        <f>K40*$B$15*(1+$B$11)^9</f>
        <v/>
      </c>
      <c r="L47" s="12">
        <f>L40*$B$15*(1+$B$11)^10</f>
        <v/>
      </c>
    </row>
    <row r="48">
      <c r="A48" s="6" t="inlineStr">
        <is>
          <t>Combustible de reparto</t>
        </is>
      </c>
      <c r="B48" s="12" t="n">
        <v>0</v>
      </c>
      <c r="C48" s="12">
        <f>C40*$B$16*(1+$B$11)^1</f>
        <v/>
      </c>
      <c r="D48" s="12">
        <f>D40*$B$16*(1+$B$11)^2</f>
        <v/>
      </c>
      <c r="E48" s="12">
        <f>E40*$B$16*(1+$B$11)^3</f>
        <v/>
      </c>
      <c r="F48" s="12">
        <f>F40*$B$16*(1+$B$11)^4</f>
        <v/>
      </c>
      <c r="G48" s="12">
        <f>G40*$B$16*(1+$B$11)^5</f>
        <v/>
      </c>
      <c r="H48" s="12">
        <f>H40*$B$16*(1+$B$11)^6</f>
        <v/>
      </c>
      <c r="I48" s="12">
        <f>I40*$B$16*(1+$B$11)^7</f>
        <v/>
      </c>
      <c r="J48" s="12">
        <f>J40*$B$16*(1+$B$11)^8</f>
        <v/>
      </c>
      <c r="K48" s="12">
        <f>K40*$B$16*(1+$B$11)^9</f>
        <v/>
      </c>
      <c r="L48" s="12">
        <f>L40*$B$16*(1+$B$11)^10</f>
        <v/>
      </c>
    </row>
    <row r="49">
      <c r="A49" s="15" t="inlineStr">
        <is>
          <t>TOTAL COSTOS VARIABLES</t>
        </is>
      </c>
      <c r="B49" s="16">
        <f>SUM(B46:B48)</f>
        <v/>
      </c>
      <c r="C49" s="16">
        <f>SUM(C46:C48)</f>
        <v/>
      </c>
      <c r="D49" s="16">
        <f>SUM(D46:D48)</f>
        <v/>
      </c>
      <c r="E49" s="16">
        <f>SUM(E46:E48)</f>
        <v/>
      </c>
      <c r="F49" s="16">
        <f>SUM(F46:F48)</f>
        <v/>
      </c>
      <c r="G49" s="16">
        <f>SUM(G46:G48)</f>
        <v/>
      </c>
      <c r="H49" s="16">
        <f>SUM(H46:H48)</f>
        <v/>
      </c>
      <c r="I49" s="16">
        <f>SUM(I46:I48)</f>
        <v/>
      </c>
      <c r="J49" s="16">
        <f>SUM(J46:J48)</f>
        <v/>
      </c>
      <c r="K49" s="16">
        <f>SUM(K46:K48)</f>
        <v/>
      </c>
      <c r="L49" s="16">
        <f>SUM(L46:L48)</f>
        <v/>
      </c>
    </row>
    <row r="51">
      <c r="A51" s="3" t="inlineStr">
        <is>
          <t>4. COSTO DE PERSONAL</t>
        </is>
      </c>
      <c r="B51" s="27" t="n"/>
      <c r="C51" s="27" t="n"/>
      <c r="D51" s="27" t="n"/>
      <c r="E51" s="27" t="n"/>
      <c r="F51" s="27" t="n"/>
      <c r="G51" s="27" t="n"/>
      <c r="H51" s="27" t="n"/>
      <c r="I51" s="27" t="n"/>
      <c r="J51" s="27" t="n"/>
      <c r="K51" s="27" t="n"/>
      <c r="L51" s="28" t="n"/>
    </row>
    <row r="52">
      <c r="A52" s="3" t="inlineStr">
        <is>
          <t>Cargo</t>
        </is>
      </c>
      <c r="B52" s="5" t="inlineStr">
        <is>
          <t>Salario mensual</t>
        </is>
      </c>
      <c r="C52" s="5" t="inlineStr">
        <is>
          <t>Base cotizable (con techo)</t>
        </is>
      </c>
      <c r="D52" s="18" t="inlineStr"/>
      <c r="E52" s="27" t="n"/>
      <c r="F52" s="27" t="n"/>
      <c r="G52" s="27" t="n"/>
      <c r="H52" s="27" t="n"/>
      <c r="I52" s="27" t="n"/>
      <c r="J52" s="27" t="n"/>
      <c r="K52" s="27" t="n"/>
      <c r="L52" s="28" t="n"/>
    </row>
    <row r="53">
      <c r="A53" s="6" t="inlineStr">
        <is>
          <t>Gerente de operaciones</t>
        </is>
      </c>
      <c r="B53" s="12" t="n">
        <v>25000</v>
      </c>
      <c r="C53" s="12">
        <f>MIN(B53,$B$20)</f>
        <v/>
      </c>
      <c r="D53" s="19" t="inlineStr"/>
      <c r="E53" s="27" t="n"/>
      <c r="F53" s="27" t="n"/>
      <c r="G53" s="27" t="n"/>
      <c r="H53" s="27" t="n"/>
      <c r="I53" s="27" t="n"/>
      <c r="J53" s="27" t="n"/>
      <c r="K53" s="27" t="n"/>
      <c r="L53" s="28" t="n"/>
    </row>
    <row r="54">
      <c r="A54" s="6" t="inlineStr">
        <is>
          <t>Asistente de televenta y facturación</t>
        </is>
      </c>
      <c r="B54" s="12" t="n">
        <v>17000</v>
      </c>
      <c r="C54" s="12">
        <f>MIN(B54,$B$20)</f>
        <v/>
      </c>
      <c r="D54" s="19" t="inlineStr"/>
      <c r="E54" s="27" t="n"/>
      <c r="F54" s="27" t="n"/>
      <c r="G54" s="27" t="n"/>
      <c r="H54" s="27" t="n"/>
      <c r="I54" s="27" t="n"/>
      <c r="J54" s="27" t="n"/>
      <c r="K54" s="27" t="n"/>
      <c r="L54" s="28" t="n"/>
    </row>
    <row r="55">
      <c r="A55" s="6" t="inlineStr">
        <is>
          <t>Operador de recibo y despacho</t>
        </is>
      </c>
      <c r="B55" s="12" t="n">
        <v>11300</v>
      </c>
      <c r="C55" s="12">
        <f>MIN(B55,$B$20)</f>
        <v/>
      </c>
      <c r="D55" s="19" t="inlineStr"/>
      <c r="E55" s="27" t="n"/>
      <c r="F55" s="27" t="n"/>
      <c r="G55" s="27" t="n"/>
      <c r="H55" s="27" t="n"/>
      <c r="I55" s="27" t="n"/>
      <c r="J55" s="27" t="n"/>
      <c r="K55" s="27" t="n"/>
      <c r="L55" s="28" t="n"/>
    </row>
    <row r="56">
      <c r="A56" s="6" t="inlineStr">
        <is>
          <t>Operador de pasteurización y empaque</t>
        </is>
      </c>
      <c r="B56" s="12" t="n">
        <v>11300</v>
      </c>
      <c r="C56" s="12">
        <f>MIN(B56,$B$20)</f>
        <v/>
      </c>
      <c r="D56" s="19" t="inlineStr"/>
      <c r="E56" s="27" t="n"/>
      <c r="F56" s="27" t="n"/>
      <c r="G56" s="27" t="n"/>
      <c r="H56" s="27" t="n"/>
      <c r="I56" s="27" t="n"/>
      <c r="J56" s="27" t="n"/>
      <c r="K56" s="27" t="n"/>
      <c r="L56" s="28" t="n"/>
    </row>
    <row r="57">
      <c r="A57" s="6" t="inlineStr">
        <is>
          <t>Operador de mantenimiento y aseo</t>
        </is>
      </c>
      <c r="B57" s="12" t="n">
        <v>14000</v>
      </c>
      <c r="C57" s="12">
        <f>MIN(B57,$B$20)</f>
        <v/>
      </c>
      <c r="D57" s="19" t="inlineStr"/>
      <c r="E57" s="27" t="n"/>
      <c r="F57" s="27" t="n"/>
      <c r="G57" s="27" t="n"/>
      <c r="H57" s="27" t="n"/>
      <c r="I57" s="27" t="n"/>
      <c r="J57" s="27" t="n"/>
      <c r="K57" s="27" t="n"/>
      <c r="L57" s="28" t="n"/>
    </row>
    <row r="58">
      <c r="A58" s="6" t="inlineStr">
        <is>
          <t>Entregador</t>
        </is>
      </c>
      <c r="B58" s="12" t="n">
        <v>14000</v>
      </c>
      <c r="C58" s="12">
        <f>MIN(B58,$B$20)</f>
        <v/>
      </c>
      <c r="D58" s="19" t="inlineStr"/>
      <c r="E58" s="27" t="n"/>
      <c r="F58" s="27" t="n"/>
      <c r="G58" s="27" t="n"/>
      <c r="H58" s="27" t="n"/>
      <c r="I58" s="27" t="n"/>
      <c r="J58" s="27" t="n"/>
      <c r="K58" s="27" t="n"/>
      <c r="L58" s="28" t="n"/>
    </row>
    <row r="59">
      <c r="A59" s="15" t="inlineStr">
        <is>
          <t>Planilla mensual y base cotizable</t>
        </is>
      </c>
      <c r="B59" s="16">
        <f>SUM(B53:B58)</f>
        <v/>
      </c>
      <c r="C59" s="16">
        <f>SUM(C53:C58)</f>
        <v/>
      </c>
      <c r="D59" s="20" t="inlineStr"/>
      <c r="E59" s="27" t="n"/>
      <c r="F59" s="27" t="n"/>
      <c r="G59" s="27" t="n"/>
      <c r="H59" s="27" t="n"/>
      <c r="I59" s="27" t="n"/>
      <c r="J59" s="27" t="n"/>
      <c r="K59" s="27" t="n"/>
      <c r="L59" s="28" t="n"/>
    </row>
    <row r="60">
      <c r="A60" s="6" t="inlineStr">
        <is>
          <t>Cargas patronales mensuales</t>
        </is>
      </c>
      <c r="B60" s="12">
        <f>C59*$B$18+B59*$B$19</f>
        <v/>
      </c>
      <c r="C60" s="19" t="inlineStr"/>
      <c r="D60" s="27" t="n"/>
      <c r="E60" s="27" t="n"/>
      <c r="F60" s="27" t="n"/>
      <c r="G60" s="27" t="n"/>
      <c r="H60" s="27" t="n"/>
      <c r="I60" s="27" t="n"/>
      <c r="J60" s="27" t="n"/>
      <c r="K60" s="27" t="n"/>
      <c r="L60" s="28" t="n"/>
    </row>
    <row r="61">
      <c r="A61" s="3" t="inlineStr">
        <is>
          <t>Concepto</t>
        </is>
      </c>
      <c r="B61" s="5" t="inlineStr">
        <is>
          <t>Año 0</t>
        </is>
      </c>
      <c r="C61" s="5" t="inlineStr">
        <is>
          <t>Año 1</t>
        </is>
      </c>
      <c r="D61" s="5" t="inlineStr">
        <is>
          <t>Año 2</t>
        </is>
      </c>
      <c r="E61" s="5" t="inlineStr">
        <is>
          <t>Año 3</t>
        </is>
      </c>
      <c r="F61" s="5" t="inlineStr">
        <is>
          <t>Año 4</t>
        </is>
      </c>
      <c r="G61" s="5" t="inlineStr">
        <is>
          <t>Año 5</t>
        </is>
      </c>
      <c r="H61" s="5" t="inlineStr">
        <is>
          <t>Año 6</t>
        </is>
      </c>
      <c r="I61" s="5" t="inlineStr">
        <is>
          <t>Año 7</t>
        </is>
      </c>
      <c r="J61" s="5" t="inlineStr">
        <is>
          <t>Año 8</t>
        </is>
      </c>
      <c r="K61" s="5" t="inlineStr">
        <is>
          <t>Año 9</t>
        </is>
      </c>
      <c r="L61" s="5" t="inlineStr">
        <is>
          <t>Año 10</t>
        </is>
      </c>
    </row>
    <row r="62">
      <c r="A62" s="6" t="inlineStr">
        <is>
          <t>Costo anual de personal</t>
        </is>
      </c>
      <c r="B62" s="12" t="n">
        <v>0</v>
      </c>
      <c r="C62" s="12">
        <f>(B59*$B$17+B60*12)*(1+$B$11)^1</f>
        <v/>
      </c>
      <c r="D62" s="12">
        <f>(B59*$B$17+B60*12)*(1+$B$11)^2</f>
        <v/>
      </c>
      <c r="E62" s="12">
        <f>(B59*$B$17+B60*12)*(1+$B$11)^3</f>
        <v/>
      </c>
      <c r="F62" s="12">
        <f>(B59*$B$17+B60*12)*(1+$B$11)^4</f>
        <v/>
      </c>
      <c r="G62" s="12">
        <f>(B59*$B$17+B60*12)*(1+$B$11)^5</f>
        <v/>
      </c>
      <c r="H62" s="12">
        <f>(B59*$B$17+B60*12)*(1+$B$11)^6</f>
        <v/>
      </c>
      <c r="I62" s="12">
        <f>(B59*$B$17+B60*12)*(1+$B$11)^7</f>
        <v/>
      </c>
      <c r="J62" s="12">
        <f>(B59*$B$17+B60*12)*(1+$B$11)^8</f>
        <v/>
      </c>
      <c r="K62" s="12">
        <f>(B59*$B$17+B60*12)*(1+$B$11)^9</f>
        <v/>
      </c>
      <c r="L62" s="12">
        <f>(B59*$B$17+B60*12)*(1+$B$11)^10</f>
        <v/>
      </c>
    </row>
    <row r="64">
      <c r="A64" s="3" t="inlineStr">
        <is>
          <t>5. COSTOS FIJOS (anuales)</t>
        </is>
      </c>
      <c r="B64" s="27" t="n"/>
      <c r="C64" s="27" t="n"/>
      <c r="D64" s="27" t="n"/>
      <c r="E64" s="27" t="n"/>
      <c r="F64" s="27" t="n"/>
      <c r="G64" s="27" t="n"/>
      <c r="H64" s="27" t="n"/>
      <c r="I64" s="27" t="n"/>
      <c r="J64" s="27" t="n"/>
      <c r="K64" s="27" t="n"/>
      <c r="L64" s="28" t="n"/>
    </row>
    <row r="65">
      <c r="A65" s="3" t="inlineStr">
        <is>
          <t>Concepto</t>
        </is>
      </c>
      <c r="B65" s="5" t="inlineStr">
        <is>
          <t>Año 0</t>
        </is>
      </c>
      <c r="C65" s="5" t="inlineStr">
        <is>
          <t>Año 1</t>
        </is>
      </c>
      <c r="D65" s="5" t="inlineStr">
        <is>
          <t>Año 2</t>
        </is>
      </c>
      <c r="E65" s="5" t="inlineStr">
        <is>
          <t>Año 3</t>
        </is>
      </c>
      <c r="F65" s="5" t="inlineStr">
        <is>
          <t>Año 4</t>
        </is>
      </c>
      <c r="G65" s="5" t="inlineStr">
        <is>
          <t>Año 5</t>
        </is>
      </c>
      <c r="H65" s="5" t="inlineStr">
        <is>
          <t>Año 6</t>
        </is>
      </c>
      <c r="I65" s="5" t="inlineStr">
        <is>
          <t>Año 7</t>
        </is>
      </c>
      <c r="J65" s="5" t="inlineStr">
        <is>
          <t>Año 8</t>
        </is>
      </c>
      <c r="K65" s="5" t="inlineStr">
        <is>
          <t>Año 9</t>
        </is>
      </c>
      <c r="L65" s="5" t="inlineStr">
        <is>
          <t>Año 10</t>
        </is>
      </c>
    </row>
    <row r="66">
      <c r="A66" s="6" t="inlineStr">
        <is>
          <t>Costos fijos operativos</t>
        </is>
      </c>
      <c r="B66" s="12" t="n">
        <v>0</v>
      </c>
      <c r="C66" s="12">
        <f>$B$21*12*(1+$B$11)^1</f>
        <v/>
      </c>
      <c r="D66" s="12">
        <f>$B$21*12*(1+$B$11)^2</f>
        <v/>
      </c>
      <c r="E66" s="12">
        <f>$B$21*12*(1+$B$11)^3</f>
        <v/>
      </c>
      <c r="F66" s="12">
        <f>$B$21*12*(1+$B$11)^4</f>
        <v/>
      </c>
      <c r="G66" s="12">
        <f>$B$21*12*(1+$B$11)^5</f>
        <v/>
      </c>
      <c r="H66" s="12">
        <f>$B$21*12*(1+$B$11)^6</f>
        <v/>
      </c>
      <c r="I66" s="12">
        <f>$B$21*12*(1+$B$11)^7</f>
        <v/>
      </c>
      <c r="J66" s="12">
        <f>$B$21*12*(1+$B$11)^8</f>
        <v/>
      </c>
      <c r="K66" s="12">
        <f>$B$21*12*(1+$B$11)^9</f>
        <v/>
      </c>
      <c r="L66" s="12">
        <f>$B$21*12*(1+$B$11)^10</f>
        <v/>
      </c>
    </row>
    <row r="67">
      <c r="A67" s="6" t="inlineStr">
        <is>
          <t>Gastos administrativos</t>
        </is>
      </c>
      <c r="B67" s="12" t="n">
        <v>0</v>
      </c>
      <c r="C67" s="12">
        <f>$B$22*12*(1+$B$11)^1</f>
        <v/>
      </c>
      <c r="D67" s="12">
        <f>$B$22*12*(1+$B$11)^2</f>
        <v/>
      </c>
      <c r="E67" s="12">
        <f>$B$22*12*(1+$B$11)^3</f>
        <v/>
      </c>
      <c r="F67" s="12">
        <f>$B$22*12*(1+$B$11)^4</f>
        <v/>
      </c>
      <c r="G67" s="12">
        <f>$B$22*12*(1+$B$11)^5</f>
        <v/>
      </c>
      <c r="H67" s="12">
        <f>$B$22*12*(1+$B$11)^6</f>
        <v/>
      </c>
      <c r="I67" s="12">
        <f>$B$22*12*(1+$B$11)^7</f>
        <v/>
      </c>
      <c r="J67" s="12">
        <f>$B$22*12*(1+$B$11)^8</f>
        <v/>
      </c>
      <c r="K67" s="12">
        <f>$B$22*12*(1+$B$11)^9</f>
        <v/>
      </c>
      <c r="L67" s="12">
        <f>$B$22*12*(1+$B$11)^10</f>
        <v/>
      </c>
    </row>
    <row r="68">
      <c r="A68" s="6" t="inlineStr">
        <is>
          <t>Personal</t>
        </is>
      </c>
      <c r="B68" s="12">
        <f>B62</f>
        <v/>
      </c>
      <c r="C68" s="12">
        <f>C62</f>
        <v/>
      </c>
      <c r="D68" s="12">
        <f>D62</f>
        <v/>
      </c>
      <c r="E68" s="12">
        <f>E62</f>
        <v/>
      </c>
      <c r="F68" s="12">
        <f>F62</f>
        <v/>
      </c>
      <c r="G68" s="12">
        <f>G62</f>
        <v/>
      </c>
      <c r="H68" s="12">
        <f>H62</f>
        <v/>
      </c>
      <c r="I68" s="12">
        <f>I62</f>
        <v/>
      </c>
      <c r="J68" s="12">
        <f>J62</f>
        <v/>
      </c>
      <c r="K68" s="12">
        <f>K62</f>
        <v/>
      </c>
      <c r="L68" s="12">
        <f>L62</f>
        <v/>
      </c>
    </row>
    <row r="69">
      <c r="A69" s="15" t="inlineStr">
        <is>
          <t>TOTAL COSTOS FIJOS</t>
        </is>
      </c>
      <c r="B69" s="16">
        <f>SUM(B66:B68)</f>
        <v/>
      </c>
      <c r="C69" s="16">
        <f>SUM(C66:C68)</f>
        <v/>
      </c>
      <c r="D69" s="16">
        <f>SUM(D66:D68)</f>
        <v/>
      </c>
      <c r="E69" s="16">
        <f>SUM(E66:E68)</f>
        <v/>
      </c>
      <c r="F69" s="16">
        <f>SUM(F66:F68)</f>
        <v/>
      </c>
      <c r="G69" s="16">
        <f>SUM(G66:G68)</f>
        <v/>
      </c>
      <c r="H69" s="16">
        <f>SUM(H66:H68)</f>
        <v/>
      </c>
      <c r="I69" s="16">
        <f>SUM(I66:I68)</f>
        <v/>
      </c>
      <c r="J69" s="16">
        <f>SUM(J66:J68)</f>
        <v/>
      </c>
      <c r="K69" s="16">
        <f>SUM(K66:K68)</f>
        <v/>
      </c>
      <c r="L69" s="16">
        <f>SUM(L66:L68)</f>
        <v/>
      </c>
    </row>
    <row r="71">
      <c r="A71" s="3" t="inlineStr">
        <is>
          <t>6. DEPRECIACIONES Y AMORTIZACIONES</t>
        </is>
      </c>
      <c r="B71" s="27" t="n"/>
      <c r="C71" s="27" t="n"/>
      <c r="D71" s="27" t="n"/>
      <c r="E71" s="27" t="n"/>
      <c r="F71" s="27" t="n"/>
      <c r="G71" s="27" t="n"/>
      <c r="H71" s="27" t="n"/>
      <c r="I71" s="27" t="n"/>
      <c r="J71" s="27" t="n"/>
      <c r="K71" s="27" t="n"/>
      <c r="L71" s="28" t="n"/>
    </row>
    <row r="72">
      <c r="A72" s="3" t="inlineStr">
        <is>
          <t>Activo</t>
        </is>
      </c>
      <c r="B72" s="5" t="inlineStr">
        <is>
          <t>Valor</t>
        </is>
      </c>
      <c r="C72" s="5" t="inlineStr">
        <is>
          <t>Año 1</t>
        </is>
      </c>
      <c r="D72" s="5" t="inlineStr">
        <is>
          <t>Año 2</t>
        </is>
      </c>
      <c r="E72" s="5" t="inlineStr">
        <is>
          <t>Año 3</t>
        </is>
      </c>
      <c r="F72" s="5" t="inlineStr">
        <is>
          <t>Año 4</t>
        </is>
      </c>
      <c r="G72" s="5" t="inlineStr">
        <is>
          <t>Año 5</t>
        </is>
      </c>
      <c r="H72" s="5" t="inlineStr">
        <is>
          <t>Año 6</t>
        </is>
      </c>
      <c r="I72" s="5" t="inlineStr">
        <is>
          <t>Año 7</t>
        </is>
      </c>
      <c r="J72" s="5" t="inlineStr">
        <is>
          <t>Año 8</t>
        </is>
      </c>
      <c r="K72" s="5" t="inlineStr">
        <is>
          <t>Año 9</t>
        </is>
      </c>
      <c r="L72" s="5" t="inlineStr">
        <is>
          <t>Año 10</t>
        </is>
      </c>
    </row>
    <row r="73">
      <c r="A73" s="6" t="inlineStr">
        <is>
          <t>Tanques de almacenamiento (10 años)</t>
        </is>
      </c>
      <c r="B73" s="12">
        <f>B28</f>
        <v/>
      </c>
      <c r="C73" s="12">
        <f>$B73/E28</f>
        <v/>
      </c>
      <c r="D73" s="12">
        <f>$B73/E28</f>
        <v/>
      </c>
      <c r="E73" s="12">
        <f>$B73/E28</f>
        <v/>
      </c>
      <c r="F73" s="12">
        <f>$B73/E28</f>
        <v/>
      </c>
      <c r="G73" s="12">
        <f>$B73/E28</f>
        <v/>
      </c>
      <c r="H73" s="12">
        <f>$B73/E28</f>
        <v/>
      </c>
      <c r="I73" s="12">
        <f>$B73/E28</f>
        <v/>
      </c>
      <c r="J73" s="12">
        <f>$B73/E28</f>
        <v/>
      </c>
      <c r="K73" s="12">
        <f>$B73/E28</f>
        <v/>
      </c>
      <c r="L73" s="12">
        <f>$B73/E28</f>
        <v/>
      </c>
    </row>
    <row r="74">
      <c r="A74" s="6" t="inlineStr">
        <is>
          <t>Pasteurizador HTST (10 años)</t>
        </is>
      </c>
      <c r="B74" s="12">
        <f>B29</f>
        <v/>
      </c>
      <c r="C74" s="12">
        <f>$B74/E29</f>
        <v/>
      </c>
      <c r="D74" s="12">
        <f>$B74/E29</f>
        <v/>
      </c>
      <c r="E74" s="12">
        <f>$B74/E29</f>
        <v/>
      </c>
      <c r="F74" s="12">
        <f>$B74/E29</f>
        <v/>
      </c>
      <c r="G74" s="12">
        <f>$B74/E29</f>
        <v/>
      </c>
      <c r="H74" s="12">
        <f>$B74/E29</f>
        <v/>
      </c>
      <c r="I74" s="12">
        <f>$B74/E29</f>
        <v/>
      </c>
      <c r="J74" s="12">
        <f>$B74/E29</f>
        <v/>
      </c>
      <c r="K74" s="12">
        <f>$B74/E29</f>
        <v/>
      </c>
      <c r="L74" s="12">
        <f>$B74/E29</f>
        <v/>
      </c>
    </row>
    <row r="75">
      <c r="A75" s="6" t="inlineStr">
        <is>
          <t>Envasadora automática (10 años)</t>
        </is>
      </c>
      <c r="B75" s="12">
        <f>B30</f>
        <v/>
      </c>
      <c r="C75" s="12">
        <f>$B75/E30</f>
        <v/>
      </c>
      <c r="D75" s="12">
        <f>$B75/E30</f>
        <v/>
      </c>
      <c r="E75" s="12">
        <f>$B75/E30</f>
        <v/>
      </c>
      <c r="F75" s="12">
        <f>$B75/E30</f>
        <v/>
      </c>
      <c r="G75" s="12">
        <f>$B75/E30</f>
        <v/>
      </c>
      <c r="H75" s="12">
        <f>$B75/E30</f>
        <v/>
      </c>
      <c r="I75" s="12">
        <f>$B75/E30</f>
        <v/>
      </c>
      <c r="J75" s="12">
        <f>$B75/E30</f>
        <v/>
      </c>
      <c r="K75" s="12">
        <f>$B75/E30</f>
        <v/>
      </c>
      <c r="L75" s="12">
        <f>$B75/E30</f>
        <v/>
      </c>
    </row>
    <row r="76">
      <c r="A76" s="6" t="inlineStr">
        <is>
          <t>Sistema de enfriamiento (10 años)</t>
        </is>
      </c>
      <c r="B76" s="12">
        <f>B31</f>
        <v/>
      </c>
      <c r="C76" s="12">
        <f>$B76/E31</f>
        <v/>
      </c>
      <c r="D76" s="12">
        <f>$B76/E31</f>
        <v/>
      </c>
      <c r="E76" s="12">
        <f>$B76/E31</f>
        <v/>
      </c>
      <c r="F76" s="12">
        <f>$B76/E31</f>
        <v/>
      </c>
      <c r="G76" s="12">
        <f>$B76/E31</f>
        <v/>
      </c>
      <c r="H76" s="12">
        <f>$B76/E31</f>
        <v/>
      </c>
      <c r="I76" s="12">
        <f>$B76/E31</f>
        <v/>
      </c>
      <c r="J76" s="12">
        <f>$B76/E31</f>
        <v/>
      </c>
      <c r="K76" s="12">
        <f>$B76/E31</f>
        <v/>
      </c>
      <c r="L76" s="12">
        <f>$B76/E31</f>
        <v/>
      </c>
    </row>
    <row r="77">
      <c r="A77" s="6" t="inlineStr">
        <is>
          <t>Camión de distribución (5 años)</t>
        </is>
      </c>
      <c r="B77" s="12">
        <f>B32</f>
        <v/>
      </c>
      <c r="C77" s="12">
        <f>$B77/E32</f>
        <v/>
      </c>
      <c r="D77" s="12">
        <f>$B77/E32</f>
        <v/>
      </c>
      <c r="E77" s="12">
        <f>$B77/E32</f>
        <v/>
      </c>
      <c r="F77" s="12">
        <f>$B77/E32</f>
        <v/>
      </c>
      <c r="G77" s="12">
        <f>$B77/E32</f>
        <v/>
      </c>
      <c r="H77" s="12" t="n">
        <v>0</v>
      </c>
      <c r="I77" s="12" t="n">
        <v>0</v>
      </c>
      <c r="J77" s="12" t="n">
        <v>0</v>
      </c>
      <c r="K77" s="12" t="n">
        <v>0</v>
      </c>
      <c r="L77" s="12" t="n">
        <v>0</v>
      </c>
    </row>
    <row r="78">
      <c r="A78" s="6" t="inlineStr">
        <is>
          <t>Amortización de diferidos (5 años)</t>
        </is>
      </c>
      <c r="B78" s="12">
        <f>B33</f>
        <v/>
      </c>
      <c r="C78" s="12">
        <f>$B78/E33</f>
        <v/>
      </c>
      <c r="D78" s="12">
        <f>$B78/E33</f>
        <v/>
      </c>
      <c r="E78" s="12">
        <f>$B78/E33</f>
        <v/>
      </c>
      <c r="F78" s="12">
        <f>$B78/E33</f>
        <v/>
      </c>
      <c r="G78" s="12">
        <f>$B78/E33</f>
        <v/>
      </c>
      <c r="H78" s="12" t="n">
        <v>0</v>
      </c>
      <c r="I78" s="12" t="n">
        <v>0</v>
      </c>
      <c r="J78" s="12" t="n">
        <v>0</v>
      </c>
      <c r="K78" s="12" t="n">
        <v>0</v>
      </c>
      <c r="L78" s="12" t="n">
        <v>0</v>
      </c>
    </row>
    <row r="79">
      <c r="A79" s="15" t="inlineStr">
        <is>
          <t>TOTAL DEPRECIACIÓN Y AMORTIZACIÓN</t>
        </is>
      </c>
      <c r="B79" s="16">
        <f>SUM(B73:B78)</f>
        <v/>
      </c>
      <c r="C79" s="16">
        <f>SUM(C73:C78)</f>
        <v/>
      </c>
      <c r="D79" s="16">
        <f>SUM(D73:D78)</f>
        <v/>
      </c>
      <c r="E79" s="16">
        <f>SUM(E73:E78)</f>
        <v/>
      </c>
      <c r="F79" s="16">
        <f>SUM(F73:F78)</f>
        <v/>
      </c>
      <c r="G79" s="16">
        <f>SUM(G73:G78)</f>
        <v/>
      </c>
      <c r="H79" s="16">
        <f>SUM(H73:H78)</f>
        <v/>
      </c>
      <c r="I79" s="16">
        <f>SUM(I73:I78)</f>
        <v/>
      </c>
      <c r="J79" s="16">
        <f>SUM(J73:J78)</f>
        <v/>
      </c>
      <c r="K79" s="16">
        <f>SUM(K73:K78)</f>
        <v/>
      </c>
      <c r="L79" s="16">
        <f>SUM(L73:L78)</f>
        <v/>
      </c>
    </row>
    <row r="81">
      <c r="A81" s="3" t="inlineStr">
        <is>
          <t>7. VALOR DE DESECHO Y CAPITAL DE TRABAJO</t>
        </is>
      </c>
      <c r="B81" s="27" t="n"/>
      <c r="C81" s="27" t="n"/>
      <c r="D81" s="27" t="n"/>
      <c r="E81" s="27" t="n"/>
      <c r="F81" s="27" t="n"/>
      <c r="G81" s="27" t="n"/>
      <c r="H81" s="27" t="n"/>
      <c r="I81" s="27" t="n"/>
      <c r="J81" s="27" t="n"/>
      <c r="K81" s="27" t="n"/>
      <c r="L81" s="28" t="n"/>
    </row>
    <row r="82">
      <c r="A82" s="3" t="inlineStr">
        <is>
          <t>Concepto</t>
        </is>
      </c>
      <c r="B82" s="5" t="inlineStr">
        <is>
          <t>Año 0</t>
        </is>
      </c>
      <c r="C82" s="5" t="inlineStr">
        <is>
          <t>Año 1</t>
        </is>
      </c>
      <c r="D82" s="5" t="inlineStr">
        <is>
          <t>Año 2</t>
        </is>
      </c>
      <c r="E82" s="5" t="inlineStr">
        <is>
          <t>Año 3</t>
        </is>
      </c>
      <c r="F82" s="5" t="inlineStr">
        <is>
          <t>Año 4</t>
        </is>
      </c>
      <c r="G82" s="5" t="inlineStr">
        <is>
          <t>Año 5</t>
        </is>
      </c>
      <c r="H82" s="5" t="inlineStr">
        <is>
          <t>Año 6</t>
        </is>
      </c>
      <c r="I82" s="5" t="inlineStr">
        <is>
          <t>Año 7</t>
        </is>
      </c>
      <c r="J82" s="5" t="inlineStr">
        <is>
          <t>Año 8</t>
        </is>
      </c>
      <c r="K82" s="5" t="inlineStr">
        <is>
          <t>Año 9</t>
        </is>
      </c>
      <c r="L82" s="5" t="inlineStr">
        <is>
          <t>Año 10</t>
        </is>
      </c>
    </row>
    <row r="83">
      <c r="A83" s="6" t="inlineStr">
        <is>
          <t>Valor de desecho de activos (Año 10)</t>
        </is>
      </c>
      <c r="B83" s="12" t="n">
        <v>0</v>
      </c>
      <c r="C83" s="12" t="n">
        <v>0</v>
      </c>
      <c r="D83" s="12" t="n">
        <v>0</v>
      </c>
      <c r="E83" s="12" t="n">
        <v>0</v>
      </c>
      <c r="F83" s="12" t="n">
        <v>0</v>
      </c>
      <c r="G83" s="12" t="n">
        <v>0</v>
      </c>
      <c r="H83" s="12" t="n">
        <v>0</v>
      </c>
      <c r="I83" s="12" t="n">
        <v>0</v>
      </c>
      <c r="J83" s="12" t="n">
        <v>0</v>
      </c>
      <c r="K83" s="12" t="n">
        <v>0</v>
      </c>
      <c r="L83" s="12" t="n">
        <v>0</v>
      </c>
    </row>
    <row r="84">
      <c r="A84" s="6" t="inlineStr">
        <is>
          <t>Capital de trabajo requerido</t>
        </is>
      </c>
      <c r="B84" s="12">
        <f>(C49+C69)*$B$24/12</f>
        <v/>
      </c>
      <c r="C84" s="12">
        <f>(C49+C69)*$B$24/12</f>
        <v/>
      </c>
      <c r="D84" s="12">
        <f>(D49+D69)*$B$24/12</f>
        <v/>
      </c>
      <c r="E84" s="12">
        <f>(E49+E69)*$B$24/12</f>
        <v/>
      </c>
      <c r="F84" s="12">
        <f>(F49+F69)*$B$24/12</f>
        <v/>
      </c>
      <c r="G84" s="12">
        <f>(G49+G69)*$B$24/12</f>
        <v/>
      </c>
      <c r="H84" s="12">
        <f>(H49+H69)*$B$24/12</f>
        <v/>
      </c>
      <c r="I84" s="12">
        <f>(I49+I69)*$B$24/12</f>
        <v/>
      </c>
      <c r="J84" s="12">
        <f>(J49+J69)*$B$24/12</f>
        <v/>
      </c>
      <c r="K84" s="12">
        <f>(K49+K69)*$B$24/12</f>
        <v/>
      </c>
      <c r="L84" s="12">
        <f>(L49+L69)*$B$24/12</f>
        <v/>
      </c>
    </row>
    <row r="85">
      <c r="A85" s="6" t="inlineStr">
        <is>
          <t>Inversión en capital de trabajo (incremento anual)</t>
        </is>
      </c>
      <c r="B85" s="12">
        <f>B84</f>
        <v/>
      </c>
      <c r="C85" s="12">
        <f>C84-B84</f>
        <v/>
      </c>
      <c r="D85" s="12">
        <f>D84-C84</f>
        <v/>
      </c>
      <c r="E85" s="12">
        <f>E84-D84</f>
        <v/>
      </c>
      <c r="F85" s="12">
        <f>F84-E84</f>
        <v/>
      </c>
      <c r="G85" s="12">
        <f>G84-F84</f>
        <v/>
      </c>
      <c r="H85" s="12">
        <f>H84-G84</f>
        <v/>
      </c>
      <c r="I85" s="12">
        <f>I84-H84</f>
        <v/>
      </c>
      <c r="J85" s="12">
        <f>J84-I84</f>
        <v/>
      </c>
      <c r="K85" s="12">
        <f>K84-J84</f>
        <v/>
      </c>
      <c r="L85" s="12">
        <f>L84-K84</f>
        <v/>
      </c>
    </row>
    <row r="86">
      <c r="A86" s="6" t="inlineStr">
        <is>
          <t>Recuperación capital de trabajo (Año 10)</t>
        </is>
      </c>
      <c r="B86" s="12" t="n">
        <v>0</v>
      </c>
      <c r="C86" s="12" t="n">
        <v>0</v>
      </c>
      <c r="D86" s="12" t="n">
        <v>0</v>
      </c>
      <c r="E86" s="12" t="n">
        <v>0</v>
      </c>
      <c r="F86" s="12" t="n">
        <v>0</v>
      </c>
      <c r="G86" s="12" t="n">
        <v>0</v>
      </c>
      <c r="H86" s="12" t="n">
        <v>0</v>
      </c>
      <c r="I86" s="12" t="n">
        <v>0</v>
      </c>
      <c r="J86" s="12" t="n">
        <v>0</v>
      </c>
      <c r="K86" s="12" t="n">
        <v>0</v>
      </c>
      <c r="L86" s="12">
        <f>L84</f>
        <v/>
      </c>
    </row>
    <row r="88">
      <c r="A88" s="3" t="inlineStr">
        <is>
          <t>8. TABLA DE AMORTIZACIÓN DEL PRÉSTAMO</t>
        </is>
      </c>
      <c r="B88" s="27" t="n"/>
      <c r="C88" s="27" t="n"/>
      <c r="D88" s="27" t="n"/>
      <c r="E88" s="27" t="n"/>
      <c r="F88" s="27" t="n"/>
      <c r="G88" s="27" t="n"/>
      <c r="H88" s="27" t="n"/>
      <c r="I88" s="27" t="n"/>
      <c r="J88" s="27" t="n"/>
      <c r="K88" s="27" t="n"/>
      <c r="L88" s="28" t="n"/>
    </row>
    <row r="89">
      <c r="A89" s="3" t="inlineStr">
        <is>
          <t>Concepto</t>
        </is>
      </c>
      <c r="B89" s="5" t="inlineStr">
        <is>
          <t>Año 0</t>
        </is>
      </c>
      <c r="C89" s="5" t="inlineStr">
        <is>
          <t>Año 1</t>
        </is>
      </c>
      <c r="D89" s="5" t="inlineStr">
        <is>
          <t>Año 2</t>
        </is>
      </c>
      <c r="E89" s="5" t="inlineStr">
        <is>
          <t>Año 3</t>
        </is>
      </c>
      <c r="F89" s="5" t="inlineStr">
        <is>
          <t>Año 4</t>
        </is>
      </c>
      <c r="G89" s="5" t="inlineStr">
        <is>
          <t>Año 5</t>
        </is>
      </c>
      <c r="H89" s="5" t="inlineStr">
        <is>
          <t>Año 6</t>
        </is>
      </c>
      <c r="I89" s="5" t="inlineStr">
        <is>
          <t>Año 7</t>
        </is>
      </c>
      <c r="J89" s="5" t="inlineStr">
        <is>
          <t>Año 8</t>
        </is>
      </c>
      <c r="K89" s="5" t="inlineStr">
        <is>
          <t>Año 9</t>
        </is>
      </c>
      <c r="L89" s="5" t="inlineStr">
        <is>
          <t>Año 10</t>
        </is>
      </c>
    </row>
    <row r="90">
      <c r="A90" s="6" t="inlineStr">
        <is>
          <t>Saldo inicial</t>
        </is>
      </c>
      <c r="B90" s="12" t="n">
        <v>0</v>
      </c>
      <c r="C90" s="12">
        <f>D35</f>
        <v/>
      </c>
      <c r="D90" s="12">
        <f>C94</f>
        <v/>
      </c>
      <c r="E90" s="12">
        <f>D94</f>
        <v/>
      </c>
      <c r="F90" s="12">
        <f>E94</f>
        <v/>
      </c>
      <c r="G90" s="12">
        <f>F94</f>
        <v/>
      </c>
      <c r="H90" s="12">
        <f>G94</f>
        <v/>
      </c>
      <c r="I90" s="12">
        <f>H94</f>
        <v/>
      </c>
      <c r="J90" s="12">
        <f>I94</f>
        <v/>
      </c>
      <c r="K90" s="12">
        <f>J94</f>
        <v/>
      </c>
      <c r="L90" s="12">
        <f>K94</f>
        <v/>
      </c>
    </row>
    <row r="91">
      <c r="A91" s="6" t="inlineStr">
        <is>
          <t>Abono a capital</t>
        </is>
      </c>
      <c r="B91" s="12" t="n">
        <v>0</v>
      </c>
      <c r="C91" s="12">
        <f>MIN(C93-C92,C90)</f>
        <v/>
      </c>
      <c r="D91" s="12">
        <f>MIN(D93-D92,D90)</f>
        <v/>
      </c>
      <c r="E91" s="12">
        <f>MIN(E93-E92,E90)</f>
        <v/>
      </c>
      <c r="F91" s="12">
        <f>MIN(F93-F92,F90)</f>
        <v/>
      </c>
      <c r="G91" s="12">
        <f>MIN(G93-G92,G90)</f>
        <v/>
      </c>
      <c r="H91" s="12">
        <f>MIN(H93-H92,H90)</f>
        <v/>
      </c>
      <c r="I91" s="12">
        <f>MIN(I93-I92,I90)</f>
        <v/>
      </c>
      <c r="J91" s="12">
        <f>MIN(J93-J92,J90)</f>
        <v/>
      </c>
      <c r="K91" s="12">
        <f>MIN(K93-K92,K90)</f>
        <v/>
      </c>
      <c r="L91" s="12">
        <f>MIN(L93-L92,L90)</f>
        <v/>
      </c>
    </row>
    <row r="92">
      <c r="A92" s="6" t="inlineStr">
        <is>
          <t>Intereses</t>
        </is>
      </c>
      <c r="B92" s="12" t="n">
        <v>0</v>
      </c>
      <c r="C92" s="12">
        <f>C90*$B$9</f>
        <v/>
      </c>
      <c r="D92" s="12">
        <f>D90*$B$9</f>
        <v/>
      </c>
      <c r="E92" s="12">
        <f>E90*$B$9</f>
        <v/>
      </c>
      <c r="F92" s="12">
        <f>F90*$B$9</f>
        <v/>
      </c>
      <c r="G92" s="12">
        <f>G90*$B$9</f>
        <v/>
      </c>
      <c r="H92" s="12">
        <f>H90*$B$9</f>
        <v/>
      </c>
      <c r="I92" s="12">
        <f>I90*$B$9</f>
        <v/>
      </c>
      <c r="J92" s="12">
        <f>J90*$B$9</f>
        <v/>
      </c>
      <c r="K92" s="12">
        <f>K90*$B$9</f>
        <v/>
      </c>
      <c r="L92" s="12">
        <f>L90*$B$9</f>
        <v/>
      </c>
    </row>
    <row r="93">
      <c r="A93" s="6" t="inlineStr">
        <is>
          <t>Cuota total</t>
        </is>
      </c>
      <c r="B93" s="12" t="n">
        <v>0</v>
      </c>
      <c r="C93" s="12">
        <f>IF(C90&gt;0,D35*$B$9/(1-(1+$B$9)^-5),0)</f>
        <v/>
      </c>
      <c r="D93" s="12">
        <f>IF(D90&gt;0,D35*$B$9/(1-(1+$B$9)^-5),0)</f>
        <v/>
      </c>
      <c r="E93" s="12">
        <f>IF(E90&gt;0,D35*$B$9/(1-(1+$B$9)^-5),0)</f>
        <v/>
      </c>
      <c r="F93" s="12">
        <f>IF(F90&gt;0,D35*$B$9/(1-(1+$B$9)^-5),0)</f>
        <v/>
      </c>
      <c r="G93" s="12">
        <f>IF(G90&gt;0,D35*$B$9/(1-(1+$B$9)^-5),0)</f>
        <v/>
      </c>
      <c r="H93" s="12">
        <f>IF(H90&gt;0,D35*$B$9/(1-(1+$B$9)^-5),0)</f>
        <v/>
      </c>
      <c r="I93" s="12">
        <f>IF(I90&gt;0,D35*$B$9/(1-(1+$B$9)^-5),0)</f>
        <v/>
      </c>
      <c r="J93" s="12">
        <f>IF(J90&gt;0,D35*$B$9/(1-(1+$B$9)^-5),0)</f>
        <v/>
      </c>
      <c r="K93" s="12">
        <f>IF(K90&gt;0,D35*$B$9/(1-(1+$B$9)^-5),0)</f>
        <v/>
      </c>
      <c r="L93" s="12">
        <f>IF(L90&gt;0,D35*$B$9/(1-(1+$B$9)^-5),0)</f>
        <v/>
      </c>
    </row>
    <row r="94">
      <c r="A94" s="6" t="inlineStr">
        <is>
          <t>Saldo final</t>
        </is>
      </c>
      <c r="B94" s="12" t="n">
        <v>0</v>
      </c>
      <c r="C94" s="12">
        <f>C90-C91</f>
        <v/>
      </c>
      <c r="D94" s="12">
        <f>D90-D91</f>
        <v/>
      </c>
      <c r="E94" s="12">
        <f>E90-E91</f>
        <v/>
      </c>
      <c r="F94" s="12">
        <f>F90-F91</f>
        <v/>
      </c>
      <c r="G94" s="12">
        <f>G90-G91</f>
        <v/>
      </c>
      <c r="H94" s="12">
        <f>H90-H91</f>
        <v/>
      </c>
      <c r="I94" s="12">
        <f>I90-I91</f>
        <v/>
      </c>
      <c r="J94" s="12">
        <f>J90-J91</f>
        <v/>
      </c>
      <c r="K94" s="12">
        <f>K90-K91</f>
        <v/>
      </c>
      <c r="L94" s="12">
        <f>L90-L91</f>
        <v/>
      </c>
    </row>
    <row r="96">
      <c r="A96" s="3" t="inlineStr">
        <is>
          <t>9. FLUJO DE CAJA DEL PROYECTO (SIN FINANCIAMIENTO)</t>
        </is>
      </c>
      <c r="B96" s="27" t="n"/>
      <c r="C96" s="27" t="n"/>
      <c r="D96" s="27" t="n"/>
      <c r="E96" s="27" t="n"/>
      <c r="F96" s="27" t="n"/>
      <c r="G96" s="27" t="n"/>
      <c r="H96" s="27" t="n"/>
      <c r="I96" s="27" t="n"/>
      <c r="J96" s="27" t="n"/>
      <c r="K96" s="27" t="n"/>
      <c r="L96" s="28" t="n"/>
    </row>
    <row r="97">
      <c r="A97" s="3" t="inlineStr">
        <is>
          <t>Concepto</t>
        </is>
      </c>
      <c r="B97" s="5" t="inlineStr">
        <is>
          <t>Año 0</t>
        </is>
      </c>
      <c r="C97" s="5" t="inlineStr">
        <is>
          <t>Año 1</t>
        </is>
      </c>
      <c r="D97" s="5" t="inlineStr">
        <is>
          <t>Año 2</t>
        </is>
      </c>
      <c r="E97" s="5" t="inlineStr">
        <is>
          <t>Año 3</t>
        </is>
      </c>
      <c r="F97" s="5" t="inlineStr">
        <is>
          <t>Año 4</t>
        </is>
      </c>
      <c r="G97" s="5" t="inlineStr">
        <is>
          <t>Año 5</t>
        </is>
      </c>
      <c r="H97" s="5" t="inlineStr">
        <is>
          <t>Año 6</t>
        </is>
      </c>
      <c r="I97" s="5" t="inlineStr">
        <is>
          <t>Año 7</t>
        </is>
      </c>
      <c r="J97" s="5" t="inlineStr">
        <is>
          <t>Año 8</t>
        </is>
      </c>
      <c r="K97" s="5" t="inlineStr">
        <is>
          <t>Año 9</t>
        </is>
      </c>
      <c r="L97" s="5" t="inlineStr">
        <is>
          <t>Año 10</t>
        </is>
      </c>
    </row>
    <row r="98">
      <c r="A98" s="6" t="inlineStr">
        <is>
          <t>(+) Ingreso por ventas</t>
        </is>
      </c>
      <c r="B98" s="12">
        <f>B42</f>
        <v/>
      </c>
      <c r="C98" s="12">
        <f>C42</f>
        <v/>
      </c>
      <c r="D98" s="12">
        <f>D42</f>
        <v/>
      </c>
      <c r="E98" s="12">
        <f>E42</f>
        <v/>
      </c>
      <c r="F98" s="12">
        <f>F42</f>
        <v/>
      </c>
      <c r="G98" s="12">
        <f>G42</f>
        <v/>
      </c>
      <c r="H98" s="12">
        <f>H42</f>
        <v/>
      </c>
      <c r="I98" s="12">
        <f>I42</f>
        <v/>
      </c>
      <c r="J98" s="12">
        <f>J42</f>
        <v/>
      </c>
      <c r="K98" s="12">
        <f>K42</f>
        <v/>
      </c>
      <c r="L98" s="12">
        <f>L42</f>
        <v/>
      </c>
    </row>
    <row r="99">
      <c r="A99" s="6" t="inlineStr">
        <is>
          <t>(−) Costos variables</t>
        </is>
      </c>
      <c r="B99" s="12">
        <f>B49</f>
        <v/>
      </c>
      <c r="C99" s="12">
        <f>C49</f>
        <v/>
      </c>
      <c r="D99" s="12">
        <f>D49</f>
        <v/>
      </c>
      <c r="E99" s="12">
        <f>E49</f>
        <v/>
      </c>
      <c r="F99" s="12">
        <f>F49</f>
        <v/>
      </c>
      <c r="G99" s="12">
        <f>G49</f>
        <v/>
      </c>
      <c r="H99" s="12">
        <f>H49</f>
        <v/>
      </c>
      <c r="I99" s="12">
        <f>I49</f>
        <v/>
      </c>
      <c r="J99" s="12">
        <f>J49</f>
        <v/>
      </c>
      <c r="K99" s="12">
        <f>K49</f>
        <v/>
      </c>
      <c r="L99" s="12">
        <f>L49</f>
        <v/>
      </c>
    </row>
    <row r="100">
      <c r="A100" s="6" t="inlineStr">
        <is>
          <t>(−) Costos fijos</t>
        </is>
      </c>
      <c r="B100" s="12">
        <f>B69</f>
        <v/>
      </c>
      <c r="C100" s="12">
        <f>C69</f>
        <v/>
      </c>
      <c r="D100" s="12">
        <f>D69</f>
        <v/>
      </c>
      <c r="E100" s="12">
        <f>E69</f>
        <v/>
      </c>
      <c r="F100" s="12">
        <f>F69</f>
        <v/>
      </c>
      <c r="G100" s="12">
        <f>G69</f>
        <v/>
      </c>
      <c r="H100" s="12">
        <f>H69</f>
        <v/>
      </c>
      <c r="I100" s="12">
        <f>I69</f>
        <v/>
      </c>
      <c r="J100" s="12">
        <f>J69</f>
        <v/>
      </c>
      <c r="K100" s="12">
        <f>K69</f>
        <v/>
      </c>
      <c r="L100" s="12">
        <f>L69</f>
        <v/>
      </c>
    </row>
    <row r="101">
      <c r="A101" s="6" t="inlineStr">
        <is>
          <t>(−) Depreciación y amortización</t>
        </is>
      </c>
      <c r="B101" s="12" t="n">
        <v>0</v>
      </c>
      <c r="C101" s="12">
        <f>C79</f>
        <v/>
      </c>
      <c r="D101" s="12">
        <f>D79</f>
        <v/>
      </c>
      <c r="E101" s="12">
        <f>E79</f>
        <v/>
      </c>
      <c r="F101" s="12">
        <f>F79</f>
        <v/>
      </c>
      <c r="G101" s="12">
        <f>G79</f>
        <v/>
      </c>
      <c r="H101" s="12">
        <f>H79</f>
        <v/>
      </c>
      <c r="I101" s="12">
        <f>I79</f>
        <v/>
      </c>
      <c r="J101" s="12">
        <f>J79</f>
        <v/>
      </c>
      <c r="K101" s="12">
        <f>K79</f>
        <v/>
      </c>
      <c r="L101" s="12">
        <f>L79</f>
        <v/>
      </c>
    </row>
    <row r="102">
      <c r="A102" s="15" t="inlineStr">
        <is>
          <t>(=) Utilidad antes de impuestos</t>
        </is>
      </c>
      <c r="B102" s="16">
        <f>B98-B99-B100-B101</f>
        <v/>
      </c>
      <c r="C102" s="16">
        <f>C98-C99-C100-C101</f>
        <v/>
      </c>
      <c r="D102" s="16">
        <f>D98-D99-D100-D101</f>
        <v/>
      </c>
      <c r="E102" s="16">
        <f>E98-E99-E100-E101</f>
        <v/>
      </c>
      <c r="F102" s="16">
        <f>F98-F99-F100-F101</f>
        <v/>
      </c>
      <c r="G102" s="16">
        <f>G98-G99-G100-G101</f>
        <v/>
      </c>
      <c r="H102" s="16">
        <f>H98-H99-H100-H101</f>
        <v/>
      </c>
      <c r="I102" s="16">
        <f>I98-I99-I100-I101</f>
        <v/>
      </c>
      <c r="J102" s="16">
        <f>J98-J99-J100-J101</f>
        <v/>
      </c>
      <c r="K102" s="16">
        <f>K98-K99-K100-K101</f>
        <v/>
      </c>
      <c r="L102" s="16">
        <f>L98-L99-L100-L101</f>
        <v/>
      </c>
    </row>
    <row r="103">
      <c r="A103" s="6" t="inlineStr">
        <is>
          <t>Pérdidas fiscales acumuladas</t>
        </is>
      </c>
      <c r="B103" s="12" t="n">
        <v>0</v>
      </c>
      <c r="C103" s="12">
        <f>MAX(0,B103-C102)</f>
        <v/>
      </c>
      <c r="D103" s="12">
        <f>MAX(0,C103-D102)</f>
        <v/>
      </c>
      <c r="E103" s="12">
        <f>MAX(0,D103-E102)</f>
        <v/>
      </c>
      <c r="F103" s="12">
        <f>MAX(0,E103-F102)</f>
        <v/>
      </c>
      <c r="G103" s="12">
        <f>MAX(0,F103-G102)</f>
        <v/>
      </c>
      <c r="H103" s="12">
        <f>MAX(0,G103-H102)</f>
        <v/>
      </c>
      <c r="I103" s="12">
        <f>MAX(0,H103-I102)</f>
        <v/>
      </c>
      <c r="J103" s="12">
        <f>MAX(0,I103-J102)</f>
        <v/>
      </c>
      <c r="K103" s="12">
        <f>MAX(0,J103-K102)</f>
        <v/>
      </c>
      <c r="L103" s="12">
        <f>MAX(0,K103-L102)</f>
        <v/>
      </c>
    </row>
    <row r="104">
      <c r="A104" s="6" t="inlineStr">
        <is>
          <t>(−) Impuesto sobre la renta</t>
        </is>
      </c>
      <c r="B104" s="12" t="n">
        <v>0</v>
      </c>
      <c r="C104" s="12">
        <f>$B$6*MAX(0,C102-B103)+$B$7*MAX(0,MAX(0,C102-B103)-$B$8)</f>
        <v/>
      </c>
      <c r="D104" s="12">
        <f>$B$6*MAX(0,D102-C103)+$B$7*MAX(0,MAX(0,D102-C103)-$B$8)</f>
        <v/>
      </c>
      <c r="E104" s="12">
        <f>$B$6*MAX(0,E102-D103)+$B$7*MAX(0,MAX(0,E102-D103)-$B$8)</f>
        <v/>
      </c>
      <c r="F104" s="12">
        <f>$B$6*MAX(0,F102-E103)+$B$7*MAX(0,MAX(0,F102-E103)-$B$8)</f>
        <v/>
      </c>
      <c r="G104" s="12">
        <f>$B$6*MAX(0,G102-F103)+$B$7*MAX(0,MAX(0,G102-F103)-$B$8)</f>
        <v/>
      </c>
      <c r="H104" s="12">
        <f>$B$6*MAX(0,H102-G103)+$B$7*MAX(0,MAX(0,H102-G103)-$B$8)</f>
        <v/>
      </c>
      <c r="I104" s="12">
        <f>$B$6*MAX(0,I102-H103)+$B$7*MAX(0,MAX(0,I102-H103)-$B$8)</f>
        <v/>
      </c>
      <c r="J104" s="12">
        <f>$B$6*MAX(0,J102-I103)+$B$7*MAX(0,MAX(0,J102-I103)-$B$8)</f>
        <v/>
      </c>
      <c r="K104" s="12">
        <f>$B$6*MAX(0,K102-J103)+$B$7*MAX(0,MAX(0,K102-J103)-$B$8)</f>
        <v/>
      </c>
      <c r="L104" s="12">
        <f>$B$6*MAX(0,L102-K103)+$B$7*MAX(0,MAX(0,L102-K103)-$B$8)</f>
        <v/>
      </c>
    </row>
    <row r="105">
      <c r="A105" s="15" t="inlineStr">
        <is>
          <t>(=) Utilidad después de impuestos</t>
        </is>
      </c>
      <c r="B105" s="16">
        <f>B102-B104</f>
        <v/>
      </c>
      <c r="C105" s="16">
        <f>C102-C104</f>
        <v/>
      </c>
      <c r="D105" s="16">
        <f>D102-D104</f>
        <v/>
      </c>
      <c r="E105" s="16">
        <f>E102-E104</f>
        <v/>
      </c>
      <c r="F105" s="16">
        <f>F102-F104</f>
        <v/>
      </c>
      <c r="G105" s="16">
        <f>G102-G104</f>
        <v/>
      </c>
      <c r="H105" s="16">
        <f>H102-H104</f>
        <v/>
      </c>
      <c r="I105" s="16">
        <f>I102-I104</f>
        <v/>
      </c>
      <c r="J105" s="16">
        <f>J102-J104</f>
        <v/>
      </c>
      <c r="K105" s="16">
        <f>K102-K104</f>
        <v/>
      </c>
      <c r="L105" s="16">
        <f>L102-L104</f>
        <v/>
      </c>
    </row>
    <row r="106">
      <c r="A106" s="6" t="inlineStr">
        <is>
          <t>(+) Depreciación y amortización</t>
        </is>
      </c>
      <c r="B106" s="12" t="n">
        <v>0</v>
      </c>
      <c r="C106" s="12">
        <f>C79</f>
        <v/>
      </c>
      <c r="D106" s="12">
        <f>D79</f>
        <v/>
      </c>
      <c r="E106" s="12">
        <f>E79</f>
        <v/>
      </c>
      <c r="F106" s="12">
        <f>F79</f>
        <v/>
      </c>
      <c r="G106" s="12">
        <f>G79</f>
        <v/>
      </c>
      <c r="H106" s="12">
        <f>H79</f>
        <v/>
      </c>
      <c r="I106" s="12">
        <f>I79</f>
        <v/>
      </c>
      <c r="J106" s="12">
        <f>J79</f>
        <v/>
      </c>
      <c r="K106" s="12">
        <f>K79</f>
        <v/>
      </c>
      <c r="L106" s="12">
        <f>L79</f>
        <v/>
      </c>
    </row>
    <row r="107">
      <c r="A107" s="6" t="inlineStr">
        <is>
          <t>(+) Valor de desecho</t>
        </is>
      </c>
      <c r="B107" s="12" t="n">
        <v>0</v>
      </c>
      <c r="C107" s="12" t="n">
        <v>0</v>
      </c>
      <c r="D107" s="12" t="n">
        <v>0</v>
      </c>
      <c r="E107" s="12" t="n">
        <v>0</v>
      </c>
      <c r="F107" s="12" t="n">
        <v>0</v>
      </c>
      <c r="G107" s="12" t="n">
        <v>0</v>
      </c>
      <c r="H107" s="12" t="n">
        <v>0</v>
      </c>
      <c r="I107" s="12" t="n">
        <v>0</v>
      </c>
      <c r="J107" s="12" t="n">
        <v>0</v>
      </c>
      <c r="K107" s="12" t="n">
        <v>0</v>
      </c>
      <c r="L107" s="12">
        <f>L83</f>
        <v/>
      </c>
    </row>
    <row r="108">
      <c r="A108" s="6" t="inlineStr">
        <is>
          <t>(+) Recuperación capital de trabajo</t>
        </is>
      </c>
      <c r="B108" s="12">
        <f>B86</f>
        <v/>
      </c>
      <c r="C108" s="12">
        <f>C86</f>
        <v/>
      </c>
      <c r="D108" s="12">
        <f>D86</f>
        <v/>
      </c>
      <c r="E108" s="12">
        <f>E86</f>
        <v/>
      </c>
      <c r="F108" s="12">
        <f>F86</f>
        <v/>
      </c>
      <c r="G108" s="12">
        <f>G86</f>
        <v/>
      </c>
      <c r="H108" s="12">
        <f>H86</f>
        <v/>
      </c>
      <c r="I108" s="12">
        <f>I86</f>
        <v/>
      </c>
      <c r="J108" s="12">
        <f>J86</f>
        <v/>
      </c>
      <c r="K108" s="12">
        <f>K86</f>
        <v/>
      </c>
      <c r="L108" s="12">
        <f>L86</f>
        <v/>
      </c>
    </row>
    <row r="109">
      <c r="A109" s="6" t="inlineStr">
        <is>
          <t>(−) Inversión en activos fijos</t>
        </is>
      </c>
      <c r="B109" s="12">
        <f>SUM(B28:B33)</f>
        <v/>
      </c>
      <c r="C109" s="12" t="n">
        <v>0</v>
      </c>
      <c r="D109" s="12" t="n">
        <v>0</v>
      </c>
      <c r="E109" s="12" t="n">
        <v>0</v>
      </c>
      <c r="F109" s="12" t="n">
        <v>0</v>
      </c>
      <c r="G109" s="12" t="n">
        <v>0</v>
      </c>
      <c r="H109" s="12" t="n">
        <v>0</v>
      </c>
      <c r="I109" s="12" t="n">
        <v>0</v>
      </c>
      <c r="J109" s="12" t="n">
        <v>0</v>
      </c>
      <c r="K109" s="12" t="n">
        <v>0</v>
      </c>
      <c r="L109" s="12" t="n">
        <v>0</v>
      </c>
    </row>
    <row r="110">
      <c r="A110" s="6" t="inlineStr">
        <is>
          <t>(−) Inversión en capital de trabajo</t>
        </is>
      </c>
      <c r="B110" s="12">
        <f>B85</f>
        <v/>
      </c>
      <c r="C110" s="12">
        <f>C85</f>
        <v/>
      </c>
      <c r="D110" s="12">
        <f>D85</f>
        <v/>
      </c>
      <c r="E110" s="12">
        <f>E85</f>
        <v/>
      </c>
      <c r="F110" s="12">
        <f>F85</f>
        <v/>
      </c>
      <c r="G110" s="12">
        <f>G85</f>
        <v/>
      </c>
      <c r="H110" s="12">
        <f>H85</f>
        <v/>
      </c>
      <c r="I110" s="12">
        <f>I85</f>
        <v/>
      </c>
      <c r="J110" s="12">
        <f>J85</f>
        <v/>
      </c>
      <c r="K110" s="12">
        <f>K85</f>
        <v/>
      </c>
      <c r="L110" s="12">
        <f>L85</f>
        <v/>
      </c>
    </row>
    <row r="111">
      <c r="A111" s="15" t="inlineStr">
        <is>
          <t>(=) FLUJO DE CAJA NETO</t>
        </is>
      </c>
      <c r="B111" s="16">
        <f>B105+B106+B107+B108-B109-B110</f>
        <v/>
      </c>
      <c r="C111" s="16">
        <f>C105+C106+C107+C108-C109-C110</f>
        <v/>
      </c>
      <c r="D111" s="16">
        <f>D105+D106+D107+D108-D109-D110</f>
        <v/>
      </c>
      <c r="E111" s="16">
        <f>E105+E106+E107+E108-E109-E110</f>
        <v/>
      </c>
      <c r="F111" s="16">
        <f>F105+F106+F107+F108-F109-F110</f>
        <v/>
      </c>
      <c r="G111" s="16">
        <f>G105+G106+G107+G108-G109-G110</f>
        <v/>
      </c>
      <c r="H111" s="16">
        <f>H105+H106+H107+H108-H109-H110</f>
        <v/>
      </c>
      <c r="I111" s="16">
        <f>I105+I106+I107+I108-I109-I110</f>
        <v/>
      </c>
      <c r="J111" s="16">
        <f>J105+J106+J107+J108-J109-J110</f>
        <v/>
      </c>
      <c r="K111" s="16">
        <f>K105+K106+K107+K108-K109-K110</f>
        <v/>
      </c>
      <c r="L111" s="16">
        <f>L105+L106+L107+L108-L109-L110</f>
        <v/>
      </c>
    </row>
    <row r="112">
      <c r="A112" s="21" t="inlineStr">
        <is>
          <t>Flujo de caja acumulado</t>
        </is>
      </c>
      <c r="B112" s="22">
        <f>B111</f>
        <v/>
      </c>
      <c r="C112" s="22">
        <f>B112+C111</f>
        <v/>
      </c>
      <c r="D112" s="22">
        <f>C112+D111</f>
        <v/>
      </c>
      <c r="E112" s="22">
        <f>D112+E111</f>
        <v/>
      </c>
      <c r="F112" s="22">
        <f>E112+F111</f>
        <v/>
      </c>
      <c r="G112" s="22">
        <f>F112+G111</f>
        <v/>
      </c>
      <c r="H112" s="22">
        <f>G112+H111</f>
        <v/>
      </c>
      <c r="I112" s="22">
        <f>H112+I111</f>
        <v/>
      </c>
      <c r="J112" s="22">
        <f>I112+J111</f>
        <v/>
      </c>
      <c r="K112" s="22">
        <f>J112+K111</f>
        <v/>
      </c>
      <c r="L112" s="22">
        <f>K112+L111</f>
        <v/>
      </c>
    </row>
    <row r="114">
      <c r="A114" s="3" t="inlineStr">
        <is>
          <t>10. FLUJO DE CAJA DEL PROYECTO (CON FINANCIAMIENTO)</t>
        </is>
      </c>
      <c r="B114" s="27" t="n"/>
      <c r="C114" s="27" t="n"/>
      <c r="D114" s="27" t="n"/>
      <c r="E114" s="27" t="n"/>
      <c r="F114" s="27" t="n"/>
      <c r="G114" s="27" t="n"/>
      <c r="H114" s="27" t="n"/>
      <c r="I114" s="27" t="n"/>
      <c r="J114" s="27" t="n"/>
      <c r="K114" s="27" t="n"/>
      <c r="L114" s="28" t="n"/>
    </row>
    <row r="115">
      <c r="A115" s="3" t="inlineStr">
        <is>
          <t>Concepto</t>
        </is>
      </c>
      <c r="B115" s="5" t="inlineStr">
        <is>
          <t>Año 0</t>
        </is>
      </c>
      <c r="C115" s="5" t="inlineStr">
        <is>
          <t>Año 1</t>
        </is>
      </c>
      <c r="D115" s="5" t="inlineStr">
        <is>
          <t>Año 2</t>
        </is>
      </c>
      <c r="E115" s="5" t="inlineStr">
        <is>
          <t>Año 3</t>
        </is>
      </c>
      <c r="F115" s="5" t="inlineStr">
        <is>
          <t>Año 4</t>
        </is>
      </c>
      <c r="G115" s="5" t="inlineStr">
        <is>
          <t>Año 5</t>
        </is>
      </c>
      <c r="H115" s="5" t="inlineStr">
        <is>
          <t>Año 6</t>
        </is>
      </c>
      <c r="I115" s="5" t="inlineStr">
        <is>
          <t>Año 7</t>
        </is>
      </c>
      <c r="J115" s="5" t="inlineStr">
        <is>
          <t>Año 8</t>
        </is>
      </c>
      <c r="K115" s="5" t="inlineStr">
        <is>
          <t>Año 9</t>
        </is>
      </c>
      <c r="L115" s="5" t="inlineStr">
        <is>
          <t>Año 10</t>
        </is>
      </c>
    </row>
    <row r="116">
      <c r="A116" s="6" t="inlineStr">
        <is>
          <t>(+) Ingreso por ventas</t>
        </is>
      </c>
      <c r="B116" s="12">
        <f>B42</f>
        <v/>
      </c>
      <c r="C116" s="12">
        <f>C42</f>
        <v/>
      </c>
      <c r="D116" s="12">
        <f>D42</f>
        <v/>
      </c>
      <c r="E116" s="12">
        <f>E42</f>
        <v/>
      </c>
      <c r="F116" s="12">
        <f>F42</f>
        <v/>
      </c>
      <c r="G116" s="12">
        <f>G42</f>
        <v/>
      </c>
      <c r="H116" s="12">
        <f>H42</f>
        <v/>
      </c>
      <c r="I116" s="12">
        <f>I42</f>
        <v/>
      </c>
      <c r="J116" s="12">
        <f>J42</f>
        <v/>
      </c>
      <c r="K116" s="12">
        <f>K42</f>
        <v/>
      </c>
      <c r="L116" s="12">
        <f>L42</f>
        <v/>
      </c>
    </row>
    <row r="117">
      <c r="A117" s="6" t="inlineStr">
        <is>
          <t>(−) Costos variables</t>
        </is>
      </c>
      <c r="B117" s="12">
        <f>B49</f>
        <v/>
      </c>
      <c r="C117" s="12">
        <f>C49</f>
        <v/>
      </c>
      <c r="D117" s="12">
        <f>D49</f>
        <v/>
      </c>
      <c r="E117" s="12">
        <f>E49</f>
        <v/>
      </c>
      <c r="F117" s="12">
        <f>F49</f>
        <v/>
      </c>
      <c r="G117" s="12">
        <f>G49</f>
        <v/>
      </c>
      <c r="H117" s="12">
        <f>H49</f>
        <v/>
      </c>
      <c r="I117" s="12">
        <f>I49</f>
        <v/>
      </c>
      <c r="J117" s="12">
        <f>J49</f>
        <v/>
      </c>
      <c r="K117" s="12">
        <f>K49</f>
        <v/>
      </c>
      <c r="L117" s="12">
        <f>L49</f>
        <v/>
      </c>
    </row>
    <row r="118">
      <c r="A118" s="6" t="inlineStr">
        <is>
          <t>(−) Costos fijos</t>
        </is>
      </c>
      <c r="B118" s="12">
        <f>B69</f>
        <v/>
      </c>
      <c r="C118" s="12">
        <f>C69</f>
        <v/>
      </c>
      <c r="D118" s="12">
        <f>D69</f>
        <v/>
      </c>
      <c r="E118" s="12">
        <f>E69</f>
        <v/>
      </c>
      <c r="F118" s="12">
        <f>F69</f>
        <v/>
      </c>
      <c r="G118" s="12">
        <f>G69</f>
        <v/>
      </c>
      <c r="H118" s="12">
        <f>H69</f>
        <v/>
      </c>
      <c r="I118" s="12">
        <f>I69</f>
        <v/>
      </c>
      <c r="J118" s="12">
        <f>J69</f>
        <v/>
      </c>
      <c r="K118" s="12">
        <f>K69</f>
        <v/>
      </c>
      <c r="L118" s="12">
        <f>L69</f>
        <v/>
      </c>
    </row>
    <row r="119">
      <c r="A119" s="6" t="inlineStr">
        <is>
          <t>(−) Gastos financieros</t>
        </is>
      </c>
      <c r="B119" s="12" t="n">
        <v>0</v>
      </c>
      <c r="C119" s="12">
        <f>C92</f>
        <v/>
      </c>
      <c r="D119" s="12">
        <f>D92</f>
        <v/>
      </c>
      <c r="E119" s="12">
        <f>E92</f>
        <v/>
      </c>
      <c r="F119" s="12">
        <f>F92</f>
        <v/>
      </c>
      <c r="G119" s="12">
        <f>G92</f>
        <v/>
      </c>
      <c r="H119" s="12">
        <f>H92</f>
        <v/>
      </c>
      <c r="I119" s="12">
        <f>I92</f>
        <v/>
      </c>
      <c r="J119" s="12">
        <f>J92</f>
        <v/>
      </c>
      <c r="K119" s="12">
        <f>K92</f>
        <v/>
      </c>
      <c r="L119" s="12">
        <f>L92</f>
        <v/>
      </c>
    </row>
    <row r="120">
      <c r="A120" s="6" t="inlineStr">
        <is>
          <t>(−) Depreciación y amortización</t>
        </is>
      </c>
      <c r="B120" s="12" t="n">
        <v>0</v>
      </c>
      <c r="C120" s="12">
        <f>C79</f>
        <v/>
      </c>
      <c r="D120" s="12">
        <f>D79</f>
        <v/>
      </c>
      <c r="E120" s="12">
        <f>E79</f>
        <v/>
      </c>
      <c r="F120" s="12">
        <f>F79</f>
        <v/>
      </c>
      <c r="G120" s="12">
        <f>G79</f>
        <v/>
      </c>
      <c r="H120" s="12">
        <f>H79</f>
        <v/>
      </c>
      <c r="I120" s="12">
        <f>I79</f>
        <v/>
      </c>
      <c r="J120" s="12">
        <f>J79</f>
        <v/>
      </c>
      <c r="K120" s="12">
        <f>K79</f>
        <v/>
      </c>
      <c r="L120" s="12">
        <f>L79</f>
        <v/>
      </c>
    </row>
    <row r="121">
      <c r="A121" s="15" t="inlineStr">
        <is>
          <t>(=) Utilidad antes de impuestos</t>
        </is>
      </c>
      <c r="B121" s="16">
        <f>B116-B117-B118-B119-B120</f>
        <v/>
      </c>
      <c r="C121" s="16">
        <f>C116-C117-C118-C119-C120</f>
        <v/>
      </c>
      <c r="D121" s="16">
        <f>D116-D117-D118-D119-D120</f>
        <v/>
      </c>
      <c r="E121" s="16">
        <f>E116-E117-E118-E119-E120</f>
        <v/>
      </c>
      <c r="F121" s="16">
        <f>F116-F117-F118-F119-F120</f>
        <v/>
      </c>
      <c r="G121" s="16">
        <f>G116-G117-G118-G119-G120</f>
        <v/>
      </c>
      <c r="H121" s="16">
        <f>H116-H117-H118-H119-H120</f>
        <v/>
      </c>
      <c r="I121" s="16">
        <f>I116-I117-I118-I119-I120</f>
        <v/>
      </c>
      <c r="J121" s="16">
        <f>J116-J117-J118-J119-J120</f>
        <v/>
      </c>
      <c r="K121" s="16">
        <f>K116-K117-K118-K119-K120</f>
        <v/>
      </c>
      <c r="L121" s="16">
        <f>L116-L117-L118-L119-L120</f>
        <v/>
      </c>
    </row>
    <row r="122">
      <c r="A122" s="6" t="inlineStr">
        <is>
          <t>Pérdidas fiscales acumuladas</t>
        </is>
      </c>
      <c r="B122" s="12" t="n">
        <v>0</v>
      </c>
      <c r="C122" s="12">
        <f>MAX(0,B122-C121)</f>
        <v/>
      </c>
      <c r="D122" s="12">
        <f>MAX(0,C122-D121)</f>
        <v/>
      </c>
      <c r="E122" s="12">
        <f>MAX(0,D122-E121)</f>
        <v/>
      </c>
      <c r="F122" s="12">
        <f>MAX(0,E122-F121)</f>
        <v/>
      </c>
      <c r="G122" s="12">
        <f>MAX(0,F122-G121)</f>
        <v/>
      </c>
      <c r="H122" s="12">
        <f>MAX(0,G122-H121)</f>
        <v/>
      </c>
      <c r="I122" s="12">
        <f>MAX(0,H122-I121)</f>
        <v/>
      </c>
      <c r="J122" s="12">
        <f>MAX(0,I122-J121)</f>
        <v/>
      </c>
      <c r="K122" s="12">
        <f>MAX(0,J122-K121)</f>
        <v/>
      </c>
      <c r="L122" s="12">
        <f>MAX(0,K122-L121)</f>
        <v/>
      </c>
    </row>
    <row r="123">
      <c r="A123" s="6" t="inlineStr">
        <is>
          <t>(−) Impuesto sobre la renta</t>
        </is>
      </c>
      <c r="B123" s="12" t="n">
        <v>0</v>
      </c>
      <c r="C123" s="12">
        <f>$B$6*MAX(0,C121-B122)+$B$7*MAX(0,MAX(0,C121-B122)-$B$8)</f>
        <v/>
      </c>
      <c r="D123" s="12">
        <f>$B$6*MAX(0,D121-C122)+$B$7*MAX(0,MAX(0,D121-C122)-$B$8)</f>
        <v/>
      </c>
      <c r="E123" s="12">
        <f>$B$6*MAX(0,E121-D122)+$B$7*MAX(0,MAX(0,E121-D122)-$B$8)</f>
        <v/>
      </c>
      <c r="F123" s="12">
        <f>$B$6*MAX(0,F121-E122)+$B$7*MAX(0,MAX(0,F121-E122)-$B$8)</f>
        <v/>
      </c>
      <c r="G123" s="12">
        <f>$B$6*MAX(0,G121-F122)+$B$7*MAX(0,MAX(0,G121-F122)-$B$8)</f>
        <v/>
      </c>
      <c r="H123" s="12">
        <f>$B$6*MAX(0,H121-G122)+$B$7*MAX(0,MAX(0,H121-G122)-$B$8)</f>
        <v/>
      </c>
      <c r="I123" s="12">
        <f>$B$6*MAX(0,I121-H122)+$B$7*MAX(0,MAX(0,I121-H122)-$B$8)</f>
        <v/>
      </c>
      <c r="J123" s="12">
        <f>$B$6*MAX(0,J121-I122)+$B$7*MAX(0,MAX(0,J121-I122)-$B$8)</f>
        <v/>
      </c>
      <c r="K123" s="12">
        <f>$B$6*MAX(0,K121-J122)+$B$7*MAX(0,MAX(0,K121-J122)-$B$8)</f>
        <v/>
      </c>
      <c r="L123" s="12">
        <f>$B$6*MAX(0,L121-K122)+$B$7*MAX(0,MAX(0,L121-K122)-$B$8)</f>
        <v/>
      </c>
    </row>
    <row r="124">
      <c r="A124" s="15" t="inlineStr">
        <is>
          <t>(=) Utilidad después de impuestos</t>
        </is>
      </c>
      <c r="B124" s="16">
        <f>B121-B123</f>
        <v/>
      </c>
      <c r="C124" s="16">
        <f>C121-C123</f>
        <v/>
      </c>
      <c r="D124" s="16">
        <f>D121-D123</f>
        <v/>
      </c>
      <c r="E124" s="16">
        <f>E121-E123</f>
        <v/>
      </c>
      <c r="F124" s="16">
        <f>F121-F123</f>
        <v/>
      </c>
      <c r="G124" s="16">
        <f>G121-G123</f>
        <v/>
      </c>
      <c r="H124" s="16">
        <f>H121-H123</f>
        <v/>
      </c>
      <c r="I124" s="16">
        <f>I121-I123</f>
        <v/>
      </c>
      <c r="J124" s="16">
        <f>J121-J123</f>
        <v/>
      </c>
      <c r="K124" s="16">
        <f>K121-K123</f>
        <v/>
      </c>
      <c r="L124" s="16">
        <f>L121-L123</f>
        <v/>
      </c>
    </row>
    <row r="125">
      <c r="A125" s="6" t="inlineStr">
        <is>
          <t>(+) Depreciación y amortización</t>
        </is>
      </c>
      <c r="B125" s="12" t="n">
        <v>0</v>
      </c>
      <c r="C125" s="12">
        <f>C79</f>
        <v/>
      </c>
      <c r="D125" s="12">
        <f>D79</f>
        <v/>
      </c>
      <c r="E125" s="12">
        <f>E79</f>
        <v/>
      </c>
      <c r="F125" s="12">
        <f>F79</f>
        <v/>
      </c>
      <c r="G125" s="12">
        <f>G79</f>
        <v/>
      </c>
      <c r="H125" s="12">
        <f>H79</f>
        <v/>
      </c>
      <c r="I125" s="12">
        <f>I79</f>
        <v/>
      </c>
      <c r="J125" s="12">
        <f>J79</f>
        <v/>
      </c>
      <c r="K125" s="12">
        <f>K79</f>
        <v/>
      </c>
      <c r="L125" s="12">
        <f>L79</f>
        <v/>
      </c>
    </row>
    <row r="126">
      <c r="A126" s="6" t="inlineStr">
        <is>
          <t>(+) Valor de desecho</t>
        </is>
      </c>
      <c r="B126" s="12" t="n">
        <v>0</v>
      </c>
      <c r="C126" s="12" t="n">
        <v>0</v>
      </c>
      <c r="D126" s="12" t="n">
        <v>0</v>
      </c>
      <c r="E126" s="12" t="n">
        <v>0</v>
      </c>
      <c r="F126" s="12" t="n">
        <v>0</v>
      </c>
      <c r="G126" s="12" t="n">
        <v>0</v>
      </c>
      <c r="H126" s="12" t="n">
        <v>0</v>
      </c>
      <c r="I126" s="12" t="n">
        <v>0</v>
      </c>
      <c r="J126" s="12" t="n">
        <v>0</v>
      </c>
      <c r="K126" s="12" t="n">
        <v>0</v>
      </c>
      <c r="L126" s="12">
        <f>L83</f>
        <v/>
      </c>
    </row>
    <row r="127">
      <c r="A127" s="6" t="inlineStr">
        <is>
          <t>(+) Recuperación capital de trabajo</t>
        </is>
      </c>
      <c r="B127" s="12">
        <f>B86</f>
        <v/>
      </c>
      <c r="C127" s="12">
        <f>C86</f>
        <v/>
      </c>
      <c r="D127" s="12">
        <f>D86</f>
        <v/>
      </c>
      <c r="E127" s="12">
        <f>E86</f>
        <v/>
      </c>
      <c r="F127" s="12">
        <f>F86</f>
        <v/>
      </c>
      <c r="G127" s="12">
        <f>G86</f>
        <v/>
      </c>
      <c r="H127" s="12">
        <f>H86</f>
        <v/>
      </c>
      <c r="I127" s="12">
        <f>I86</f>
        <v/>
      </c>
      <c r="J127" s="12">
        <f>J86</f>
        <v/>
      </c>
      <c r="K127" s="12">
        <f>K86</f>
        <v/>
      </c>
      <c r="L127" s="12">
        <f>L86</f>
        <v/>
      </c>
    </row>
    <row r="128">
      <c r="A128" s="6" t="inlineStr">
        <is>
          <t>(+) Préstamo bancario (Año 0)</t>
        </is>
      </c>
      <c r="B128" s="12">
        <f>D35</f>
        <v/>
      </c>
      <c r="C128" s="12" t="n">
        <v>0</v>
      </c>
      <c r="D128" s="12" t="n">
        <v>0</v>
      </c>
      <c r="E128" s="12" t="n">
        <v>0</v>
      </c>
      <c r="F128" s="12" t="n">
        <v>0</v>
      </c>
      <c r="G128" s="12" t="n">
        <v>0</v>
      </c>
      <c r="H128" s="12" t="n">
        <v>0</v>
      </c>
      <c r="I128" s="12" t="n">
        <v>0</v>
      </c>
      <c r="J128" s="12" t="n">
        <v>0</v>
      </c>
      <c r="K128" s="12" t="n">
        <v>0</v>
      </c>
      <c r="L128" s="12" t="n">
        <v>0</v>
      </c>
    </row>
    <row r="129">
      <c r="A129" s="6" t="inlineStr">
        <is>
          <t>(−) Inversión en activos fijos</t>
        </is>
      </c>
      <c r="B129" s="12">
        <f>SUM(B28:B33)</f>
        <v/>
      </c>
      <c r="C129" s="12" t="n">
        <v>0</v>
      </c>
      <c r="D129" s="12" t="n">
        <v>0</v>
      </c>
      <c r="E129" s="12" t="n">
        <v>0</v>
      </c>
      <c r="F129" s="12" t="n">
        <v>0</v>
      </c>
      <c r="G129" s="12" t="n">
        <v>0</v>
      </c>
      <c r="H129" s="12" t="n">
        <v>0</v>
      </c>
      <c r="I129" s="12" t="n">
        <v>0</v>
      </c>
      <c r="J129" s="12" t="n">
        <v>0</v>
      </c>
      <c r="K129" s="12" t="n">
        <v>0</v>
      </c>
      <c r="L129" s="12" t="n">
        <v>0</v>
      </c>
    </row>
    <row r="130">
      <c r="A130" s="6" t="inlineStr">
        <is>
          <t>(−) Inversión en capital de trabajo</t>
        </is>
      </c>
      <c r="B130" s="12">
        <f>B85</f>
        <v/>
      </c>
      <c r="C130" s="12">
        <f>C85</f>
        <v/>
      </c>
      <c r="D130" s="12">
        <f>D85</f>
        <v/>
      </c>
      <c r="E130" s="12">
        <f>E85</f>
        <v/>
      </c>
      <c r="F130" s="12">
        <f>F85</f>
        <v/>
      </c>
      <c r="G130" s="12">
        <f>G85</f>
        <v/>
      </c>
      <c r="H130" s="12">
        <f>H85</f>
        <v/>
      </c>
      <c r="I130" s="12">
        <f>I85</f>
        <v/>
      </c>
      <c r="J130" s="12">
        <f>J85</f>
        <v/>
      </c>
      <c r="K130" s="12">
        <f>K85</f>
        <v/>
      </c>
      <c r="L130" s="12">
        <f>L85</f>
        <v/>
      </c>
    </row>
    <row r="131">
      <c r="A131" s="6" t="inlineStr">
        <is>
          <t>(−) Abono a capital del préstamo</t>
        </is>
      </c>
      <c r="B131" s="12" t="n">
        <v>0</v>
      </c>
      <c r="C131" s="12">
        <f>C91</f>
        <v/>
      </c>
      <c r="D131" s="12">
        <f>D91</f>
        <v/>
      </c>
      <c r="E131" s="12">
        <f>E91</f>
        <v/>
      </c>
      <c r="F131" s="12">
        <f>F91</f>
        <v/>
      </c>
      <c r="G131" s="12">
        <f>G91</f>
        <v/>
      </c>
      <c r="H131" s="12">
        <f>H91</f>
        <v/>
      </c>
      <c r="I131" s="12">
        <f>I91</f>
        <v/>
      </c>
      <c r="J131" s="12">
        <f>J91</f>
        <v/>
      </c>
      <c r="K131" s="12">
        <f>K91</f>
        <v/>
      </c>
      <c r="L131" s="12">
        <f>L91</f>
        <v/>
      </c>
    </row>
    <row r="132">
      <c r="A132" s="15" t="inlineStr">
        <is>
          <t>(=) FLUJO DE CAJA NETO</t>
        </is>
      </c>
      <c r="B132" s="16">
        <f>B124+B125+B126+B127+B128-B129-B130-B131</f>
        <v/>
      </c>
      <c r="C132" s="16">
        <f>C124+C125+C126+C127+C128-C129-C130-C131</f>
        <v/>
      </c>
      <c r="D132" s="16">
        <f>D124+D125+D126+D127+D128-D129-D130-D131</f>
        <v/>
      </c>
      <c r="E132" s="16">
        <f>E124+E125+E126+E127+E128-E129-E130-E131</f>
        <v/>
      </c>
      <c r="F132" s="16">
        <f>F124+F125+F126+F127+F128-F129-F130-F131</f>
        <v/>
      </c>
      <c r="G132" s="16">
        <f>G124+G125+G126+G127+G128-G129-G130-G131</f>
        <v/>
      </c>
      <c r="H132" s="16">
        <f>H124+H125+H126+H127+H128-H129-H130-H131</f>
        <v/>
      </c>
      <c r="I132" s="16">
        <f>I124+I125+I126+I127+I128-I129-I130-I131</f>
        <v/>
      </c>
      <c r="J132" s="16">
        <f>J124+J125+J126+J127+J128-J129-J130-J131</f>
        <v/>
      </c>
      <c r="K132" s="16">
        <f>K124+K125+K126+K127+K128-K129-K130-K131</f>
        <v/>
      </c>
      <c r="L132" s="16">
        <f>L124+L125+L126+L127+L128-L129-L130-L131</f>
        <v/>
      </c>
    </row>
    <row r="133">
      <c r="A133" s="21" t="inlineStr">
        <is>
          <t>Flujo de caja acumulado</t>
        </is>
      </c>
      <c r="B133" s="22">
        <f>B132</f>
        <v/>
      </c>
      <c r="C133" s="22">
        <f>B133+C132</f>
        <v/>
      </c>
      <c r="D133" s="22">
        <f>C133+D132</f>
        <v/>
      </c>
      <c r="E133" s="22">
        <f>D133+E132</f>
        <v/>
      </c>
      <c r="F133" s="22">
        <f>E133+F132</f>
        <v/>
      </c>
      <c r="G133" s="22">
        <f>F133+G132</f>
        <v/>
      </c>
      <c r="H133" s="22">
        <f>G133+H132</f>
        <v/>
      </c>
      <c r="I133" s="22">
        <f>H133+I132</f>
        <v/>
      </c>
      <c r="J133" s="22">
        <f>I133+J132</f>
        <v/>
      </c>
      <c r="K133" s="22">
        <f>J133+K132</f>
        <v/>
      </c>
      <c r="L133" s="22">
        <f>K133+L132</f>
        <v/>
      </c>
    </row>
    <row r="135">
      <c r="A135" s="3" t="inlineStr">
        <is>
          <t>11. COSTO DE CAPITAL DEL PROYECTO PURO</t>
        </is>
      </c>
      <c r="B135" s="27" t="n"/>
      <c r="C135" s="27" t="n"/>
      <c r="D135" s="27" t="n"/>
      <c r="E135" s="27" t="n"/>
      <c r="F135" s="27" t="n"/>
      <c r="G135" s="27" t="n"/>
      <c r="H135" s="27" t="n"/>
      <c r="I135" s="27" t="n"/>
      <c r="J135" s="27" t="n"/>
      <c r="K135" s="27" t="n"/>
      <c r="L135" s="28" t="n"/>
    </row>
    <row r="136">
      <c r="A136" s="3" t="inlineStr">
        <is>
          <t>Fuente</t>
        </is>
      </c>
      <c r="B136" s="5" t="inlineStr">
        <is>
          <t>Monto</t>
        </is>
      </c>
      <c r="C136" s="5" t="inlineStr">
        <is>
          <t>Participación</t>
        </is>
      </c>
      <c r="D136" s="5" t="inlineStr">
        <is>
          <t>Costo</t>
        </is>
      </c>
      <c r="E136" s="5" t="inlineStr">
        <is>
          <t>Costo ponderado</t>
        </is>
      </c>
      <c r="F136" s="4" t="n"/>
      <c r="G136" s="4" t="n"/>
      <c r="H136" s="4" t="n"/>
      <c r="I136" s="4" t="n"/>
      <c r="J136" s="4" t="n"/>
      <c r="K136" s="4" t="n"/>
      <c r="L136" s="4" t="n"/>
    </row>
    <row r="137">
      <c r="A137" s="6" t="inlineStr">
        <is>
          <t>Recursos propios</t>
        </is>
      </c>
      <c r="B137" s="12">
        <f>B35</f>
        <v/>
      </c>
      <c r="C137" s="23">
        <f>B137/B138</f>
        <v/>
      </c>
      <c r="D137" s="23">
        <f>$B$12</f>
        <v/>
      </c>
      <c r="E137" s="23">
        <f>C137*D137</f>
        <v/>
      </c>
    </row>
    <row r="138">
      <c r="A138" s="15" t="inlineStr">
        <is>
          <t>Tasa de descuento del proyecto</t>
        </is>
      </c>
      <c r="B138" s="16">
        <f>B137</f>
        <v/>
      </c>
      <c r="C138" s="24" t="n">
        <v>1</v>
      </c>
      <c r="D138" s="25" t="inlineStr">
        <is>
          <t>-</t>
        </is>
      </c>
      <c r="E138" s="24">
        <f>E137</f>
        <v/>
      </c>
    </row>
    <row r="140">
      <c r="A140" s="3" t="inlineStr">
        <is>
          <t>12. INDICADORES FINANCIEROS DEL PROYECTO PURO</t>
        </is>
      </c>
      <c r="B140" s="27" t="n"/>
      <c r="C140" s="27" t="n"/>
      <c r="D140" s="27" t="n"/>
      <c r="E140" s="27" t="n"/>
      <c r="F140" s="27" t="n"/>
      <c r="G140" s="27" t="n"/>
      <c r="H140" s="27" t="n"/>
      <c r="I140" s="27" t="n"/>
      <c r="J140" s="27" t="n"/>
      <c r="K140" s="27" t="n"/>
      <c r="L140" s="28" t="n"/>
    </row>
    <row r="141">
      <c r="A141" s="21" t="inlineStr">
        <is>
          <t>VAN</t>
        </is>
      </c>
      <c r="B141" s="8">
        <f>NPV(E138,C111:L111)+B111</f>
        <v/>
      </c>
    </row>
    <row r="142">
      <c r="A142" s="21" t="inlineStr">
        <is>
          <t>TIRM</t>
        </is>
      </c>
      <c r="B142" s="7">
        <f>MIRR(B111:L111,E138,E138)</f>
        <v/>
      </c>
    </row>
    <row r="143">
      <c r="A143" s="21" t="inlineStr">
        <is>
          <t>PRI (años)</t>
        </is>
      </c>
      <c r="B143" s="9">
        <f>IF(COUNTIF(B112:L112,"&lt;0")=11,"&gt;10",(COUNTIF(B112:L112,"&lt;0")-1)+(-INDEX(B112:L112,COUNTIF(B112:L112,"&lt;0")))/INDEX(B111:L111,COUNTIF(B112:L112,"&lt;0")+1))</f>
        <v/>
      </c>
    </row>
    <row r="144">
      <c r="A144" s="21" t="inlineStr">
        <is>
          <t>Relación Beneficio/Costo</t>
        </is>
      </c>
      <c r="B144" s="9">
        <f>NPV(E138,C42:L42)/(B35+NPV(E138,C49:L49)+NPV(E138,C69:L69)+NPV(E138,C104:L104))</f>
        <v/>
      </c>
    </row>
    <row r="146">
      <c r="A146" s="3" t="inlineStr">
        <is>
          <t>13. COSTO DE CAPITAL CON FINANCIAMIENTO (WACC)</t>
        </is>
      </c>
      <c r="B146" s="27" t="n"/>
      <c r="C146" s="27" t="n"/>
      <c r="D146" s="27" t="n"/>
      <c r="E146" s="27" t="n"/>
      <c r="F146" s="27" t="n"/>
      <c r="G146" s="27" t="n"/>
      <c r="H146" s="27" t="n"/>
      <c r="I146" s="27" t="n"/>
      <c r="J146" s="27" t="n"/>
      <c r="K146" s="27" t="n"/>
      <c r="L146" s="28" t="n"/>
    </row>
    <row r="147">
      <c r="A147" s="3" t="inlineStr">
        <is>
          <t>Fuente</t>
        </is>
      </c>
      <c r="B147" s="5" t="inlineStr">
        <is>
          <t>Monto</t>
        </is>
      </c>
      <c r="C147" s="5" t="inlineStr">
        <is>
          <t>Participación</t>
        </is>
      </c>
      <c r="D147" s="5" t="inlineStr">
        <is>
          <t>Costo</t>
        </is>
      </c>
      <c r="E147" s="5" t="inlineStr">
        <is>
          <t>Costo ponderado</t>
        </is>
      </c>
      <c r="F147" s="4" t="n"/>
      <c r="G147" s="4" t="n"/>
      <c r="H147" s="4" t="n"/>
      <c r="I147" s="4" t="n"/>
      <c r="J147" s="4" t="n"/>
      <c r="K147" s="4" t="n"/>
      <c r="L147" s="4" t="n"/>
    </row>
    <row r="148">
      <c r="A148" s="6" t="inlineStr">
        <is>
          <t>Préstamo bancario</t>
        </is>
      </c>
      <c r="B148" s="12">
        <f>D35</f>
        <v/>
      </c>
      <c r="C148" s="23">
        <f>B148/B150</f>
        <v/>
      </c>
      <c r="D148" s="23">
        <f>$B$9*(1-$B$6)</f>
        <v/>
      </c>
      <c r="E148" s="23">
        <f>C148*D148</f>
        <v/>
      </c>
    </row>
    <row r="149">
      <c r="A149" s="6" t="inlineStr">
        <is>
          <t>Recursos propios</t>
        </is>
      </c>
      <c r="B149" s="12">
        <f>C35</f>
        <v/>
      </c>
      <c r="C149" s="23">
        <f>B149/B150</f>
        <v/>
      </c>
      <c r="D149" s="23">
        <f>$B$12</f>
        <v/>
      </c>
      <c r="E149" s="23">
        <f>C149*D149</f>
        <v/>
      </c>
    </row>
    <row r="150">
      <c r="A150" s="15" t="inlineStr">
        <is>
          <t>WACC</t>
        </is>
      </c>
      <c r="B150" s="16">
        <f>B148+B149</f>
        <v/>
      </c>
      <c r="C150" s="24" t="n">
        <v>1</v>
      </c>
      <c r="D150" s="25" t="inlineStr">
        <is>
          <t>-</t>
        </is>
      </c>
      <c r="E150" s="24">
        <f>E148+E149</f>
        <v/>
      </c>
    </row>
    <row r="152">
      <c r="A152" s="3" t="inlineStr">
        <is>
          <t>14. INDICADORES FINANCIEROS CON FINANCIAMIENTO</t>
        </is>
      </c>
      <c r="B152" s="27" t="n"/>
      <c r="C152" s="27" t="n"/>
      <c r="D152" s="27" t="n"/>
      <c r="E152" s="27" t="n"/>
      <c r="F152" s="27" t="n"/>
      <c r="G152" s="27" t="n"/>
      <c r="H152" s="27" t="n"/>
      <c r="I152" s="27" t="n"/>
      <c r="J152" s="27" t="n"/>
      <c r="K152" s="27" t="n"/>
      <c r="L152" s="28" t="n"/>
    </row>
    <row r="153">
      <c r="A153" s="21" t="inlineStr">
        <is>
          <t>VAN</t>
        </is>
      </c>
      <c r="B153" s="8">
        <f>NPV(E150,C132:L132)+B132</f>
        <v/>
      </c>
    </row>
    <row r="154">
      <c r="A154" s="21" t="inlineStr">
        <is>
          <t>TIRM</t>
        </is>
      </c>
      <c r="B154" s="7">
        <f>MIRR(B132:L132,E150,E150)</f>
        <v/>
      </c>
    </row>
    <row r="155">
      <c r="A155" s="21" t="inlineStr">
        <is>
          <t>PRI (años)</t>
        </is>
      </c>
      <c r="B155" s="9">
        <f>IF(COUNTIF(B133:L133,"&lt;0")=11,"&gt;10",(COUNTIF(B133:L133,"&lt;0")-1)+(-INDEX(B133:L133,COUNTIF(B133:L133,"&lt;0")))/INDEX(B132:L132,COUNTIF(B133:L133,"&lt;0")+1))</f>
        <v/>
      </c>
    </row>
    <row r="156">
      <c r="A156" s="21" t="inlineStr">
        <is>
          <t>Relación Beneficio/Costo</t>
        </is>
      </c>
      <c r="B156" s="9">
        <f>NPV(E150,C42:L42)/(C35+NPV(E150,C49:L49)+NPV(E150,C69:L69)+NPV(E150,C119:L119)+NPV(E150,C123:L123)+NPV(E150,C131:L131))</f>
        <v/>
      </c>
    </row>
    <row r="158">
      <c r="A158" s="3" t="inlineStr">
        <is>
          <t>15. NOTAS LEGALES (cumplimiento normativo Honduras)</t>
        </is>
      </c>
      <c r="B158" s="27" t="n"/>
      <c r="C158" s="27" t="n"/>
      <c r="D158" s="27" t="n"/>
      <c r="E158" s="27" t="n"/>
      <c r="F158" s="27" t="n"/>
      <c r="G158" s="27" t="n"/>
      <c r="H158" s="27" t="n"/>
      <c r="I158" s="27" t="n"/>
      <c r="J158" s="27" t="n"/>
      <c r="K158" s="27" t="n"/>
      <c r="L158" s="28" t="n"/>
    </row>
    <row r="159" ht="30" customHeight="1">
      <c r="A159" s="26" t="inlineStr">
        <is>
          <t>• ISR: 25% + aportación solidaria 5% sobre el excedente de L 1,000,000 (Ley del ISR).</t>
        </is>
      </c>
      <c r="B159" s="27" t="n"/>
      <c r="C159" s="27" t="n"/>
      <c r="D159" s="27" t="n"/>
      <c r="E159" s="27" t="n"/>
      <c r="F159" s="27" t="n"/>
      <c r="G159" s="27" t="n"/>
      <c r="H159" s="27" t="n"/>
      <c r="I159" s="27" t="n"/>
      <c r="J159" s="27" t="n"/>
      <c r="K159" s="27" t="n"/>
      <c r="L159" s="28" t="n"/>
    </row>
    <row r="160" ht="30" customHeight="1">
      <c r="A160" s="26" t="inlineStr">
        <is>
          <t>• Depreciación línea recta: maquinaria 10%; vehículos 10%-33% (aquí 20% = 5 años); diferidos 5 años.</t>
        </is>
      </c>
      <c r="B160" s="27" t="n"/>
      <c r="C160" s="27" t="n"/>
      <c r="D160" s="27" t="n"/>
      <c r="E160" s="27" t="n"/>
      <c r="F160" s="27" t="n"/>
      <c r="G160" s="27" t="n"/>
      <c r="H160" s="27" t="n"/>
      <c r="I160" s="27" t="n"/>
      <c r="J160" s="27" t="n"/>
      <c r="K160" s="27" t="n"/>
      <c r="L160" s="28" t="n"/>
    </row>
    <row r="161" ht="30" customHeight="1">
      <c r="A161" s="26" t="inlineStr">
        <is>
          <t>• Seguridad social patronal (techo L 11,903.13): IHSS EM 2.5% + IVM 1% + RP 0.2% + RAP 1.5%; INFOP 1% sobre planilla (sin techo).</t>
        </is>
      </c>
      <c r="B161" s="27" t="n"/>
      <c r="C161" s="27" t="n"/>
      <c r="D161" s="27" t="n"/>
      <c r="E161" s="27" t="n"/>
      <c r="F161" s="27" t="n"/>
      <c r="G161" s="27" t="n"/>
      <c r="H161" s="27" t="n"/>
      <c r="I161" s="27" t="n"/>
      <c r="J161" s="27" t="n"/>
      <c r="K161" s="27" t="n"/>
      <c r="L161" s="28" t="n"/>
    </row>
    <row r="162" ht="30" customHeight="1">
      <c r="A162" s="26" t="inlineStr">
        <is>
          <t>• Prestaciones: aguinaldo (13.º mes) y catorceavo (14.º mes), Código del Trabajo.</t>
        </is>
      </c>
      <c r="B162" s="27" t="n"/>
      <c r="C162" s="27" t="n"/>
      <c r="D162" s="27" t="n"/>
      <c r="E162" s="27" t="n"/>
      <c r="F162" s="27" t="n"/>
      <c r="G162" s="27" t="n"/>
      <c r="H162" s="27" t="n"/>
      <c r="I162" s="27" t="n"/>
      <c r="J162" s="27" t="n"/>
      <c r="K162" s="27" t="n"/>
      <c r="L162" s="28" t="n"/>
    </row>
    <row r="163" ht="30" customHeight="1">
      <c r="A163" s="26" t="inlineStr">
        <is>
          <t>• ISV: la leche fluida/pasteurizada está exenta; no se cobra ISV en ventas.</t>
        </is>
      </c>
      <c r="B163" s="27" t="n"/>
      <c r="C163" s="27" t="n"/>
      <c r="D163" s="27" t="n"/>
      <c r="E163" s="27" t="n"/>
      <c r="F163" s="27" t="n"/>
      <c r="G163" s="27" t="n"/>
      <c r="H163" s="27" t="n"/>
      <c r="I163" s="27" t="n"/>
      <c r="J163" s="27" t="n"/>
      <c r="K163" s="27" t="n"/>
      <c r="L163" s="28" t="n"/>
    </row>
    <row r="164" ht="30" customHeight="1">
      <c r="A164" s="26" t="inlineStr">
        <is>
          <t>• Arrastre de pérdidas fiscales: la manufactura puede compensarlas hasta 3 años (aplicado en el flujo, línea de pérdidas acumuladas).</t>
        </is>
      </c>
      <c r="B164" s="27" t="n"/>
      <c r="C164" s="27" t="n"/>
      <c r="D164" s="27" t="n"/>
      <c r="E164" s="27" t="n"/>
      <c r="F164" s="27" t="n"/>
      <c r="G164" s="27" t="n"/>
      <c r="H164" s="27" t="n"/>
      <c r="I164" s="27" t="n"/>
      <c r="J164" s="27" t="n"/>
      <c r="K164" s="27" t="n"/>
      <c r="L164" s="28" t="n"/>
    </row>
    <row r="165" ht="30" customHeight="1">
      <c r="A165" s="26" t="inlineStr">
        <is>
          <t>• Impuesto al Activo Neto 1% (deducción L3M; exento en preoperación; se paga solo si supera al ISR).</t>
        </is>
      </c>
      <c r="B165" s="27" t="n"/>
      <c r="C165" s="27" t="n"/>
      <c r="D165" s="27" t="n"/>
      <c r="E165" s="27" t="n"/>
      <c r="F165" s="27" t="n"/>
      <c r="G165" s="27" t="n"/>
      <c r="H165" s="27" t="n"/>
      <c r="I165" s="27" t="n"/>
      <c r="J165" s="27" t="n"/>
      <c r="K165" s="27" t="n"/>
      <c r="L165" s="28" t="n"/>
    </row>
    <row r="166" ht="30" customHeight="1">
      <c r="A166" s="26" t="inlineStr">
        <is>
          <t>• Capital de trabajo: 1 mes de costos operativos, financiado con crédito de proveedores (CREL/ganaderos).</t>
        </is>
      </c>
      <c r="B166" s="27" t="n"/>
      <c r="C166" s="27" t="n"/>
      <c r="D166" s="27" t="n"/>
      <c r="E166" s="27" t="n"/>
      <c r="F166" s="27" t="n"/>
      <c r="G166" s="27" t="n"/>
      <c r="H166" s="27" t="n"/>
      <c r="I166" s="27" t="n"/>
      <c r="J166" s="27" t="n"/>
      <c r="K166" s="27" t="n"/>
      <c r="L166" s="28" t="n"/>
    </row>
    <row r="167" ht="30" customHeight="1">
      <c r="A167" s="26" t="inlineStr">
        <is>
          <t>• Impuestos municipales de Comayagua (industria, comercio y servicios; bienes inmuebles).</t>
        </is>
      </c>
      <c r="B167" s="27" t="n"/>
      <c r="C167" s="27" t="n"/>
      <c r="D167" s="27" t="n"/>
      <c r="E167" s="27" t="n"/>
      <c r="F167" s="27" t="n"/>
      <c r="G167" s="27" t="n"/>
      <c r="H167" s="27" t="n"/>
      <c r="I167" s="27" t="n"/>
      <c r="J167" s="27" t="n"/>
      <c r="K167" s="27" t="n"/>
      <c r="L167" s="28" t="n"/>
    </row>
  </sheetData>
  <mergeCells count="34">
    <mergeCell ref="D57:L57"/>
    <mergeCell ref="A164:L164"/>
    <mergeCell ref="A37:L37"/>
    <mergeCell ref="A158:L158"/>
    <mergeCell ref="D53:L53"/>
    <mergeCell ref="A163:L163"/>
    <mergeCell ref="A26:L26"/>
    <mergeCell ref="A71:L71"/>
    <mergeCell ref="A160:L160"/>
    <mergeCell ref="D56:L56"/>
    <mergeCell ref="D58:L58"/>
    <mergeCell ref="A159:L159"/>
    <mergeCell ref="A135:L135"/>
    <mergeCell ref="A140:L140"/>
    <mergeCell ref="A4:L4"/>
    <mergeCell ref="D55:L55"/>
    <mergeCell ref="A81:L81"/>
    <mergeCell ref="A96:L96"/>
    <mergeCell ref="A165:L165"/>
    <mergeCell ref="A161:L161"/>
    <mergeCell ref="A152:L152"/>
    <mergeCell ref="D54:L54"/>
    <mergeCell ref="A44:L44"/>
    <mergeCell ref="A167:L167"/>
    <mergeCell ref="D59:L59"/>
    <mergeCell ref="A114:L114"/>
    <mergeCell ref="A64:L64"/>
    <mergeCell ref="A166:L166"/>
    <mergeCell ref="A51:L51"/>
    <mergeCell ref="A88:L88"/>
    <mergeCell ref="A146:L146"/>
    <mergeCell ref="A162:L162"/>
    <mergeCell ref="C60:L60"/>
    <mergeCell ref="D52:L5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29" t="inlineStr">
        <is>
          <t>Explicación del Estudio Financiero</t>
        </is>
      </c>
    </row>
    <row r="2">
      <c r="A2" s="30" t="inlineStr">
        <is>
          <t>Productora de Leche Pasteurizada «Pura»</t>
        </is>
      </c>
    </row>
    <row r="3">
      <c r="A3" s="31" t="inlineStr"/>
    </row>
    <row r="4">
      <c r="A4" s="30" t="inlineStr">
        <is>
          <t>Objetivo</t>
        </is>
      </c>
    </row>
    <row r="5">
      <c r="A5" s="31"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31" t="inlineStr"/>
    </row>
    <row r="7">
      <c r="A7" s="30" t="inlineStr">
        <is>
          <t>Supuestos base</t>
        </is>
      </c>
    </row>
    <row r="8">
      <c r="A8" s="31"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proyecto puro es de 15% y el costo promedio ponderado de capital del escenario con financiamiento es de 12.75%.</t>
        </is>
      </c>
    </row>
    <row r="9">
      <c r="A9" s="31" t="inlineStr"/>
    </row>
    <row r="10">
      <c r="A10" s="30" t="inlineStr">
        <is>
          <t>Cómo se construye el estudio</t>
        </is>
      </c>
    </row>
    <row r="11">
      <c r="A11" s="31" t="inlineStr">
        <is>
          <t>1. Plan de inversiones. Reúne la maquinaria, el camión, los gastos diferidos y el capital de trabajo inicial. La inversión total es de 1,782,858 Lempiras.</t>
        </is>
      </c>
    </row>
    <row r="12">
      <c r="A12" s="31" t="inlineStr">
        <is>
          <t>2. Producción y ventas. El volumen se obtiene multiplicando los clientes por el consumo mensual de 150 litros y por 12 meses. El precio parte de 28 Lempiras por litro y sube cada año con la inflación.</t>
        </is>
      </c>
    </row>
    <row r="13">
      <c r="A13" s="31" t="inlineStr">
        <is>
          <t>3. Costos variables. Incluyen la leche cruda con merma, el empaque y el combustible de reparto. Crecen con el volumen y con la inflación.</t>
        </is>
      </c>
    </row>
    <row r="14">
      <c r="A14" s="31" t="inlineStr">
        <is>
          <t>4. Costo de personal. Seis puestos con salario, aguinaldo, catorceavo mes y las cargas de seguridad social calculadas sobre el techo de cotización de ley.</t>
        </is>
      </c>
    </row>
    <row r="15">
      <c r="A15" s="31" t="inlineStr">
        <is>
          <t>5. Costos fijos. Reúnen los costos fijos operativos, los gastos administrativos y el personal, todos ajustados por inflación.</t>
        </is>
      </c>
    </row>
    <row r="16">
      <c r="A16" s="31" t="inlineStr">
        <is>
          <t>6. Depreciación y amortización. Se calcula por línea recta. La maquinaria se deprecia en diez años, el camión en cinco años y los gastos diferidos se amortizan en cinco años.</t>
        </is>
      </c>
    </row>
    <row r="17">
      <c r="A17" s="31" t="inlineStr">
        <is>
          <t>7. Valor de desecho y capital de trabajo. El capital de trabajo equivale a un mes de costos operativos y se recupera en el último año.</t>
        </is>
      </c>
    </row>
    <row r="18">
      <c r="A18" s="31" t="inlineStr">
        <is>
          <t>8. Amortización del préstamo. Muestra la cuota anual fija, los intereses y los abonos a capital del préstamo bancario a cinco años.</t>
        </is>
      </c>
    </row>
    <row r="19">
      <c r="A19" s="31" t="inlineStr">
        <is>
          <t>9 y 10. Flujo de caja. Arma el flujo del proyecto sin financiamiento y con financiamiento. A la utilidad se le restan los impuestos, aprovechando el arrastre de pérdidas de los primeros años, y se le suman las partidas que no son salida de efectivo, como la depreciación.</t>
        </is>
      </c>
    </row>
    <row r="20">
      <c r="A20" s="31" t="inlineStr">
        <is>
          <t>11 a 14. Costo de capital e indicadores. Con la tasa de descuento y el WACC se calculan el VAN, la TIRM, el período de recuperación y la relación beneficio/costo en los dos escenarios.</t>
        </is>
      </c>
    </row>
    <row r="21">
      <c r="A21" s="31" t="inlineStr"/>
    </row>
    <row r="22">
      <c r="A22" s="30" t="inlineStr">
        <is>
          <t>Qué significan los indicadores</t>
        </is>
      </c>
    </row>
    <row r="23">
      <c r="A23" s="31"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4">
      <c r="A24" s="31" t="inlineStr"/>
    </row>
    <row r="25">
      <c r="A25" s="30" t="inlineStr">
        <is>
          <t>Resultados</t>
        </is>
      </c>
    </row>
    <row r="26">
      <c r="A26" s="31" t="inlineStr">
        <is>
          <t>Proyecto puro: VAN de 15,452,178 Lempiras, TIRM de 40.52%, recuperación en 3.65 años y relación beneficio/costo de 1.23.</t>
        </is>
      </c>
    </row>
    <row r="27">
      <c r="A27" s="31" t="inlineStr">
        <is>
          <t>Con financiamiento: VAN de 18,350,392 Lempiras, TIRM de 42.71%, recuperación en 3.63 años y relación beneficio/costo de 1.24.</t>
        </is>
      </c>
    </row>
    <row r="28">
      <c r="A28" s="31" t="inlineStr">
        <is>
          <t>En los dos escenarios el proyecto recupera la inversión antes de cuatro años y rinde por encima de la tasa exigida, por lo que es financieramente viable.</t>
        </is>
      </c>
    </row>
    <row r="29">
      <c r="A29" s="31" t="inlineStr"/>
    </row>
    <row r="30">
      <c r="A30" s="30" t="inlineStr">
        <is>
          <t>Cumplimiento legal en Honduras</t>
        </is>
      </c>
    </row>
    <row r="31">
      <c r="A31" s="31" t="inlineStr">
        <is>
          <t>El estudio aplica el impuesto sobre la renta de 25% más 5% de aportación solidaria, la depreciación por línea recta permitida por el reglamento (vehículos entre 10% y 33%, aquí 20%), la seguridad social patronal con su techo de cotización, el aguinaldo y el catorceavo mes del Código del Trabajo, la exención del impuesto sobre ventas para la leche fluida, el arrastre de pérdidas de hasta tres años para la manufactura y los impuestos municipales de Comayagua.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2026-07-11T03:18:53Z</dcterms:created>
  <dcterms:modified xmlns:dcterms="http://purl.org/dc/terms/" xmlns:xsi="http://www.w3.org/2001/XMLSchema-instance" xsi:type="dcterms:W3CDTF">2026-07-11T05:39:52Z</dcterms:modified>
</cp:coreProperties>
</file>