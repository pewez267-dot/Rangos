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 Pu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Año &quot;0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  <font>
      <name val="Calibri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1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3" fontId="1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" fillId="0" borderId="1" applyAlignment="1" pivotButton="0" quotePrefix="0" xfId="0">
      <alignment horizontal="left" vertical="center" wrapText="1"/>
    </xf>
    <xf numFmtId="3" fontId="1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right" vertical="center"/>
    </xf>
    <xf numFmtId="0" fontId="1" fillId="5" borderId="1" applyAlignment="1" pivotButton="0" quotePrefix="0" xfId="0">
      <alignment horizontal="left" vertical="center" wrapText="1"/>
    </xf>
    <xf numFmtId="3" fontId="1" fillId="5" borderId="1" applyAlignment="1" pivotButton="0" quotePrefix="0" xfId="0">
      <alignment horizontal="right" vertical="center"/>
    </xf>
    <xf numFmtId="1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3" fontId="1" fillId="5" borderId="1" applyAlignment="1" pivotButton="0" quotePrefix="0" xfId="0">
      <alignment horizontal="center" vertical="center" wrapText="1"/>
    </xf>
    <xf numFmtId="10" fontId="1" fillId="5" borderId="1" applyAlignment="1" pivotButton="0" quotePrefix="0" xfId="0">
      <alignment horizontal="center" vertical="center" wrapText="1"/>
    </xf>
    <xf numFmtId="2" fontId="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ESTUDIO FINANCIERO — PRODUCCIÓN Y DISTRIBUCIÓN DE LECHE PASTEURIZADA «PURA»</t>
        </is>
      </c>
    </row>
    <row r="2">
      <c r="A2" s="2" t="inlineStr">
        <is>
          <t>Estudio de prefactibilidad — Honduras  |  Máster en Agronegocios, Universidad EAFIT</t>
        </is>
      </c>
    </row>
    <row r="3">
      <c r="A3" s="2" t="inlineStr">
        <is>
          <t>Autores: Jaime M. Caballero Madriz · Fredy D. Valladares Suazo · Horacio E. Medal Picado   |   Cifras en Lempiras (Lps)</t>
        </is>
      </c>
    </row>
    <row r="5">
      <c r="A5" s="3" t="inlineStr">
        <is>
          <t>1. SUPUESTOS BASE DEL PROYECTO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inlineStr">
        <is>
          <t>Parámetro</t>
        </is>
      </c>
      <c r="B6" s="1" t="inlineStr">
        <is>
          <t>Valor</t>
        </is>
      </c>
      <c r="C6" s="5" t="inlineStr">
        <is>
          <t>Fuente / Nota</t>
        </is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Moneda</t>
        </is>
      </c>
      <c r="B7" s="8" t="inlineStr">
        <is>
          <t>Lempiras (Lps)</t>
        </is>
      </c>
      <c r="C7" s="7" t="inlineStr">
        <is>
          <t>Estudio financiero de la tesis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7" t="inlineStr">
        <is>
          <t>Horizonte de evaluación (años)</t>
        </is>
      </c>
      <c r="B8" s="10" t="n">
        <v>10</v>
      </c>
      <c r="C8" s="7" t="inlineStr">
        <is>
          <t>Proyección a 10 años (Cuadro 1)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7" t="inlineStr">
        <is>
          <t>Tasa de inflación anual</t>
        </is>
      </c>
      <c r="B9" s="11" t="n">
        <v>0.045</v>
      </c>
      <c r="C9" s="7" t="inlineStr">
        <is>
          <t>Cuadro 6 — inflación promedio nacional 4.5%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7" t="inlineStr">
        <is>
          <t>Tasa de ISR (impuesto sobre la renta)</t>
        </is>
      </c>
      <c r="B10" s="11" t="n">
        <v>0.25</v>
      </c>
      <c r="C10" s="7" t="inlineStr">
        <is>
          <t>Ley del ISR de Honduras — tasa corporativa 25% (SUPUESTO)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7" t="inlineStr">
        <is>
          <t>TREMA / Costo del capital propio (Ke)</t>
        </is>
      </c>
      <c r="B11" s="11" t="n">
        <v>0.15</v>
      </c>
      <c r="C11" s="7" t="inlineStr">
        <is>
          <t>Rendimiento mínimo exigido por el inversionista (SUPUESTO)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7" t="inlineStr">
        <is>
          <t>Tasa de interés del préstamo (Kd)</t>
        </is>
      </c>
      <c r="B12" s="11" t="n">
        <v>0.14</v>
      </c>
      <c r="C12" s="7" t="inlineStr">
        <is>
          <t>Tasa activa promedio banca hondureña (SUPUESTO)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7" t="inlineStr">
        <is>
          <t>% de la inversión financiado con préstamo</t>
        </is>
      </c>
      <c r="B13" s="11" t="n">
        <v>0.4</v>
      </c>
      <c r="C13" s="7" t="inlineStr">
        <is>
          <t>Escenario de apalancamiento (SUPUESTO ajustable)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7" t="inlineStr">
        <is>
          <t>Plazo del préstamo (años)</t>
        </is>
      </c>
      <c r="B14" s="10" t="n">
        <v>5</v>
      </c>
      <c r="C14" s="7" t="inlineStr">
        <is>
          <t>Amortización con cuota anual fija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7" t="inlineStr">
        <is>
          <t>Valor de salvamento (Año 10)</t>
        </is>
      </c>
      <c r="B15" s="12" t="n">
        <v>0</v>
      </c>
      <c r="C15" s="7" t="inlineStr">
        <is>
          <t>Conservador; no especificado en la tesis (SUPUESTO)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7">
      <c r="A17" s="3" t="inlineStr">
        <is>
          <t>2. PLAN DE INVERSIONES Y FINANCIAMIENTO (Lps)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5" t="inlineStr">
        <is>
          <t>Rubro</t>
        </is>
      </c>
      <c r="B18" s="1" t="inlineStr">
        <is>
          <t>Valor total</t>
        </is>
      </c>
      <c r="C18" s="1" t="inlineStr">
        <is>
          <t>Vida útil (años)</t>
        </is>
      </c>
      <c r="D18" s="1" t="inlineStr">
        <is>
          <t>Tasa dep./amort.</t>
        </is>
      </c>
      <c r="E18" s="5" t="inlineStr">
        <is>
          <t>Categoría</t>
        </is>
      </c>
      <c r="F18" s="6" t="n"/>
      <c r="G18" s="6" t="n"/>
      <c r="H18" s="6" t="n"/>
      <c r="I18" s="6" t="n"/>
      <c r="J18" s="6" t="n"/>
      <c r="K18" s="6" t="n"/>
      <c r="L18" s="6" t="n"/>
    </row>
    <row r="19">
      <c r="A19" s="7" t="inlineStr">
        <is>
          <t>Tanques de almacenamiento</t>
        </is>
      </c>
      <c r="B19" s="13" t="n">
        <v>360000</v>
      </c>
      <c r="C19" s="14" t="n">
        <v>10</v>
      </c>
      <c r="D19" s="15" t="n">
        <v>0.1</v>
      </c>
      <c r="E19" s="7" t="inlineStr">
        <is>
          <t>Activo fijo — maquinaria</t>
        </is>
      </c>
      <c r="F19" s="9" t="n"/>
      <c r="G19" s="9" t="n"/>
      <c r="H19" s="9" t="n"/>
      <c r="I19" s="9" t="n"/>
      <c r="J19" s="9" t="n"/>
      <c r="K19" s="9" t="n"/>
      <c r="L19" s="9" t="n"/>
    </row>
    <row r="20">
      <c r="A20" s="7" t="inlineStr">
        <is>
          <t>Pasteurizador HTST</t>
        </is>
      </c>
      <c r="B20" s="13" t="n">
        <v>150000</v>
      </c>
      <c r="C20" s="14" t="n">
        <v>10</v>
      </c>
      <c r="D20" s="15" t="n">
        <v>0.1</v>
      </c>
      <c r="E20" s="7" t="inlineStr">
        <is>
          <t>Activo fijo — maquinaria</t>
        </is>
      </c>
      <c r="F20" s="9" t="n"/>
      <c r="G20" s="9" t="n"/>
      <c r="H20" s="9" t="n"/>
      <c r="I20" s="9" t="n"/>
      <c r="J20" s="9" t="n"/>
      <c r="K20" s="9" t="n"/>
      <c r="L20" s="9" t="n"/>
    </row>
    <row r="21">
      <c r="A21" s="7" t="inlineStr">
        <is>
          <t>Envasadora automática</t>
        </is>
      </c>
      <c r="B21" s="13" t="n">
        <v>260000</v>
      </c>
      <c r="C21" s="14" t="n">
        <v>10</v>
      </c>
      <c r="D21" s="15" t="n">
        <v>0.1</v>
      </c>
      <c r="E21" s="7" t="inlineStr">
        <is>
          <t>Activo fijo — maquinaria</t>
        </is>
      </c>
      <c r="F21" s="9" t="n"/>
      <c r="G21" s="9" t="n"/>
      <c r="H21" s="9" t="n"/>
      <c r="I21" s="9" t="n"/>
      <c r="J21" s="9" t="n"/>
      <c r="K21" s="9" t="n"/>
      <c r="L21" s="9" t="n"/>
    </row>
    <row r="22">
      <c r="A22" s="7" t="inlineStr">
        <is>
          <t>Sistema de enfriamiento</t>
        </is>
      </c>
      <c r="B22" s="13" t="n">
        <v>125000</v>
      </c>
      <c r="C22" s="14" t="n">
        <v>10</v>
      </c>
      <c r="D22" s="15" t="n">
        <v>0.1</v>
      </c>
      <c r="E22" s="7" t="inlineStr">
        <is>
          <t>Activo fijo — maquinaria</t>
        </is>
      </c>
      <c r="F22" s="9" t="n"/>
      <c r="G22" s="9" t="n"/>
      <c r="H22" s="9" t="n"/>
      <c r="I22" s="9" t="n"/>
      <c r="J22" s="9" t="n"/>
      <c r="K22" s="9" t="n"/>
      <c r="L22" s="9" t="n"/>
    </row>
    <row r="23">
      <c r="A23" s="7" t="inlineStr">
        <is>
          <t>Camión de distribución</t>
        </is>
      </c>
      <c r="B23" s="13" t="n">
        <v>500000</v>
      </c>
      <c r="C23" s="14" t="n">
        <v>3</v>
      </c>
      <c r="D23" s="15" t="n">
        <v>0.3333</v>
      </c>
      <c r="E23" s="7" t="inlineStr">
        <is>
          <t>Activo fijo — vehículo</t>
        </is>
      </c>
      <c r="F23" s="9" t="n"/>
      <c r="G23" s="9" t="n"/>
      <c r="H23" s="9" t="n"/>
      <c r="I23" s="9" t="n"/>
      <c r="J23" s="9" t="n"/>
      <c r="K23" s="9" t="n"/>
      <c r="L23" s="9" t="n"/>
    </row>
    <row r="24">
      <c r="A24" s="16" t="inlineStr">
        <is>
          <t>Subtotal maquinaria y equipo (activo fijo depreciable)</t>
        </is>
      </c>
      <c r="B24" s="17">
        <f>SUM(B19:B23)</f>
        <v/>
      </c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7" t="inlineStr">
        <is>
          <t>Permisos de funcionamiento</t>
        </is>
      </c>
      <c r="B25" s="13" t="n">
        <v>14000</v>
      </c>
      <c r="C25" s="14" t="n">
        <v>5</v>
      </c>
      <c r="D25" s="15" t="n">
        <v>0.2</v>
      </c>
      <c r="E25" s="7" t="inlineStr">
        <is>
          <t>Diferido preoperativo (Cuadro 4)</t>
        </is>
      </c>
      <c r="F25" s="9" t="n"/>
      <c r="G25" s="9" t="n"/>
      <c r="H25" s="9" t="n"/>
      <c r="I25" s="9" t="n"/>
      <c r="J25" s="9" t="n"/>
      <c r="K25" s="9" t="n"/>
      <c r="L25" s="9" t="n"/>
    </row>
    <row r="26">
      <c r="A26" s="7" t="inlineStr">
        <is>
          <t>Equipos de protección</t>
        </is>
      </c>
      <c r="B26" s="13" t="n">
        <v>3500</v>
      </c>
      <c r="C26" s="14" t="n">
        <v>5</v>
      </c>
      <c r="D26" s="15" t="n">
        <v>0.2</v>
      </c>
      <c r="E26" s="7" t="inlineStr">
        <is>
          <t>Diferido preoperativo (Cuadro 4)</t>
        </is>
      </c>
      <c r="F26" s="9" t="n"/>
      <c r="G26" s="9" t="n"/>
      <c r="H26" s="9" t="n"/>
      <c r="I26" s="9" t="n"/>
      <c r="J26" s="9" t="n"/>
      <c r="K26" s="9" t="n"/>
      <c r="L26" s="9" t="n"/>
    </row>
    <row r="27">
      <c r="A27" s="7" t="inlineStr">
        <is>
          <t>Software de gestión</t>
        </is>
      </c>
      <c r="B27" s="13" t="n">
        <v>8500</v>
      </c>
      <c r="C27" s="14" t="n">
        <v>5</v>
      </c>
      <c r="D27" s="15" t="n">
        <v>0.2</v>
      </c>
      <c r="E27" s="7" t="inlineStr">
        <is>
          <t>Diferido preoperativo (Cuadro 4)</t>
        </is>
      </c>
      <c r="F27" s="9" t="n"/>
      <c r="G27" s="9" t="n"/>
      <c r="H27" s="9" t="n"/>
      <c r="I27" s="9" t="n"/>
      <c r="J27" s="9" t="n"/>
      <c r="K27" s="9" t="n"/>
      <c r="L27" s="9" t="n"/>
    </row>
    <row r="28">
      <c r="A28" s="7" t="inlineStr">
        <is>
          <t>Inducción y capacitaciones</t>
        </is>
      </c>
      <c r="B28" s="13" t="n">
        <v>25000</v>
      </c>
      <c r="C28" s="14" t="n">
        <v>5</v>
      </c>
      <c r="D28" s="15" t="n">
        <v>0.2</v>
      </c>
      <c r="E28" s="7" t="inlineStr">
        <is>
          <t>Diferido preoperativo (Cuadro 4)</t>
        </is>
      </c>
      <c r="F28" s="9" t="n"/>
      <c r="G28" s="9" t="n"/>
      <c r="H28" s="9" t="n"/>
      <c r="I28" s="9" t="n"/>
      <c r="J28" s="9" t="n"/>
      <c r="K28" s="9" t="n"/>
      <c r="L28" s="9" t="n"/>
    </row>
    <row r="29">
      <c r="A29" s="7" t="inlineStr">
        <is>
          <t>Permisos y legales</t>
        </is>
      </c>
      <c r="B29" s="13" t="n">
        <v>25000</v>
      </c>
      <c r="C29" s="14" t="n">
        <v>5</v>
      </c>
      <c r="D29" s="15" t="n">
        <v>0.2</v>
      </c>
      <c r="E29" s="7" t="inlineStr">
        <is>
          <t>Diferido (Cuadro 5)</t>
        </is>
      </c>
      <c r="F29" s="9" t="n"/>
      <c r="G29" s="9" t="n"/>
      <c r="H29" s="9" t="n"/>
      <c r="I29" s="9" t="n"/>
      <c r="J29" s="9" t="n"/>
      <c r="K29" s="9" t="n"/>
      <c r="L29" s="9" t="n"/>
    </row>
    <row r="30">
      <c r="A30" s="16" t="inlineStr">
        <is>
          <t>Subtotal diferidos (preoperativos + legales)</t>
        </is>
      </c>
      <c r="B30" s="17">
        <f>SUM(B25:B29)</f>
        <v/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7" t="inlineStr">
        <is>
          <t>Capital de trabajo inicial (costos fijos op. 543,100 + admin. 22,600 + variables 19,500)</t>
        </is>
      </c>
      <c r="B31" s="13" t="n">
        <v>585200</v>
      </c>
      <c r="C31" s="14" t="inlineStr">
        <is>
          <t>-</t>
        </is>
      </c>
      <c r="D31" s="14" t="inlineStr">
        <is>
          <t>-</t>
        </is>
      </c>
      <c r="E31" s="7" t="inlineStr">
        <is>
          <t>Capital de trabajo (se recupera en Año 10)</t>
        </is>
      </c>
      <c r="F31" s="9" t="n"/>
      <c r="G31" s="9" t="n"/>
      <c r="H31" s="9" t="n"/>
      <c r="I31" s="9" t="n"/>
      <c r="J31" s="9" t="n"/>
      <c r="K31" s="9" t="n"/>
      <c r="L31" s="9" t="n"/>
    </row>
    <row r="32">
      <c r="A32" s="16" t="inlineStr">
        <is>
          <t>TOTAL INVERSIÓN INICIAL</t>
        </is>
      </c>
      <c r="B32" s="17">
        <f>B24+B30+B31</f>
        <v/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4">
      <c r="A34" s="19" t="inlineStr">
        <is>
          <t>Financiamiento — Préstamo bancario</t>
        </is>
      </c>
      <c r="B34" s="20">
        <f>$B$13*B32</f>
        <v/>
      </c>
      <c r="C34" s="7" t="inlineStr">
        <is>
          <t>Igual a: % financiado × inversión total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19" t="inlineStr">
        <is>
          <t>Financiamiento — Recursos propios (aporte de socios)</t>
        </is>
      </c>
      <c r="B35" s="20">
        <f>B32-B34</f>
        <v/>
      </c>
      <c r="C35" s="7" t="inlineStr">
        <is>
          <t>Igual a: inversión total − préstamo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7">
      <c r="A37" s="3" t="inlineStr">
        <is>
          <t>3. PRODUCCIÓN Y VENTAS — INGRESOS (Cuadro 1 de la tesis)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5" t="inlineStr">
        <is>
          <t>Concepto</t>
        </is>
      </c>
      <c r="B38" s="21" t="n">
        <v>0</v>
      </c>
      <c r="C38" s="21" t="n">
        <v>1</v>
      </c>
      <c r="D38" s="21" t="n">
        <v>2</v>
      </c>
      <c r="E38" s="21" t="n">
        <v>3</v>
      </c>
      <c r="F38" s="21" t="n">
        <v>4</v>
      </c>
      <c r="G38" s="21" t="n">
        <v>5</v>
      </c>
      <c r="H38" s="21" t="n">
        <v>6</v>
      </c>
      <c r="I38" s="21" t="n">
        <v>7</v>
      </c>
      <c r="J38" s="21" t="n">
        <v>8</v>
      </c>
      <c r="K38" s="21" t="n">
        <v>9</v>
      </c>
      <c r="L38" s="21" t="n">
        <v>10</v>
      </c>
    </row>
    <row r="39">
      <c r="A39" s="7" t="inlineStr">
        <is>
          <t>Clientes activos (estimados)</t>
        </is>
      </c>
      <c r="B39" s="13" t="n">
        <v>0</v>
      </c>
      <c r="C39" s="13" t="n">
        <v>15</v>
      </c>
      <c r="D39" s="13" t="n">
        <v>20</v>
      </c>
      <c r="E39" s="13" t="n">
        <v>25</v>
      </c>
      <c r="F39" s="13" t="n">
        <v>30</v>
      </c>
      <c r="G39" s="13" t="n">
        <v>35</v>
      </c>
      <c r="H39" s="13" t="n">
        <v>40</v>
      </c>
      <c r="I39" s="13" t="n">
        <v>45</v>
      </c>
      <c r="J39" s="13" t="n">
        <v>50</v>
      </c>
      <c r="K39" s="13" t="n">
        <v>55</v>
      </c>
      <c r="L39" s="13" t="n">
        <v>60</v>
      </c>
    </row>
    <row r="40">
      <c r="A40" s="7" t="inlineStr">
        <is>
          <t>Volumen anual (litros)</t>
        </is>
      </c>
      <c r="B40" s="13" t="n">
        <v>0</v>
      </c>
      <c r="C40" s="13" t="n">
        <v>14000</v>
      </c>
      <c r="D40" s="13" t="n">
        <v>23000</v>
      </c>
      <c r="E40" s="13" t="n">
        <v>37000</v>
      </c>
      <c r="F40" s="13" t="n">
        <v>59000</v>
      </c>
      <c r="G40" s="13" t="n">
        <v>94000</v>
      </c>
      <c r="H40" s="13" t="n">
        <v>150000</v>
      </c>
      <c r="I40" s="13" t="n">
        <v>240000</v>
      </c>
      <c r="J40" s="13" t="n">
        <v>380000</v>
      </c>
      <c r="K40" s="13" t="n">
        <v>600000</v>
      </c>
      <c r="L40" s="13" t="n">
        <v>950000</v>
      </c>
    </row>
    <row r="41">
      <c r="A41" s="7" t="inlineStr">
        <is>
          <t>Precio promedio (Lps/litro)</t>
        </is>
      </c>
      <c r="B41" s="13" t="n">
        <v>0</v>
      </c>
      <c r="C41" s="13" t="n">
        <v>28</v>
      </c>
      <c r="D41" s="13" t="n">
        <v>29</v>
      </c>
      <c r="E41" s="13" t="n">
        <v>30</v>
      </c>
      <c r="F41" s="13" t="n">
        <v>31</v>
      </c>
      <c r="G41" s="13" t="n">
        <v>32</v>
      </c>
      <c r="H41" s="13" t="n">
        <v>33</v>
      </c>
      <c r="I41" s="13" t="n">
        <v>34</v>
      </c>
      <c r="J41" s="13" t="n">
        <v>35</v>
      </c>
      <c r="K41" s="13" t="n">
        <v>36</v>
      </c>
      <c r="L41" s="13" t="n">
        <v>37</v>
      </c>
    </row>
    <row r="42">
      <c r="A42" s="16" t="inlineStr">
        <is>
          <t>INGRESOS POR VENTAS (= volumen × precio)</t>
        </is>
      </c>
      <c r="B42" s="17">
        <f>B40*B41</f>
        <v/>
      </c>
      <c r="C42" s="17">
        <f>C40*C41</f>
        <v/>
      </c>
      <c r="D42" s="17">
        <f>D40*D41</f>
        <v/>
      </c>
      <c r="E42" s="17">
        <f>E40*E41</f>
        <v/>
      </c>
      <c r="F42" s="17">
        <f>F40*F41</f>
        <v/>
      </c>
      <c r="G42" s="17">
        <f>G40*G41</f>
        <v/>
      </c>
      <c r="H42" s="17">
        <f>H40*H41</f>
        <v/>
      </c>
      <c r="I42" s="17">
        <f>I40*I41</f>
        <v/>
      </c>
      <c r="J42" s="17">
        <f>J40*J41</f>
        <v/>
      </c>
      <c r="K42" s="17">
        <f>K40*K41</f>
        <v/>
      </c>
      <c r="L42" s="17">
        <f>L40*L41</f>
        <v/>
      </c>
    </row>
    <row r="44">
      <c r="A44" s="3" t="inlineStr">
        <is>
          <t>4. COSTOS Y GASTOS OPERATIVOS (Cuadro 6 — crecen con inflación 4.5%)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5" t="inlineStr">
        <is>
          <t>Concepto</t>
        </is>
      </c>
      <c r="B45" s="1" t="inlineStr">
        <is>
          <t>Costo base</t>
        </is>
      </c>
      <c r="C45" s="21" t="n">
        <v>1</v>
      </c>
      <c r="D45" s="21" t="n">
        <v>2</v>
      </c>
      <c r="E45" s="21" t="n">
        <v>3</v>
      </c>
      <c r="F45" s="21" t="n">
        <v>4</v>
      </c>
      <c r="G45" s="21" t="n">
        <v>5</v>
      </c>
      <c r="H45" s="21" t="n">
        <v>6</v>
      </c>
      <c r="I45" s="21" t="n">
        <v>7</v>
      </c>
      <c r="J45" s="21" t="n">
        <v>8</v>
      </c>
      <c r="K45" s="21" t="n">
        <v>9</v>
      </c>
      <c r="L45" s="21" t="n">
        <v>10</v>
      </c>
    </row>
    <row r="46">
      <c r="A46" s="7" t="inlineStr">
        <is>
          <t>Gastos administrativos</t>
        </is>
      </c>
      <c r="B46" s="13" t="n">
        <v>22600</v>
      </c>
      <c r="C46" s="13">
        <f>$B46*(1+$B$9)^1</f>
        <v/>
      </c>
      <c r="D46" s="13">
        <f>$B46*(1+$B$9)^2</f>
        <v/>
      </c>
      <c r="E46" s="13">
        <f>$B46*(1+$B$9)^3</f>
        <v/>
      </c>
      <c r="F46" s="13">
        <f>$B46*(1+$B$9)^4</f>
        <v/>
      </c>
      <c r="G46" s="13">
        <f>$B46*(1+$B$9)^5</f>
        <v/>
      </c>
      <c r="H46" s="13">
        <f>$B46*(1+$B$9)^6</f>
        <v/>
      </c>
      <c r="I46" s="13">
        <f>$B46*(1+$B$9)^7</f>
        <v/>
      </c>
      <c r="J46" s="13">
        <f>$B46*(1+$B$9)^8</f>
        <v/>
      </c>
      <c r="K46" s="13">
        <f>$B46*(1+$B$9)^9</f>
        <v/>
      </c>
      <c r="L46" s="13">
        <f>$B46*(1+$B$9)^10</f>
        <v/>
      </c>
    </row>
    <row r="47">
      <c r="A47" s="7" t="inlineStr">
        <is>
          <t>Costos variables</t>
        </is>
      </c>
      <c r="B47" s="13" t="n">
        <v>19500</v>
      </c>
      <c r="C47" s="13">
        <f>$B47*(1+$B$9)^1</f>
        <v/>
      </c>
      <c r="D47" s="13">
        <f>$B47*(1+$B$9)^2</f>
        <v/>
      </c>
      <c r="E47" s="13">
        <f>$B47*(1+$B$9)^3</f>
        <v/>
      </c>
      <c r="F47" s="13">
        <f>$B47*(1+$B$9)^4</f>
        <v/>
      </c>
      <c r="G47" s="13">
        <f>$B47*(1+$B$9)^5</f>
        <v/>
      </c>
      <c r="H47" s="13">
        <f>$B47*(1+$B$9)^6</f>
        <v/>
      </c>
      <c r="I47" s="13">
        <f>$B47*(1+$B$9)^7</f>
        <v/>
      </c>
      <c r="J47" s="13">
        <f>$B47*(1+$B$9)^8</f>
        <v/>
      </c>
      <c r="K47" s="13">
        <f>$B47*(1+$B$9)^9</f>
        <v/>
      </c>
      <c r="L47" s="13">
        <f>$B47*(1+$B$9)^10</f>
        <v/>
      </c>
    </row>
    <row r="48">
      <c r="A48" s="7" t="inlineStr">
        <is>
          <t>Costos fijos operativos</t>
        </is>
      </c>
      <c r="B48" s="13" t="n">
        <v>543100</v>
      </c>
      <c r="C48" s="13">
        <f>$B48*(1+$B$9)^1</f>
        <v/>
      </c>
      <c r="D48" s="13">
        <f>$B48*(1+$B$9)^2</f>
        <v/>
      </c>
      <c r="E48" s="13">
        <f>$B48*(1+$B$9)^3</f>
        <v/>
      </c>
      <c r="F48" s="13">
        <f>$B48*(1+$B$9)^4</f>
        <v/>
      </c>
      <c r="G48" s="13">
        <f>$B48*(1+$B$9)^5</f>
        <v/>
      </c>
      <c r="H48" s="13">
        <f>$B48*(1+$B$9)^6</f>
        <v/>
      </c>
      <c r="I48" s="13">
        <f>$B48*(1+$B$9)^7</f>
        <v/>
      </c>
      <c r="J48" s="13">
        <f>$B48*(1+$B$9)^8</f>
        <v/>
      </c>
      <c r="K48" s="13">
        <f>$B48*(1+$B$9)^9</f>
        <v/>
      </c>
      <c r="L48" s="13">
        <f>$B48*(1+$B$9)^10</f>
        <v/>
      </c>
    </row>
    <row r="49">
      <c r="A49" s="7" t="inlineStr">
        <is>
          <t>Costo de personal</t>
        </is>
      </c>
      <c r="B49" s="13" t="n">
        <v>92600</v>
      </c>
      <c r="C49" s="13">
        <f>$B49*(1+$B$9)^1</f>
        <v/>
      </c>
      <c r="D49" s="13">
        <f>$B49*(1+$B$9)^2</f>
        <v/>
      </c>
      <c r="E49" s="13">
        <f>$B49*(1+$B$9)^3</f>
        <v/>
      </c>
      <c r="F49" s="13">
        <f>$B49*(1+$B$9)^4</f>
        <v/>
      </c>
      <c r="G49" s="13">
        <f>$B49*(1+$B$9)^5</f>
        <v/>
      </c>
      <c r="H49" s="13">
        <f>$B49*(1+$B$9)^6</f>
        <v/>
      </c>
      <c r="I49" s="13">
        <f>$B49*(1+$B$9)^7</f>
        <v/>
      </c>
      <c r="J49" s="13">
        <f>$B49*(1+$B$9)^8</f>
        <v/>
      </c>
      <c r="K49" s="13">
        <f>$B49*(1+$B$9)^9</f>
        <v/>
      </c>
      <c r="L49" s="13">
        <f>$B49*(1+$B$9)^10</f>
        <v/>
      </c>
    </row>
    <row r="50">
      <c r="A50" s="16" t="inlineStr">
        <is>
          <t>TOTAL COSTOS Y GASTOS</t>
        </is>
      </c>
      <c r="B50" s="17">
        <f>SUM(B46:B49)</f>
        <v/>
      </c>
      <c r="C50" s="17">
        <f>SUM(C46:C49)</f>
        <v/>
      </c>
      <c r="D50" s="17">
        <f>SUM(D46:D49)</f>
        <v/>
      </c>
      <c r="E50" s="17">
        <f>SUM(E46:E49)</f>
        <v/>
      </c>
      <c r="F50" s="17">
        <f>SUM(F46:F49)</f>
        <v/>
      </c>
      <c r="G50" s="17">
        <f>SUM(G46:G49)</f>
        <v/>
      </c>
      <c r="H50" s="17">
        <f>SUM(H46:H49)</f>
        <v/>
      </c>
      <c r="I50" s="17">
        <f>SUM(I46:I49)</f>
        <v/>
      </c>
      <c r="J50" s="17">
        <f>SUM(J46:J49)</f>
        <v/>
      </c>
      <c r="K50" s="17">
        <f>SUM(K46:K49)</f>
        <v/>
      </c>
      <c r="L50" s="17">
        <f>SUM(L46:L49)</f>
        <v/>
      </c>
    </row>
    <row r="52">
      <c r="A52" s="3" t="inlineStr">
        <is>
          <t>5. DEPRECIACIÓN DE ACTIVOS FIJOS (Cuadro 3 — método lineal)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5" t="inlineStr">
        <is>
          <t>Activo</t>
        </is>
      </c>
      <c r="B53" s="1" t="inlineStr">
        <is>
          <t>Valor</t>
        </is>
      </c>
      <c r="C53" s="21" t="n">
        <v>1</v>
      </c>
      <c r="D53" s="21" t="n">
        <v>2</v>
      </c>
      <c r="E53" s="21" t="n">
        <v>3</v>
      </c>
      <c r="F53" s="21" t="n">
        <v>4</v>
      </c>
      <c r="G53" s="21" t="n">
        <v>5</v>
      </c>
      <c r="H53" s="21" t="n">
        <v>6</v>
      </c>
      <c r="I53" s="21" t="n">
        <v>7</v>
      </c>
      <c r="J53" s="21" t="n">
        <v>8</v>
      </c>
      <c r="K53" s="21" t="n">
        <v>9</v>
      </c>
      <c r="L53" s="21" t="n">
        <v>10</v>
      </c>
    </row>
    <row r="54">
      <c r="A54" s="7" t="inlineStr">
        <is>
          <t>Tanques de almacenamiento</t>
        </is>
      </c>
      <c r="B54" s="13">
        <f>B19</f>
        <v/>
      </c>
      <c r="C54" s="13">
        <f>$B54*0.1</f>
        <v/>
      </c>
      <c r="D54" s="13">
        <f>$B54*0.1</f>
        <v/>
      </c>
      <c r="E54" s="13">
        <f>$B54*0.1</f>
        <v/>
      </c>
      <c r="F54" s="13">
        <f>$B54*0.1</f>
        <v/>
      </c>
      <c r="G54" s="13">
        <f>$B54*0.1</f>
        <v/>
      </c>
      <c r="H54" s="13">
        <f>$B54*0.1</f>
        <v/>
      </c>
      <c r="I54" s="13">
        <f>$B54*0.1</f>
        <v/>
      </c>
      <c r="J54" s="13">
        <f>$B54*0.1</f>
        <v/>
      </c>
      <c r="K54" s="13">
        <f>$B54*0.1</f>
        <v/>
      </c>
      <c r="L54" s="13">
        <f>$B54*0.1</f>
        <v/>
      </c>
    </row>
    <row r="55">
      <c r="A55" s="7" t="inlineStr">
        <is>
          <t>Pasteurizador HTST</t>
        </is>
      </c>
      <c r="B55" s="13">
        <f>B20</f>
        <v/>
      </c>
      <c r="C55" s="13">
        <f>$B55*0.1</f>
        <v/>
      </c>
      <c r="D55" s="13">
        <f>$B55*0.1</f>
        <v/>
      </c>
      <c r="E55" s="13">
        <f>$B55*0.1</f>
        <v/>
      </c>
      <c r="F55" s="13">
        <f>$B55*0.1</f>
        <v/>
      </c>
      <c r="G55" s="13">
        <f>$B55*0.1</f>
        <v/>
      </c>
      <c r="H55" s="13">
        <f>$B55*0.1</f>
        <v/>
      </c>
      <c r="I55" s="13">
        <f>$B55*0.1</f>
        <v/>
      </c>
      <c r="J55" s="13">
        <f>$B55*0.1</f>
        <v/>
      </c>
      <c r="K55" s="13">
        <f>$B55*0.1</f>
        <v/>
      </c>
      <c r="L55" s="13">
        <f>$B55*0.1</f>
        <v/>
      </c>
    </row>
    <row r="56">
      <c r="A56" s="7" t="inlineStr">
        <is>
          <t>Envasadora automática</t>
        </is>
      </c>
      <c r="B56" s="13">
        <f>B21</f>
        <v/>
      </c>
      <c r="C56" s="13">
        <f>$B56*0.1</f>
        <v/>
      </c>
      <c r="D56" s="13">
        <f>$B56*0.1</f>
        <v/>
      </c>
      <c r="E56" s="13">
        <f>$B56*0.1</f>
        <v/>
      </c>
      <c r="F56" s="13">
        <f>$B56*0.1</f>
        <v/>
      </c>
      <c r="G56" s="13">
        <f>$B56*0.1</f>
        <v/>
      </c>
      <c r="H56" s="13">
        <f>$B56*0.1</f>
        <v/>
      </c>
      <c r="I56" s="13">
        <f>$B56*0.1</f>
        <v/>
      </c>
      <c r="J56" s="13">
        <f>$B56*0.1</f>
        <v/>
      </c>
      <c r="K56" s="13">
        <f>$B56*0.1</f>
        <v/>
      </c>
      <c r="L56" s="13">
        <f>$B56*0.1</f>
        <v/>
      </c>
    </row>
    <row r="57">
      <c r="A57" s="7" t="inlineStr">
        <is>
          <t>Sistema de enfriamiento</t>
        </is>
      </c>
      <c r="B57" s="13">
        <f>B22</f>
        <v/>
      </c>
      <c r="C57" s="13">
        <f>$B57*0.1</f>
        <v/>
      </c>
      <c r="D57" s="13">
        <f>$B57*0.1</f>
        <v/>
      </c>
      <c r="E57" s="13">
        <f>$B57*0.1</f>
        <v/>
      </c>
      <c r="F57" s="13">
        <f>$B57*0.1</f>
        <v/>
      </c>
      <c r="G57" s="13">
        <f>$B57*0.1</f>
        <v/>
      </c>
      <c r="H57" s="13">
        <f>$B57*0.1</f>
        <v/>
      </c>
      <c r="I57" s="13">
        <f>$B57*0.1</f>
        <v/>
      </c>
      <c r="J57" s="13">
        <f>$B57*0.1</f>
        <v/>
      </c>
      <c r="K57" s="13">
        <f>$B57*0.1</f>
        <v/>
      </c>
      <c r="L57" s="13">
        <f>$B57*0.1</f>
        <v/>
      </c>
    </row>
    <row r="58">
      <c r="A58" s="7" t="inlineStr">
        <is>
          <t>Camión de distribución</t>
        </is>
      </c>
      <c r="B58" s="13">
        <f>B23</f>
        <v/>
      </c>
      <c r="C58" s="13">
        <f>$B58*0.3333</f>
        <v/>
      </c>
      <c r="D58" s="13">
        <f>$B58*0.3333</f>
        <v/>
      </c>
      <c r="E58" s="13">
        <f>$B58*0.3333</f>
        <v/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</row>
    <row r="59">
      <c r="A59" s="16" t="inlineStr">
        <is>
          <t>TOTAL DEPRECIACIÓN ANUAL</t>
        </is>
      </c>
      <c r="B59" s="17">
        <f>SUM(B54:B58)</f>
        <v/>
      </c>
      <c r="C59" s="17">
        <f>SUM(C54:C58)</f>
        <v/>
      </c>
      <c r="D59" s="17">
        <f>SUM(D54:D58)</f>
        <v/>
      </c>
      <c r="E59" s="17">
        <f>SUM(E54:E58)</f>
        <v/>
      </c>
      <c r="F59" s="17">
        <f>SUM(F54:F58)</f>
        <v/>
      </c>
      <c r="G59" s="17">
        <f>SUM(G54:G58)</f>
        <v/>
      </c>
      <c r="H59" s="17">
        <f>SUM(H54:H58)</f>
        <v/>
      </c>
      <c r="I59" s="17">
        <f>SUM(I54:I58)</f>
        <v/>
      </c>
      <c r="J59" s="17">
        <f>SUM(J54:J58)</f>
        <v/>
      </c>
      <c r="K59" s="17">
        <f>SUM(K54:K58)</f>
        <v/>
      </c>
      <c r="L59" s="17">
        <f>SUM(L54:L58)</f>
        <v/>
      </c>
    </row>
    <row r="61">
      <c r="A61" s="3" t="inlineStr">
        <is>
          <t>6. AMORTIZACIÓN DE DIFERIDOS (Cuadro 4 — 5 años)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>
      <c r="A62" s="5" t="inlineStr">
        <is>
          <t>Concepto</t>
        </is>
      </c>
      <c r="B62" s="1" t="inlineStr">
        <is>
          <t>Valor</t>
        </is>
      </c>
      <c r="C62" s="21" t="n">
        <v>1</v>
      </c>
      <c r="D62" s="21" t="n">
        <v>2</v>
      </c>
      <c r="E62" s="21" t="n">
        <v>3</v>
      </c>
      <c r="F62" s="21" t="n">
        <v>4</v>
      </c>
      <c r="G62" s="21" t="n">
        <v>5</v>
      </c>
      <c r="H62" s="21" t="n">
        <v>6</v>
      </c>
      <c r="I62" s="21" t="n">
        <v>7</v>
      </c>
      <c r="J62" s="21" t="n">
        <v>8</v>
      </c>
      <c r="K62" s="21" t="n">
        <v>9</v>
      </c>
      <c r="L62" s="21" t="n">
        <v>10</v>
      </c>
    </row>
    <row r="63">
      <c r="A63" s="7" t="inlineStr">
        <is>
          <t>Gastos preoperativos (Cuadro 4)</t>
        </is>
      </c>
      <c r="B63" s="13">
        <f>SUM(B25:B28)</f>
        <v/>
      </c>
      <c r="C63" s="13">
        <f>$B63/5</f>
        <v/>
      </c>
      <c r="D63" s="13">
        <f>$B63/5</f>
        <v/>
      </c>
      <c r="E63" s="13">
        <f>$B63/5</f>
        <v/>
      </c>
      <c r="F63" s="13">
        <f>$B63/5</f>
        <v/>
      </c>
      <c r="G63" s="13">
        <f>$B63/5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</row>
    <row r="64">
      <c r="A64" s="7" t="inlineStr">
        <is>
          <t>Permisos y legales</t>
        </is>
      </c>
      <c r="B64" s="13">
        <f>B29</f>
        <v/>
      </c>
      <c r="C64" s="13">
        <f>$B64/5</f>
        <v/>
      </c>
      <c r="D64" s="13">
        <f>$B64/5</f>
        <v/>
      </c>
      <c r="E64" s="13">
        <f>$B64/5</f>
        <v/>
      </c>
      <c r="F64" s="13">
        <f>$B64/5</f>
        <v/>
      </c>
      <c r="G64" s="13">
        <f>$B64/5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</row>
    <row r="65">
      <c r="A65" s="16" t="inlineStr">
        <is>
          <t>TOTAL AMORTIZACIÓN ANUAL</t>
        </is>
      </c>
      <c r="B65" s="17">
        <f>SUM(B63:B64)</f>
        <v/>
      </c>
      <c r="C65" s="17">
        <f>SUM(C63:C64)</f>
        <v/>
      </c>
      <c r="D65" s="17">
        <f>SUM(D63:D64)</f>
        <v/>
      </c>
      <c r="E65" s="17">
        <f>SUM(E63:E64)</f>
        <v/>
      </c>
      <c r="F65" s="17">
        <f>SUM(F63:F64)</f>
        <v/>
      </c>
      <c r="G65" s="17">
        <f>SUM(G63:G64)</f>
        <v/>
      </c>
      <c r="H65" s="17">
        <f>SUM(H63:H64)</f>
        <v/>
      </c>
      <c r="I65" s="17">
        <f>SUM(I63:I64)</f>
        <v/>
      </c>
      <c r="J65" s="17">
        <f>SUM(J63:J64)</f>
        <v/>
      </c>
      <c r="K65" s="17">
        <f>SUM(K63:K64)</f>
        <v/>
      </c>
      <c r="L65" s="17">
        <f>SUM(L63:L64)</f>
        <v/>
      </c>
    </row>
    <row r="67">
      <c r="A67" s="3" t="inlineStr">
        <is>
          <t>7. CAPITAL DE TRABAJO (Lps)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>
      <c r="A68" s="5" t="inlineStr">
        <is>
          <t>Concepto</t>
        </is>
      </c>
      <c r="B68" s="21" t="n">
        <v>0</v>
      </c>
      <c r="C68" s="21" t="n">
        <v>1</v>
      </c>
      <c r="D68" s="21" t="n">
        <v>2</v>
      </c>
      <c r="E68" s="21" t="n">
        <v>3</v>
      </c>
      <c r="F68" s="21" t="n">
        <v>4</v>
      </c>
      <c r="G68" s="21" t="n">
        <v>5</v>
      </c>
      <c r="H68" s="21" t="n">
        <v>6</v>
      </c>
      <c r="I68" s="21" t="n">
        <v>7</v>
      </c>
      <c r="J68" s="21" t="n">
        <v>8</v>
      </c>
      <c r="K68" s="21" t="n">
        <v>9</v>
      </c>
      <c r="L68" s="21" t="n">
        <v>10</v>
      </c>
    </row>
    <row r="69">
      <c r="A69" s="7" t="inlineStr">
        <is>
          <t>Inversión en capital de trabajo</t>
        </is>
      </c>
      <c r="B69" s="13">
        <f>B31</f>
        <v/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</row>
    <row r="70">
      <c r="A70" s="7" t="inlineStr">
        <is>
          <t>Recuperación de capital de trabajo (Año 10)</t>
        </is>
      </c>
      <c r="B70" s="13" t="n">
        <v>0</v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>
        <f>B69</f>
        <v/>
      </c>
    </row>
    <row r="72">
      <c r="A72" s="3" t="inlineStr">
        <is>
          <t>8. VALOR DE DESECHO / SALVAMENTO (Año 10)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>
      <c r="A73" s="7" t="inlineStr">
        <is>
          <t>Valor en libros de los activos (Año 10)</t>
        </is>
      </c>
      <c r="B73" s="13">
        <f>B24-SUM(C59:L59)</f>
        <v/>
      </c>
      <c r="C73" s="7" t="inlineStr">
        <is>
          <t>Maquinaria totalmente depreciada al Año 10 → valor en libros = 0</t>
        </is>
      </c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19" t="inlineStr">
        <is>
          <t>Valor de salvamento comercial (supuesto)</t>
        </is>
      </c>
      <c r="B74" s="20">
        <f>$B$15</f>
        <v/>
      </c>
      <c r="C74" s="7" t="inlineStr">
        <is>
          <t>Conservador (0); ajustable en Supuestos B15</t>
        </is>
      </c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6">
      <c r="A76" s="3" t="inlineStr">
        <is>
          <t>9. TABLA DE AMORTIZACIÓN DEL PRÉSTAMO (cuota anual fija — sistema francés)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>
      <c r="A77" s="5" t="inlineStr">
        <is>
          <t>Concepto</t>
        </is>
      </c>
      <c r="B77" s="21" t="n">
        <v>0</v>
      </c>
      <c r="C77" s="21" t="n">
        <v>1</v>
      </c>
      <c r="D77" s="21" t="n">
        <v>2</v>
      </c>
      <c r="E77" s="21" t="n">
        <v>3</v>
      </c>
      <c r="F77" s="21" t="n">
        <v>4</v>
      </c>
      <c r="G77" s="21" t="n">
        <v>5</v>
      </c>
      <c r="H77" s="21" t="n">
        <v>6</v>
      </c>
      <c r="I77" s="21" t="n">
        <v>7</v>
      </c>
      <c r="J77" s="21" t="n">
        <v>8</v>
      </c>
      <c r="K77" s="21" t="n">
        <v>9</v>
      </c>
      <c r="L77" s="21" t="n">
        <v>10</v>
      </c>
    </row>
    <row r="78">
      <c r="A78" s="7" t="inlineStr">
        <is>
          <t>Saldo inicial del período</t>
        </is>
      </c>
      <c r="B78" s="13" t="n">
        <v>0</v>
      </c>
      <c r="C78" s="13">
        <f>$B$34</f>
        <v/>
      </c>
      <c r="D78" s="13">
        <f>C82</f>
        <v/>
      </c>
      <c r="E78" s="13">
        <f>D82</f>
        <v/>
      </c>
      <c r="F78" s="13">
        <f>E82</f>
        <v/>
      </c>
      <c r="G78" s="13">
        <f>F82</f>
        <v/>
      </c>
      <c r="H78" s="13">
        <f>G82</f>
        <v/>
      </c>
      <c r="I78" s="13">
        <f>H82</f>
        <v/>
      </c>
      <c r="J78" s="13">
        <f>I82</f>
        <v/>
      </c>
      <c r="K78" s="13">
        <f>J82</f>
        <v/>
      </c>
      <c r="L78" s="13">
        <f>K82</f>
        <v/>
      </c>
    </row>
    <row r="79">
      <c r="A79" s="7" t="inlineStr">
        <is>
          <t>Cuota anual (PMT)</t>
        </is>
      </c>
      <c r="B79" s="13" t="n">
        <v>0</v>
      </c>
      <c r="C79" s="13">
        <f>IF(C77&lt;=$B$14,$B$34*$B$12/(1-(1+$B$12)^-$B$14),0)</f>
        <v/>
      </c>
      <c r="D79" s="13">
        <f>IF(D77&lt;=$B$14,$B$34*$B$12/(1-(1+$B$12)^-$B$14),0)</f>
        <v/>
      </c>
      <c r="E79" s="13">
        <f>IF(E77&lt;=$B$14,$B$34*$B$12/(1-(1+$B$12)^-$B$14),0)</f>
        <v/>
      </c>
      <c r="F79" s="13">
        <f>IF(F77&lt;=$B$14,$B$34*$B$12/(1-(1+$B$12)^-$B$14),0)</f>
        <v/>
      </c>
      <c r="G79" s="13">
        <f>IF(G77&lt;=$B$14,$B$34*$B$12/(1-(1+$B$12)^-$B$14),0)</f>
        <v/>
      </c>
      <c r="H79" s="13">
        <f>IF(H77&lt;=$B$14,$B$34*$B$12/(1-(1+$B$12)^-$B$14),0)</f>
        <v/>
      </c>
      <c r="I79" s="13">
        <f>IF(I77&lt;=$B$14,$B$34*$B$12/(1-(1+$B$12)^-$B$14),0)</f>
        <v/>
      </c>
      <c r="J79" s="13">
        <f>IF(J77&lt;=$B$14,$B$34*$B$12/(1-(1+$B$12)^-$B$14),0)</f>
        <v/>
      </c>
      <c r="K79" s="13">
        <f>IF(K77&lt;=$B$14,$B$34*$B$12/(1-(1+$B$12)^-$B$14),0)</f>
        <v/>
      </c>
      <c r="L79" s="13">
        <f>IF(L77&lt;=$B$14,$B$34*$B$12/(1-(1+$B$12)^-$B$14),0)</f>
        <v/>
      </c>
    </row>
    <row r="80">
      <c r="A80" s="7" t="inlineStr">
        <is>
          <t>Interés (Kd × saldo)</t>
        </is>
      </c>
      <c r="B80" s="13" t="n">
        <v>0</v>
      </c>
      <c r="C80" s="13">
        <f>IF(C77&lt;=$B$14,C78*$B$12,0)</f>
        <v/>
      </c>
      <c r="D80" s="13">
        <f>IF(D77&lt;=$B$14,D78*$B$12,0)</f>
        <v/>
      </c>
      <c r="E80" s="13">
        <f>IF(E77&lt;=$B$14,E78*$B$12,0)</f>
        <v/>
      </c>
      <c r="F80" s="13">
        <f>IF(F77&lt;=$B$14,F78*$B$12,0)</f>
        <v/>
      </c>
      <c r="G80" s="13">
        <f>IF(G77&lt;=$B$14,G78*$B$12,0)</f>
        <v/>
      </c>
      <c r="H80" s="13">
        <f>IF(H77&lt;=$B$14,H78*$B$12,0)</f>
        <v/>
      </c>
      <c r="I80" s="13">
        <f>IF(I77&lt;=$B$14,I78*$B$12,0)</f>
        <v/>
      </c>
      <c r="J80" s="13">
        <f>IF(J77&lt;=$B$14,J78*$B$12,0)</f>
        <v/>
      </c>
      <c r="K80" s="13">
        <f>IF(K77&lt;=$B$14,K78*$B$12,0)</f>
        <v/>
      </c>
      <c r="L80" s="13">
        <f>IF(L77&lt;=$B$14,L78*$B$12,0)</f>
        <v/>
      </c>
    </row>
    <row r="81">
      <c r="A81" s="7" t="inlineStr">
        <is>
          <t>Abono a capital (amortización)</t>
        </is>
      </c>
      <c r="B81" s="13" t="n">
        <v>0</v>
      </c>
      <c r="C81" s="13">
        <f>C79-C80</f>
        <v/>
      </c>
      <c r="D81" s="13">
        <f>D79-D80</f>
        <v/>
      </c>
      <c r="E81" s="13">
        <f>E79-E80</f>
        <v/>
      </c>
      <c r="F81" s="13">
        <f>F79-F80</f>
        <v/>
      </c>
      <c r="G81" s="13">
        <f>G79-G80</f>
        <v/>
      </c>
      <c r="H81" s="13">
        <f>H79-H80</f>
        <v/>
      </c>
      <c r="I81" s="13">
        <f>I79-I80</f>
        <v/>
      </c>
      <c r="J81" s="13">
        <f>J79-J80</f>
        <v/>
      </c>
      <c r="K81" s="13">
        <f>K79-K80</f>
        <v/>
      </c>
      <c r="L81" s="13">
        <f>L79-L80</f>
        <v/>
      </c>
    </row>
    <row r="82">
      <c r="A82" s="7" t="inlineStr">
        <is>
          <t>Saldo final del período</t>
        </is>
      </c>
      <c r="B82" s="13" t="n">
        <v>0</v>
      </c>
      <c r="C82" s="13">
        <f>C78-C81</f>
        <v/>
      </c>
      <c r="D82" s="13">
        <f>D78-D81</f>
        <v/>
      </c>
      <c r="E82" s="13">
        <f>E78-E81</f>
        <v/>
      </c>
      <c r="F82" s="13">
        <f>F78-F81</f>
        <v/>
      </c>
      <c r="G82" s="13">
        <f>G78-G81</f>
        <v/>
      </c>
      <c r="H82" s="13">
        <f>H78-H81</f>
        <v/>
      </c>
      <c r="I82" s="13">
        <f>I78-I81</f>
        <v/>
      </c>
      <c r="J82" s="13">
        <f>J78-J81</f>
        <v/>
      </c>
      <c r="K82" s="13">
        <f>K78-K81</f>
        <v/>
      </c>
      <c r="L82" s="13">
        <f>L78-L81</f>
        <v/>
      </c>
    </row>
    <row r="84">
      <c r="A84" s="3" t="inlineStr">
        <is>
          <t>10. FLUJO DE CAJA DEL PROYECTO (SIN FINANCIAMIENTO)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>
      <c r="A85" s="5" t="inlineStr">
        <is>
          <t>Concepto</t>
        </is>
      </c>
      <c r="B85" s="21" t="n">
        <v>0</v>
      </c>
      <c r="C85" s="21" t="n">
        <v>1</v>
      </c>
      <c r="D85" s="21" t="n">
        <v>2</v>
      </c>
      <c r="E85" s="21" t="n">
        <v>3</v>
      </c>
      <c r="F85" s="21" t="n">
        <v>4</v>
      </c>
      <c r="G85" s="21" t="n">
        <v>5</v>
      </c>
      <c r="H85" s="21" t="n">
        <v>6</v>
      </c>
      <c r="I85" s="21" t="n">
        <v>7</v>
      </c>
      <c r="J85" s="21" t="n">
        <v>8</v>
      </c>
      <c r="K85" s="21" t="n">
        <v>9</v>
      </c>
      <c r="L85" s="21" t="n">
        <v>10</v>
      </c>
    </row>
    <row r="86">
      <c r="A86" s="7" t="inlineStr">
        <is>
          <t>(+) Ingresos por ventas</t>
        </is>
      </c>
      <c r="B86" s="13">
        <f>B42</f>
        <v/>
      </c>
      <c r="C86" s="13">
        <f>C42</f>
        <v/>
      </c>
      <c r="D86" s="13">
        <f>D42</f>
        <v/>
      </c>
      <c r="E86" s="13">
        <f>E42</f>
        <v/>
      </c>
      <c r="F86" s="13">
        <f>F42</f>
        <v/>
      </c>
      <c r="G86" s="13">
        <f>G42</f>
        <v/>
      </c>
      <c r="H86" s="13">
        <f>H42</f>
        <v/>
      </c>
      <c r="I86" s="13">
        <f>I42</f>
        <v/>
      </c>
      <c r="J86" s="13">
        <f>J42</f>
        <v/>
      </c>
      <c r="K86" s="13">
        <f>K42</f>
        <v/>
      </c>
      <c r="L86" s="13">
        <f>L42</f>
        <v/>
      </c>
    </row>
    <row r="87">
      <c r="A87" s="7" t="inlineStr">
        <is>
          <t>(−) Costos y gastos operativos</t>
        </is>
      </c>
      <c r="B87" s="13" t="n">
        <v>0</v>
      </c>
      <c r="C87" s="13">
        <f>C50</f>
        <v/>
      </c>
      <c r="D87" s="13">
        <f>D50</f>
        <v/>
      </c>
      <c r="E87" s="13">
        <f>E50</f>
        <v/>
      </c>
      <c r="F87" s="13">
        <f>F50</f>
        <v/>
      </c>
      <c r="G87" s="13">
        <f>G50</f>
        <v/>
      </c>
      <c r="H87" s="13">
        <f>H50</f>
        <v/>
      </c>
      <c r="I87" s="13">
        <f>I50</f>
        <v/>
      </c>
      <c r="J87" s="13">
        <f>J50</f>
        <v/>
      </c>
      <c r="K87" s="13">
        <f>K50</f>
        <v/>
      </c>
      <c r="L87" s="13">
        <f>L50</f>
        <v/>
      </c>
    </row>
    <row r="88">
      <c r="A88" s="16" t="inlineStr">
        <is>
          <t>(=) UTILIDAD BRUTA</t>
        </is>
      </c>
      <c r="B88" s="17">
        <f>B86-B87</f>
        <v/>
      </c>
      <c r="C88" s="17">
        <f>C86-C87</f>
        <v/>
      </c>
      <c r="D88" s="17">
        <f>D86-D87</f>
        <v/>
      </c>
      <c r="E88" s="17">
        <f>E86-E87</f>
        <v/>
      </c>
      <c r="F88" s="17">
        <f>F86-F87</f>
        <v/>
      </c>
      <c r="G88" s="17">
        <f>G86-G87</f>
        <v/>
      </c>
      <c r="H88" s="17">
        <f>H86-H87</f>
        <v/>
      </c>
      <c r="I88" s="17">
        <f>I86-I87</f>
        <v/>
      </c>
      <c r="J88" s="17">
        <f>J86-J87</f>
        <v/>
      </c>
      <c r="K88" s="17">
        <f>K86-K87</f>
        <v/>
      </c>
      <c r="L88" s="17">
        <f>L86-L87</f>
        <v/>
      </c>
    </row>
    <row r="89">
      <c r="A89" s="7" t="inlineStr">
        <is>
          <t>(−) Depreciación</t>
        </is>
      </c>
      <c r="B89" s="13" t="n">
        <v>0</v>
      </c>
      <c r="C89" s="13">
        <f>C59</f>
        <v/>
      </c>
      <c r="D89" s="13">
        <f>D59</f>
        <v/>
      </c>
      <c r="E89" s="13">
        <f>E59</f>
        <v/>
      </c>
      <c r="F89" s="13">
        <f>F59</f>
        <v/>
      </c>
      <c r="G89" s="13">
        <f>G59</f>
        <v/>
      </c>
      <c r="H89" s="13">
        <f>H59</f>
        <v/>
      </c>
      <c r="I89" s="13">
        <f>I59</f>
        <v/>
      </c>
      <c r="J89" s="13">
        <f>J59</f>
        <v/>
      </c>
      <c r="K89" s="13">
        <f>K59</f>
        <v/>
      </c>
      <c r="L89" s="13">
        <f>L59</f>
        <v/>
      </c>
    </row>
    <row r="90">
      <c r="A90" s="7" t="inlineStr">
        <is>
          <t>(−) Amortización de diferidos</t>
        </is>
      </c>
      <c r="B90" s="13" t="n">
        <v>0</v>
      </c>
      <c r="C90" s="13">
        <f>C65</f>
        <v/>
      </c>
      <c r="D90" s="13">
        <f>D65</f>
        <v/>
      </c>
      <c r="E90" s="13">
        <f>E65</f>
        <v/>
      </c>
      <c r="F90" s="13">
        <f>F65</f>
        <v/>
      </c>
      <c r="G90" s="13">
        <f>G65</f>
        <v/>
      </c>
      <c r="H90" s="13">
        <f>H65</f>
        <v/>
      </c>
      <c r="I90" s="13">
        <f>I65</f>
        <v/>
      </c>
      <c r="J90" s="13">
        <f>J65</f>
        <v/>
      </c>
      <c r="K90" s="13">
        <f>K65</f>
        <v/>
      </c>
      <c r="L90" s="13">
        <f>L65</f>
        <v/>
      </c>
    </row>
    <row r="91">
      <c r="A91" s="16" t="inlineStr">
        <is>
          <t>(=) UTILIDAD ANTES DE IMPUESTOS (UAI)</t>
        </is>
      </c>
      <c r="B91" s="17">
        <f>B88-B89-B90</f>
        <v/>
      </c>
      <c r="C91" s="17">
        <f>C88-C89-C90</f>
        <v/>
      </c>
      <c r="D91" s="17">
        <f>D88-D89-D90</f>
        <v/>
      </c>
      <c r="E91" s="17">
        <f>E88-E89-E90</f>
        <v/>
      </c>
      <c r="F91" s="17">
        <f>F88-F89-F90</f>
        <v/>
      </c>
      <c r="G91" s="17">
        <f>G88-G89-G90</f>
        <v/>
      </c>
      <c r="H91" s="17">
        <f>H88-H89-H90</f>
        <v/>
      </c>
      <c r="I91" s="17">
        <f>I88-I89-I90</f>
        <v/>
      </c>
      <c r="J91" s="17">
        <f>J88-J89-J90</f>
        <v/>
      </c>
      <c r="K91" s="17">
        <f>K88-K89-K90</f>
        <v/>
      </c>
      <c r="L91" s="17">
        <f>L88-L89-L90</f>
        <v/>
      </c>
    </row>
    <row r="92">
      <c r="A92" s="7" t="inlineStr">
        <is>
          <t>(−) Impuesto sobre la renta (ISR)</t>
        </is>
      </c>
      <c r="B92" s="13">
        <f>IF(B91&gt;0,B91*$B$10,0)</f>
        <v/>
      </c>
      <c r="C92" s="13">
        <f>IF(C91&gt;0,C91*$B$10,0)</f>
        <v/>
      </c>
      <c r="D92" s="13">
        <f>IF(D91&gt;0,D91*$B$10,0)</f>
        <v/>
      </c>
      <c r="E92" s="13">
        <f>IF(E91&gt;0,E91*$B$10,0)</f>
        <v/>
      </c>
      <c r="F92" s="13">
        <f>IF(F91&gt;0,F91*$B$10,0)</f>
        <v/>
      </c>
      <c r="G92" s="13">
        <f>IF(G91&gt;0,G91*$B$10,0)</f>
        <v/>
      </c>
      <c r="H92" s="13">
        <f>IF(H91&gt;0,H91*$B$10,0)</f>
        <v/>
      </c>
      <c r="I92" s="13">
        <f>IF(I91&gt;0,I91*$B$10,0)</f>
        <v/>
      </c>
      <c r="J92" s="13">
        <f>IF(J91&gt;0,J91*$B$10,0)</f>
        <v/>
      </c>
      <c r="K92" s="13">
        <f>IF(K91&gt;0,K91*$B$10,0)</f>
        <v/>
      </c>
      <c r="L92" s="13">
        <f>IF(L91&gt;0,L91*$B$10,0)</f>
        <v/>
      </c>
    </row>
    <row r="93">
      <c r="A93" s="16" t="inlineStr">
        <is>
          <t>(=) UTILIDAD NETA</t>
        </is>
      </c>
      <c r="B93" s="17">
        <f>B91-B92</f>
        <v/>
      </c>
      <c r="C93" s="17">
        <f>C91-C92</f>
        <v/>
      </c>
      <c r="D93" s="17">
        <f>D91-D92</f>
        <v/>
      </c>
      <c r="E93" s="17">
        <f>E91-E92</f>
        <v/>
      </c>
      <c r="F93" s="17">
        <f>F91-F92</f>
        <v/>
      </c>
      <c r="G93" s="17">
        <f>G91-G92</f>
        <v/>
      </c>
      <c r="H93" s="17">
        <f>H91-H92</f>
        <v/>
      </c>
      <c r="I93" s="17">
        <f>I91-I92</f>
        <v/>
      </c>
      <c r="J93" s="17">
        <f>J91-J92</f>
        <v/>
      </c>
      <c r="K93" s="17">
        <f>K91-K92</f>
        <v/>
      </c>
      <c r="L93" s="17">
        <f>L91-L92</f>
        <v/>
      </c>
    </row>
    <row r="94">
      <c r="A94" s="7" t="inlineStr">
        <is>
          <t>(+) Depreciación</t>
        </is>
      </c>
      <c r="B94" s="13">
        <f>B89</f>
        <v/>
      </c>
      <c r="C94" s="13">
        <f>C89</f>
        <v/>
      </c>
      <c r="D94" s="13">
        <f>D89</f>
        <v/>
      </c>
      <c r="E94" s="13">
        <f>E89</f>
        <v/>
      </c>
      <c r="F94" s="13">
        <f>F89</f>
        <v/>
      </c>
      <c r="G94" s="13">
        <f>G89</f>
        <v/>
      </c>
      <c r="H94" s="13">
        <f>H89</f>
        <v/>
      </c>
      <c r="I94" s="13">
        <f>I89</f>
        <v/>
      </c>
      <c r="J94" s="13">
        <f>J89</f>
        <v/>
      </c>
      <c r="K94" s="13">
        <f>K89</f>
        <v/>
      </c>
      <c r="L94" s="13">
        <f>L89</f>
        <v/>
      </c>
    </row>
    <row r="95">
      <c r="A95" s="7" t="inlineStr">
        <is>
          <t>(+) Amortización de diferidos</t>
        </is>
      </c>
      <c r="B95" s="13">
        <f>B90</f>
        <v/>
      </c>
      <c r="C95" s="13">
        <f>C90</f>
        <v/>
      </c>
      <c r="D95" s="13">
        <f>D90</f>
        <v/>
      </c>
      <c r="E95" s="13">
        <f>E90</f>
        <v/>
      </c>
      <c r="F95" s="13">
        <f>F90</f>
        <v/>
      </c>
      <c r="G95" s="13">
        <f>G90</f>
        <v/>
      </c>
      <c r="H95" s="13">
        <f>H90</f>
        <v/>
      </c>
      <c r="I95" s="13">
        <f>I90</f>
        <v/>
      </c>
      <c r="J95" s="13">
        <f>J90</f>
        <v/>
      </c>
      <c r="K95" s="13">
        <f>K90</f>
        <v/>
      </c>
      <c r="L95" s="13">
        <f>L90</f>
        <v/>
      </c>
    </row>
    <row r="96">
      <c r="A96" s="7" t="inlineStr">
        <is>
          <t>(+) Valor de salvamento (Año 10)</t>
        </is>
      </c>
      <c r="B96" s="13" t="n">
        <v>0</v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>
        <f>$B$74</f>
        <v/>
      </c>
    </row>
    <row r="97">
      <c r="A97" s="7" t="inlineStr">
        <is>
          <t>(+) Recuperación de capital de trabajo (Año 10)</t>
        </is>
      </c>
      <c r="B97" s="13">
        <f>B70</f>
        <v/>
      </c>
      <c r="C97" s="13">
        <f>C70</f>
        <v/>
      </c>
      <c r="D97" s="13">
        <f>D70</f>
        <v/>
      </c>
      <c r="E97" s="13">
        <f>E70</f>
        <v/>
      </c>
      <c r="F97" s="13">
        <f>F70</f>
        <v/>
      </c>
      <c r="G97" s="13">
        <f>G70</f>
        <v/>
      </c>
      <c r="H97" s="13">
        <f>H70</f>
        <v/>
      </c>
      <c r="I97" s="13">
        <f>I70</f>
        <v/>
      </c>
      <c r="J97" s="13">
        <f>J70</f>
        <v/>
      </c>
      <c r="K97" s="13">
        <f>K70</f>
        <v/>
      </c>
      <c r="L97" s="13">
        <f>L70</f>
        <v/>
      </c>
    </row>
    <row r="98">
      <c r="A98" s="7" t="inlineStr">
        <is>
          <t>(−) Inversión en activos fijos</t>
        </is>
      </c>
      <c r="B98" s="13">
        <f>B24</f>
        <v/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</row>
    <row r="99">
      <c r="A99" s="7" t="inlineStr">
        <is>
          <t>(−) Inversión en diferidos</t>
        </is>
      </c>
      <c r="B99" s="13">
        <f>B30</f>
        <v/>
      </c>
      <c r="C99" s="13" t="n">
        <v>0</v>
      </c>
      <c r="D99" s="13" t="n">
        <v>0</v>
      </c>
      <c r="E99" s="13" t="n">
        <v>0</v>
      </c>
      <c r="F99" s="13" t="n">
        <v>0</v>
      </c>
      <c r="G99" s="13" t="n">
        <v>0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</row>
    <row r="100">
      <c r="A100" s="7" t="inlineStr">
        <is>
          <t>(−) Inversión en capital de trabajo</t>
        </is>
      </c>
      <c r="B100" s="13">
        <f>B31</f>
        <v/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</row>
    <row r="101">
      <c r="A101" s="3" t="inlineStr">
        <is>
          <t>(=) FLUJO DE CAJA DEL PROYECTO</t>
        </is>
      </c>
      <c r="B101" s="22">
        <f>B93+B94+B95+B96+B97-B98-B99-B100</f>
        <v/>
      </c>
      <c r="C101" s="22">
        <f>C93+C94+C95+C96+C97-C98-C99-C100</f>
        <v/>
      </c>
      <c r="D101" s="22">
        <f>D93+D94+D95+D96+D97-D98-D99-D100</f>
        <v/>
      </c>
      <c r="E101" s="22">
        <f>E93+E94+E95+E96+E97-E98-E99-E100</f>
        <v/>
      </c>
      <c r="F101" s="22">
        <f>F93+F94+F95+F96+F97-F98-F99-F100</f>
        <v/>
      </c>
      <c r="G101" s="22">
        <f>G93+G94+G95+G96+G97-G98-G99-G100</f>
        <v/>
      </c>
      <c r="H101" s="22">
        <f>H93+H94+H95+H96+H97-H98-H99-H100</f>
        <v/>
      </c>
      <c r="I101" s="22">
        <f>I93+I94+I95+I96+I97-I98-I99-I100</f>
        <v/>
      </c>
      <c r="J101" s="22">
        <f>J93+J94+J95+J96+J97-J98-J99-J100</f>
        <v/>
      </c>
      <c r="K101" s="22">
        <f>K93+K94+K95+K96+K97-K98-K99-K100</f>
        <v/>
      </c>
      <c r="L101" s="22">
        <f>L93+L94+L95+L96+L97-L98-L99-L100</f>
        <v/>
      </c>
    </row>
    <row r="102">
      <c r="A102" s="23" t="inlineStr">
        <is>
          <t>Flujo de caja acumulado</t>
        </is>
      </c>
      <c r="B102" s="24">
        <f>B101</f>
        <v/>
      </c>
      <c r="C102" s="24">
        <f>B102+C101</f>
        <v/>
      </c>
      <c r="D102" s="24">
        <f>C102+D101</f>
        <v/>
      </c>
      <c r="E102" s="24">
        <f>D102+E101</f>
        <v/>
      </c>
      <c r="F102" s="24">
        <f>E102+F101</f>
        <v/>
      </c>
      <c r="G102" s="24">
        <f>F102+G101</f>
        <v/>
      </c>
      <c r="H102" s="24">
        <f>G102+H101</f>
        <v/>
      </c>
      <c r="I102" s="24">
        <f>H102+I101</f>
        <v/>
      </c>
      <c r="J102" s="24">
        <f>I102+J101</f>
        <v/>
      </c>
      <c r="K102" s="24">
        <f>J102+K101</f>
        <v/>
      </c>
      <c r="L102" s="24">
        <f>K102+L101</f>
        <v/>
      </c>
    </row>
    <row r="104">
      <c r="A104" s="3" t="inlineStr">
        <is>
          <t>11. COSTO DE CAPITAL — PROYECTO PURO (sin financiamiento)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</row>
    <row r="105">
      <c r="A105" s="5" t="inlineStr">
        <is>
          <t>Fuente</t>
        </is>
      </c>
      <c r="B105" s="1" t="inlineStr">
        <is>
          <t>Monto (Lps)</t>
        </is>
      </c>
      <c r="C105" s="1" t="inlineStr">
        <is>
          <t>Participación</t>
        </is>
      </c>
      <c r="D105" s="1" t="inlineStr">
        <is>
          <t>Costo</t>
        </is>
      </c>
      <c r="E105" s="1" t="inlineStr">
        <is>
          <t>Costo ponderado</t>
        </is>
      </c>
      <c r="F105" s="6" t="n"/>
      <c r="G105" s="6" t="n"/>
      <c r="H105" s="6" t="n"/>
      <c r="I105" s="6" t="n"/>
      <c r="J105" s="6" t="n"/>
      <c r="K105" s="6" t="n"/>
      <c r="L105" s="6" t="n"/>
    </row>
    <row r="106">
      <c r="A106" s="7" t="inlineStr">
        <is>
          <t>Recursos propios (100%)</t>
        </is>
      </c>
      <c r="B106" s="13">
        <f>B32</f>
        <v/>
      </c>
      <c r="C106" s="15" t="n">
        <v>1</v>
      </c>
      <c r="D106" s="15">
        <f>$B$11</f>
        <v/>
      </c>
      <c r="E106" s="15">
        <f>C106*D106</f>
        <v/>
      </c>
      <c r="F106" s="9" t="n"/>
      <c r="G106" s="9" t="n"/>
      <c r="H106" s="9" t="n"/>
      <c r="I106" s="9" t="n"/>
      <c r="J106" s="9" t="n"/>
      <c r="K106" s="9" t="n"/>
      <c r="L106" s="9" t="n"/>
    </row>
    <row r="107">
      <c r="A107" s="16" t="inlineStr">
        <is>
          <t>TASA DE DESCUENTO DEL PROYECTO</t>
        </is>
      </c>
      <c r="B107" s="17">
        <f>B106</f>
        <v/>
      </c>
      <c r="C107" s="25" t="n">
        <v>1</v>
      </c>
      <c r="D107" s="26" t="inlineStr">
        <is>
          <t>-</t>
        </is>
      </c>
      <c r="E107" s="25">
        <f>E106</f>
        <v/>
      </c>
      <c r="F107" s="18" t="n"/>
      <c r="G107" s="18" t="n"/>
      <c r="H107" s="18" t="n"/>
      <c r="I107" s="18" t="n"/>
      <c r="J107" s="18" t="n"/>
      <c r="K107" s="18" t="n"/>
      <c r="L107" s="18" t="n"/>
    </row>
    <row r="109">
      <c r="A109" s="3" t="inlineStr">
        <is>
          <t>12. INDICADORES DE RENTABILIDAD — PROYECTO PURO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>
      <c r="A110" s="23" t="inlineStr">
        <is>
          <t>VAN — Valor Actual Neto (Lps)</t>
        </is>
      </c>
      <c r="B110" s="27">
        <f>NPV($E$107,C101:L101)+B101</f>
        <v/>
      </c>
      <c r="C110" s="7" t="inlineStr">
        <is>
          <t>Descontado a la TREMA. VAN &gt; 0 ⇒ proyecto viable.</t>
        </is>
      </c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23" t="inlineStr">
        <is>
          <t>TIR — Tasa Interna de Retorno</t>
        </is>
      </c>
      <c r="B111" s="28">
        <f>IRR(B101:L101)</f>
        <v/>
      </c>
      <c r="C111" s="7" t="inlineStr">
        <is>
          <t>TIR &gt; TREMA ⇒ proyecto rentable.</t>
        </is>
      </c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23" t="inlineStr">
        <is>
          <t>PRI — Periodo de recuperación (años)</t>
        </is>
      </c>
      <c r="B112" s="29">
        <f>(COUNTIF(B102:L102,"&lt;0")-1)+(-INDEX(B102:L102,COUNTIF(B102:L102,"&lt;0")))/INDEX(B101:L101,COUNTIF(B102:L102,"&lt;0")+1)</f>
        <v/>
      </c>
      <c r="C112" s="7" t="inlineStr">
        <is>
          <t>Tiempo en que el flujo acumulado se vuelve positivo.</t>
        </is>
      </c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23" t="inlineStr">
        <is>
          <t>Relación Beneficio/Costo (B/C)</t>
        </is>
      </c>
      <c r="B113" s="29">
        <f>NPV($E$107,C42:L42)/(B32+NPV($E$107,C50:L50)+NPV($E$107,C92:L92))</f>
        <v/>
      </c>
      <c r="C113" s="7" t="inlineStr">
        <is>
          <t>VP ingresos / VP egresos (inversión + costos + impuestos). B/C &gt; 1 ⇒ viable.</t>
        </is>
      </c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5">
      <c r="A115" s="3" t="inlineStr">
        <is>
          <t>13. FLUJO DE CAJA DEL INVERSIONISTA (CON FINANCIAMIENTO)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>
      <c r="A116" s="5" t="inlineStr">
        <is>
          <t>Concepto</t>
        </is>
      </c>
      <c r="B116" s="21" t="n">
        <v>0</v>
      </c>
      <c r="C116" s="21" t="n">
        <v>1</v>
      </c>
      <c r="D116" s="21" t="n">
        <v>2</v>
      </c>
      <c r="E116" s="21" t="n">
        <v>3</v>
      </c>
      <c r="F116" s="21" t="n">
        <v>4</v>
      </c>
      <c r="G116" s="21" t="n">
        <v>5</v>
      </c>
      <c r="H116" s="21" t="n">
        <v>6</v>
      </c>
      <c r="I116" s="21" t="n">
        <v>7</v>
      </c>
      <c r="J116" s="21" t="n">
        <v>8</v>
      </c>
      <c r="K116" s="21" t="n">
        <v>9</v>
      </c>
      <c r="L116" s="21" t="n">
        <v>10</v>
      </c>
    </row>
    <row r="117">
      <c r="A117" s="7" t="inlineStr">
        <is>
          <t>(+) Ingresos por ventas</t>
        </is>
      </c>
      <c r="B117" s="13">
        <f>B42</f>
        <v/>
      </c>
      <c r="C117" s="13">
        <f>C42</f>
        <v/>
      </c>
      <c r="D117" s="13">
        <f>D42</f>
        <v/>
      </c>
      <c r="E117" s="13">
        <f>E42</f>
        <v/>
      </c>
      <c r="F117" s="13">
        <f>F42</f>
        <v/>
      </c>
      <c r="G117" s="13">
        <f>G42</f>
        <v/>
      </c>
      <c r="H117" s="13">
        <f>H42</f>
        <v/>
      </c>
      <c r="I117" s="13">
        <f>I42</f>
        <v/>
      </c>
      <c r="J117" s="13">
        <f>J42</f>
        <v/>
      </c>
      <c r="K117" s="13">
        <f>K42</f>
        <v/>
      </c>
      <c r="L117" s="13">
        <f>L42</f>
        <v/>
      </c>
    </row>
    <row r="118">
      <c r="A118" s="7" t="inlineStr">
        <is>
          <t>(−) Costos y gastos operativos</t>
        </is>
      </c>
      <c r="B118" s="13" t="n">
        <v>0</v>
      </c>
      <c r="C118" s="13">
        <f>C50</f>
        <v/>
      </c>
      <c r="D118" s="13">
        <f>D50</f>
        <v/>
      </c>
      <c r="E118" s="13">
        <f>E50</f>
        <v/>
      </c>
      <c r="F118" s="13">
        <f>F50</f>
        <v/>
      </c>
      <c r="G118" s="13">
        <f>G50</f>
        <v/>
      </c>
      <c r="H118" s="13">
        <f>H50</f>
        <v/>
      </c>
      <c r="I118" s="13">
        <f>I50</f>
        <v/>
      </c>
      <c r="J118" s="13">
        <f>J50</f>
        <v/>
      </c>
      <c r="K118" s="13">
        <f>K50</f>
        <v/>
      </c>
      <c r="L118" s="13">
        <f>L50</f>
        <v/>
      </c>
    </row>
    <row r="119">
      <c r="A119" s="16" t="inlineStr">
        <is>
          <t>(=) UTILIDAD BRUTA</t>
        </is>
      </c>
      <c r="B119" s="17">
        <f>B117-B118</f>
        <v/>
      </c>
      <c r="C119" s="17">
        <f>C117-C118</f>
        <v/>
      </c>
      <c r="D119" s="17">
        <f>D117-D118</f>
        <v/>
      </c>
      <c r="E119" s="17">
        <f>E117-E118</f>
        <v/>
      </c>
      <c r="F119" s="17">
        <f>F117-F118</f>
        <v/>
      </c>
      <c r="G119" s="17">
        <f>G117-G118</f>
        <v/>
      </c>
      <c r="H119" s="17">
        <f>H117-H118</f>
        <v/>
      </c>
      <c r="I119" s="17">
        <f>I117-I118</f>
        <v/>
      </c>
      <c r="J119" s="17">
        <f>J117-J118</f>
        <v/>
      </c>
      <c r="K119" s="17">
        <f>K117-K118</f>
        <v/>
      </c>
      <c r="L119" s="17">
        <f>L117-L118</f>
        <v/>
      </c>
    </row>
    <row r="120">
      <c r="A120" s="7" t="inlineStr">
        <is>
          <t>(−) Depreciación</t>
        </is>
      </c>
      <c r="B120" s="13" t="n">
        <v>0</v>
      </c>
      <c r="C120" s="13">
        <f>C59</f>
        <v/>
      </c>
      <c r="D120" s="13">
        <f>D59</f>
        <v/>
      </c>
      <c r="E120" s="13">
        <f>E59</f>
        <v/>
      </c>
      <c r="F120" s="13">
        <f>F59</f>
        <v/>
      </c>
      <c r="G120" s="13">
        <f>G59</f>
        <v/>
      </c>
      <c r="H120" s="13">
        <f>H59</f>
        <v/>
      </c>
      <c r="I120" s="13">
        <f>I59</f>
        <v/>
      </c>
      <c r="J120" s="13">
        <f>J59</f>
        <v/>
      </c>
      <c r="K120" s="13">
        <f>K59</f>
        <v/>
      </c>
      <c r="L120" s="13">
        <f>L59</f>
        <v/>
      </c>
    </row>
    <row r="121">
      <c r="A121" s="7" t="inlineStr">
        <is>
          <t>(−) Amortización de diferidos</t>
        </is>
      </c>
      <c r="B121" s="13" t="n">
        <v>0</v>
      </c>
      <c r="C121" s="13">
        <f>C65</f>
        <v/>
      </c>
      <c r="D121" s="13">
        <f>D65</f>
        <v/>
      </c>
      <c r="E121" s="13">
        <f>E65</f>
        <v/>
      </c>
      <c r="F121" s="13">
        <f>F65</f>
        <v/>
      </c>
      <c r="G121" s="13">
        <f>G65</f>
        <v/>
      </c>
      <c r="H121" s="13">
        <f>H65</f>
        <v/>
      </c>
      <c r="I121" s="13">
        <f>I65</f>
        <v/>
      </c>
      <c r="J121" s="13">
        <f>J65</f>
        <v/>
      </c>
      <c r="K121" s="13">
        <f>K65</f>
        <v/>
      </c>
      <c r="L121" s="13">
        <f>L65</f>
        <v/>
      </c>
    </row>
    <row r="122">
      <c r="A122" s="16" t="inlineStr">
        <is>
          <t>(=) UTILIDAD ANTES DE INTERESES E IMPUESTOS (UAII)</t>
        </is>
      </c>
      <c r="B122" s="17">
        <f>B119-B120-B121</f>
        <v/>
      </c>
      <c r="C122" s="17">
        <f>C119-C120-C121</f>
        <v/>
      </c>
      <c r="D122" s="17">
        <f>D119-D120-D121</f>
        <v/>
      </c>
      <c r="E122" s="17">
        <f>E119-E120-E121</f>
        <v/>
      </c>
      <c r="F122" s="17">
        <f>F119-F120-F121</f>
        <v/>
      </c>
      <c r="G122" s="17">
        <f>G119-G120-G121</f>
        <v/>
      </c>
      <c r="H122" s="17">
        <f>H119-H120-H121</f>
        <v/>
      </c>
      <c r="I122" s="17">
        <f>I119-I120-I121</f>
        <v/>
      </c>
      <c r="J122" s="17">
        <f>J119-J120-J121</f>
        <v/>
      </c>
      <c r="K122" s="17">
        <f>K119-K120-K121</f>
        <v/>
      </c>
      <c r="L122" s="17">
        <f>L119-L120-L121</f>
        <v/>
      </c>
    </row>
    <row r="123">
      <c r="A123" s="7" t="inlineStr">
        <is>
          <t>(−) Gastos financieros (intereses)</t>
        </is>
      </c>
      <c r="B123" s="13" t="n">
        <v>0</v>
      </c>
      <c r="C123" s="13">
        <f>C80</f>
        <v/>
      </c>
      <c r="D123" s="13">
        <f>D80</f>
        <v/>
      </c>
      <c r="E123" s="13">
        <f>E80</f>
        <v/>
      </c>
      <c r="F123" s="13">
        <f>F80</f>
        <v/>
      </c>
      <c r="G123" s="13">
        <f>G80</f>
        <v/>
      </c>
      <c r="H123" s="13">
        <f>H80</f>
        <v/>
      </c>
      <c r="I123" s="13">
        <f>I80</f>
        <v/>
      </c>
      <c r="J123" s="13">
        <f>J80</f>
        <v/>
      </c>
      <c r="K123" s="13">
        <f>K80</f>
        <v/>
      </c>
      <c r="L123" s="13">
        <f>L80</f>
        <v/>
      </c>
    </row>
    <row r="124">
      <c r="A124" s="16" t="inlineStr">
        <is>
          <t>(=) UTILIDAD ANTES DE IMPUESTOS (UAI)</t>
        </is>
      </c>
      <c r="B124" s="17">
        <f>B122-B123</f>
        <v/>
      </c>
      <c r="C124" s="17">
        <f>C122-C123</f>
        <v/>
      </c>
      <c r="D124" s="17">
        <f>D122-D123</f>
        <v/>
      </c>
      <c r="E124" s="17">
        <f>E122-E123</f>
        <v/>
      </c>
      <c r="F124" s="17">
        <f>F122-F123</f>
        <v/>
      </c>
      <c r="G124" s="17">
        <f>G122-G123</f>
        <v/>
      </c>
      <c r="H124" s="17">
        <f>H122-H123</f>
        <v/>
      </c>
      <c r="I124" s="17">
        <f>I122-I123</f>
        <v/>
      </c>
      <c r="J124" s="17">
        <f>J122-J123</f>
        <v/>
      </c>
      <c r="K124" s="17">
        <f>K122-K123</f>
        <v/>
      </c>
      <c r="L124" s="17">
        <f>L122-L123</f>
        <v/>
      </c>
    </row>
    <row r="125">
      <c r="A125" s="7" t="inlineStr">
        <is>
          <t>(−) Impuesto sobre la renta (ISR)</t>
        </is>
      </c>
      <c r="B125" s="13">
        <f>IF(B124&gt;0,B124*$B$10,0)</f>
        <v/>
      </c>
      <c r="C125" s="13">
        <f>IF(C124&gt;0,C124*$B$10,0)</f>
        <v/>
      </c>
      <c r="D125" s="13">
        <f>IF(D124&gt;0,D124*$B$10,0)</f>
        <v/>
      </c>
      <c r="E125" s="13">
        <f>IF(E124&gt;0,E124*$B$10,0)</f>
        <v/>
      </c>
      <c r="F125" s="13">
        <f>IF(F124&gt;0,F124*$B$10,0)</f>
        <v/>
      </c>
      <c r="G125" s="13">
        <f>IF(G124&gt;0,G124*$B$10,0)</f>
        <v/>
      </c>
      <c r="H125" s="13">
        <f>IF(H124&gt;0,H124*$B$10,0)</f>
        <v/>
      </c>
      <c r="I125" s="13">
        <f>IF(I124&gt;0,I124*$B$10,0)</f>
        <v/>
      </c>
      <c r="J125" s="13">
        <f>IF(J124&gt;0,J124*$B$10,0)</f>
        <v/>
      </c>
      <c r="K125" s="13">
        <f>IF(K124&gt;0,K124*$B$10,0)</f>
        <v/>
      </c>
      <c r="L125" s="13">
        <f>IF(L124&gt;0,L124*$B$10,0)</f>
        <v/>
      </c>
    </row>
    <row r="126">
      <c r="A126" s="16" t="inlineStr">
        <is>
          <t>(=) UTILIDAD NETA</t>
        </is>
      </c>
      <c r="B126" s="17">
        <f>B124-B125</f>
        <v/>
      </c>
      <c r="C126" s="17">
        <f>C124-C125</f>
        <v/>
      </c>
      <c r="D126" s="17">
        <f>D124-D125</f>
        <v/>
      </c>
      <c r="E126" s="17">
        <f>E124-E125</f>
        <v/>
      </c>
      <c r="F126" s="17">
        <f>F124-F125</f>
        <v/>
      </c>
      <c r="G126" s="17">
        <f>G124-G125</f>
        <v/>
      </c>
      <c r="H126" s="17">
        <f>H124-H125</f>
        <v/>
      </c>
      <c r="I126" s="17">
        <f>I124-I125</f>
        <v/>
      </c>
      <c r="J126" s="17">
        <f>J124-J125</f>
        <v/>
      </c>
      <c r="K126" s="17">
        <f>K124-K125</f>
        <v/>
      </c>
      <c r="L126" s="17">
        <f>L124-L125</f>
        <v/>
      </c>
    </row>
    <row r="127">
      <c r="A127" s="7" t="inlineStr">
        <is>
          <t>(+) Depreciación</t>
        </is>
      </c>
      <c r="B127" s="13">
        <f>B120</f>
        <v/>
      </c>
      <c r="C127" s="13">
        <f>C120</f>
        <v/>
      </c>
      <c r="D127" s="13">
        <f>D120</f>
        <v/>
      </c>
      <c r="E127" s="13">
        <f>E120</f>
        <v/>
      </c>
      <c r="F127" s="13">
        <f>F120</f>
        <v/>
      </c>
      <c r="G127" s="13">
        <f>G120</f>
        <v/>
      </c>
      <c r="H127" s="13">
        <f>H120</f>
        <v/>
      </c>
      <c r="I127" s="13">
        <f>I120</f>
        <v/>
      </c>
      <c r="J127" s="13">
        <f>J120</f>
        <v/>
      </c>
      <c r="K127" s="13">
        <f>K120</f>
        <v/>
      </c>
      <c r="L127" s="13">
        <f>L120</f>
        <v/>
      </c>
    </row>
    <row r="128">
      <c r="A128" s="7" t="inlineStr">
        <is>
          <t>(+) Amortización de diferidos</t>
        </is>
      </c>
      <c r="B128" s="13">
        <f>B121</f>
        <v/>
      </c>
      <c r="C128" s="13">
        <f>C121</f>
        <v/>
      </c>
      <c r="D128" s="13">
        <f>D121</f>
        <v/>
      </c>
      <c r="E128" s="13">
        <f>E121</f>
        <v/>
      </c>
      <c r="F128" s="13">
        <f>F121</f>
        <v/>
      </c>
      <c r="G128" s="13">
        <f>G121</f>
        <v/>
      </c>
      <c r="H128" s="13">
        <f>H121</f>
        <v/>
      </c>
      <c r="I128" s="13">
        <f>I121</f>
        <v/>
      </c>
      <c r="J128" s="13">
        <f>J121</f>
        <v/>
      </c>
      <c r="K128" s="13">
        <f>K121</f>
        <v/>
      </c>
      <c r="L128" s="13">
        <f>L121</f>
        <v/>
      </c>
    </row>
    <row r="129">
      <c r="A129" s="7" t="inlineStr">
        <is>
          <t>(+) Valor de salvamento (Año 10)</t>
        </is>
      </c>
      <c r="B129" s="13" t="n">
        <v>0</v>
      </c>
      <c r="C129" s="13" t="n">
        <v>0</v>
      </c>
      <c r="D129" s="13" t="n">
        <v>0</v>
      </c>
      <c r="E129" s="13" t="n">
        <v>0</v>
      </c>
      <c r="F129" s="13" t="n">
        <v>0</v>
      </c>
      <c r="G129" s="13" t="n">
        <v>0</v>
      </c>
      <c r="H129" s="13" t="n">
        <v>0</v>
      </c>
      <c r="I129" s="13" t="n">
        <v>0</v>
      </c>
      <c r="J129" s="13" t="n">
        <v>0</v>
      </c>
      <c r="K129" s="13" t="n">
        <v>0</v>
      </c>
      <c r="L129" s="13">
        <f>$B$74</f>
        <v/>
      </c>
    </row>
    <row r="130">
      <c r="A130" s="7" t="inlineStr">
        <is>
          <t>(+) Recuperación de capital de trabajo (Año 10)</t>
        </is>
      </c>
      <c r="B130" s="13">
        <f>B70</f>
        <v/>
      </c>
      <c r="C130" s="13">
        <f>C70</f>
        <v/>
      </c>
      <c r="D130" s="13">
        <f>D70</f>
        <v/>
      </c>
      <c r="E130" s="13">
        <f>E70</f>
        <v/>
      </c>
      <c r="F130" s="13">
        <f>F70</f>
        <v/>
      </c>
      <c r="G130" s="13">
        <f>G70</f>
        <v/>
      </c>
      <c r="H130" s="13">
        <f>H70</f>
        <v/>
      </c>
      <c r="I130" s="13">
        <f>I70</f>
        <v/>
      </c>
      <c r="J130" s="13">
        <f>J70</f>
        <v/>
      </c>
      <c r="K130" s="13">
        <f>K70</f>
        <v/>
      </c>
      <c r="L130" s="13">
        <f>L70</f>
        <v/>
      </c>
    </row>
    <row r="131">
      <c r="A131" s="7" t="inlineStr">
        <is>
          <t>(+) Ingreso por préstamo (Año 0)</t>
        </is>
      </c>
      <c r="B131" s="13">
        <f>B34</f>
        <v/>
      </c>
      <c r="C131" s="13" t="n">
        <v>0</v>
      </c>
      <c r="D131" s="13" t="n">
        <v>0</v>
      </c>
      <c r="E131" s="13" t="n">
        <v>0</v>
      </c>
      <c r="F131" s="13" t="n">
        <v>0</v>
      </c>
      <c r="G131" s="13" t="n">
        <v>0</v>
      </c>
      <c r="H131" s="13" t="n">
        <v>0</v>
      </c>
      <c r="I131" s="13" t="n">
        <v>0</v>
      </c>
      <c r="J131" s="13" t="n">
        <v>0</v>
      </c>
      <c r="K131" s="13" t="n">
        <v>0</v>
      </c>
      <c r="L131" s="13" t="n">
        <v>0</v>
      </c>
    </row>
    <row r="132">
      <c r="A132" s="7" t="inlineStr">
        <is>
          <t>(−) Abono a capital (amortización préstamo)</t>
        </is>
      </c>
      <c r="B132" s="13" t="n">
        <v>0</v>
      </c>
      <c r="C132" s="13">
        <f>C81</f>
        <v/>
      </c>
      <c r="D132" s="13">
        <f>D81</f>
        <v/>
      </c>
      <c r="E132" s="13">
        <f>E81</f>
        <v/>
      </c>
      <c r="F132" s="13">
        <f>F81</f>
        <v/>
      </c>
      <c r="G132" s="13">
        <f>G81</f>
        <v/>
      </c>
      <c r="H132" s="13">
        <f>H81</f>
        <v/>
      </c>
      <c r="I132" s="13">
        <f>I81</f>
        <v/>
      </c>
      <c r="J132" s="13">
        <f>J81</f>
        <v/>
      </c>
      <c r="K132" s="13">
        <f>K81</f>
        <v/>
      </c>
      <c r="L132" s="13">
        <f>L81</f>
        <v/>
      </c>
    </row>
    <row r="133">
      <c r="A133" s="7" t="inlineStr">
        <is>
          <t>(−) Inversión en activos fijos</t>
        </is>
      </c>
      <c r="B133" s="13">
        <f>B24</f>
        <v/>
      </c>
      <c r="C133" s="13" t="n">
        <v>0</v>
      </c>
      <c r="D133" s="13" t="n">
        <v>0</v>
      </c>
      <c r="E133" s="13" t="n">
        <v>0</v>
      </c>
      <c r="F133" s="13" t="n">
        <v>0</v>
      </c>
      <c r="G133" s="13" t="n">
        <v>0</v>
      </c>
      <c r="H133" s="13" t="n">
        <v>0</v>
      </c>
      <c r="I133" s="13" t="n">
        <v>0</v>
      </c>
      <c r="J133" s="13" t="n">
        <v>0</v>
      </c>
      <c r="K133" s="13" t="n">
        <v>0</v>
      </c>
      <c r="L133" s="13" t="n">
        <v>0</v>
      </c>
    </row>
    <row r="134">
      <c r="A134" s="7" t="inlineStr">
        <is>
          <t>(−) Inversión en diferidos</t>
        </is>
      </c>
      <c r="B134" s="13">
        <f>B30</f>
        <v/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</row>
    <row r="135">
      <c r="A135" s="7" t="inlineStr">
        <is>
          <t>(−) Inversión en capital de trabajo</t>
        </is>
      </c>
      <c r="B135" s="13">
        <f>B31</f>
        <v/>
      </c>
      <c r="C135" s="13" t="n">
        <v>0</v>
      </c>
      <c r="D135" s="13" t="n">
        <v>0</v>
      </c>
      <c r="E135" s="13" t="n">
        <v>0</v>
      </c>
      <c r="F135" s="13" t="n">
        <v>0</v>
      </c>
      <c r="G135" s="13" t="n">
        <v>0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0</v>
      </c>
    </row>
    <row r="136">
      <c r="A136" s="3" t="inlineStr">
        <is>
          <t>(=) FLUJO DE CAJA DEL INVERSIONISTA</t>
        </is>
      </c>
      <c r="B136" s="22">
        <f>B126+B127+B128+B129+B130+B131-B132-B133-B134-B135</f>
        <v/>
      </c>
      <c r="C136" s="22">
        <f>C126+C127+C128+C129+C130+C131-C132-C133-C134-C135</f>
        <v/>
      </c>
      <c r="D136" s="22">
        <f>D126+D127+D128+D129+D130+D131-D132-D133-D134-D135</f>
        <v/>
      </c>
      <c r="E136" s="22">
        <f>E126+E127+E128+E129+E130+E131-E132-E133-E134-E135</f>
        <v/>
      </c>
      <c r="F136" s="22">
        <f>F126+F127+F128+F129+F130+F131-F132-F133-F134-F135</f>
        <v/>
      </c>
      <c r="G136" s="22">
        <f>G126+G127+G128+G129+G130+G131-G132-G133-G134-G135</f>
        <v/>
      </c>
      <c r="H136" s="22">
        <f>H126+H127+H128+H129+H130+H131-H132-H133-H134-H135</f>
        <v/>
      </c>
      <c r="I136" s="22">
        <f>I126+I127+I128+I129+I130+I131-I132-I133-I134-I135</f>
        <v/>
      </c>
      <c r="J136" s="22">
        <f>J126+J127+J128+J129+J130+J131-J132-J133-J134-J135</f>
        <v/>
      </c>
      <c r="K136" s="22">
        <f>K126+K127+K128+K129+K130+K131-K132-K133-K134-K135</f>
        <v/>
      </c>
      <c r="L136" s="22">
        <f>L126+L127+L128+L129+L130+L131-L132-L133-L134-L135</f>
        <v/>
      </c>
    </row>
    <row r="137">
      <c r="A137" s="23" t="inlineStr">
        <is>
          <t>Flujo de caja acumulado</t>
        </is>
      </c>
      <c r="B137" s="24">
        <f>B136</f>
        <v/>
      </c>
      <c r="C137" s="24">
        <f>B137+C136</f>
        <v/>
      </c>
      <c r="D137" s="24">
        <f>C137+D136</f>
        <v/>
      </c>
      <c r="E137" s="24">
        <f>D137+E136</f>
        <v/>
      </c>
      <c r="F137" s="24">
        <f>E137+F136</f>
        <v/>
      </c>
      <c r="G137" s="24">
        <f>F137+G136</f>
        <v/>
      </c>
      <c r="H137" s="24">
        <f>G137+H136</f>
        <v/>
      </c>
      <c r="I137" s="24">
        <f>H137+I136</f>
        <v/>
      </c>
      <c r="J137" s="24">
        <f>I137+J136</f>
        <v/>
      </c>
      <c r="K137" s="24">
        <f>J137+K136</f>
        <v/>
      </c>
      <c r="L137" s="24">
        <f>K137+L136</f>
        <v/>
      </c>
    </row>
    <row r="139">
      <c r="A139" s="3" t="inlineStr">
        <is>
          <t>14. COSTO PROMEDIO PONDERADO DE CAPITAL — WACC (con financiamiento)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</row>
    <row r="140">
      <c r="A140" s="5" t="inlineStr">
        <is>
          <t>Fuente</t>
        </is>
      </c>
      <c r="B140" s="1" t="inlineStr">
        <is>
          <t>Monto (Lps)</t>
        </is>
      </c>
      <c r="C140" s="1" t="inlineStr">
        <is>
          <t>Participación</t>
        </is>
      </c>
      <c r="D140" s="1" t="inlineStr">
        <is>
          <t>Costo</t>
        </is>
      </c>
      <c r="E140" s="1" t="inlineStr">
        <is>
          <t>Costo ponderado</t>
        </is>
      </c>
      <c r="F140" s="6" t="n"/>
      <c r="G140" s="6" t="n"/>
      <c r="H140" s="6" t="n"/>
      <c r="I140" s="6" t="n"/>
      <c r="J140" s="6" t="n"/>
      <c r="K140" s="6" t="n"/>
      <c r="L140" s="6" t="n"/>
    </row>
    <row r="141">
      <c r="A141" s="7" t="inlineStr">
        <is>
          <t>Préstamo bancario (deuda, después de impuestos)</t>
        </is>
      </c>
      <c r="B141" s="13">
        <f>B34</f>
        <v/>
      </c>
      <c r="C141" s="15">
        <f>B141/$B$143</f>
        <v/>
      </c>
      <c r="D141" s="15">
        <f>$B$12*(1-$B$10)</f>
        <v/>
      </c>
      <c r="E141" s="15">
        <f>C141*D141</f>
        <v/>
      </c>
    </row>
    <row r="142">
      <c r="A142" s="7" t="inlineStr">
        <is>
          <t>Recursos propios (patrimonio)</t>
        </is>
      </c>
      <c r="B142" s="13">
        <f>B35</f>
        <v/>
      </c>
      <c r="C142" s="15">
        <f>B142/$B$143</f>
        <v/>
      </c>
      <c r="D142" s="15">
        <f>$B$11</f>
        <v/>
      </c>
      <c r="E142" s="15">
        <f>C142*D142</f>
        <v/>
      </c>
    </row>
    <row r="143">
      <c r="A143" s="16" t="inlineStr">
        <is>
          <t>TOTAL / WACC</t>
        </is>
      </c>
      <c r="B143" s="17">
        <f>B141+B142</f>
        <v/>
      </c>
      <c r="C143" s="25" t="n">
        <v>1</v>
      </c>
      <c r="D143" s="26" t="inlineStr">
        <is>
          <t>-</t>
        </is>
      </c>
      <c r="E143" s="25">
        <f>E141+E142</f>
        <v/>
      </c>
      <c r="F143" s="18" t="n"/>
      <c r="G143" s="18" t="n"/>
      <c r="H143" s="18" t="n"/>
      <c r="I143" s="18" t="n"/>
      <c r="J143" s="18" t="n"/>
      <c r="K143" s="18" t="n"/>
      <c r="L143" s="18" t="n"/>
    </row>
    <row r="145">
      <c r="A145" s="3" t="inlineStr">
        <is>
          <t>15. INDICADORES DE RENTABILIDAD — INVERSIONISTA (con financiamiento)</t>
        </is>
      </c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</row>
    <row r="146">
      <c r="A146" s="23" t="inlineStr">
        <is>
          <t>VAN — Valor Actual Neto (Lps)</t>
        </is>
      </c>
      <c r="B146" s="27">
        <f>NPV($E$143,C136:L136)+B136</f>
        <v/>
      </c>
      <c r="C146" s="7" t="inlineStr">
        <is>
          <t>Descontado al WACC. VAN &gt; 0 ⇒ viable para el inversionista.</t>
        </is>
      </c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23" t="inlineStr">
        <is>
          <t>TIR — Tasa Interna de Retorno</t>
        </is>
      </c>
      <c r="B147" s="28">
        <f>IRR(B136:L136)</f>
        <v/>
      </c>
      <c r="C147" s="7" t="inlineStr">
        <is>
          <t>TIR &gt; WACC ⇒ rentable con apalancamiento.</t>
        </is>
      </c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23" t="inlineStr">
        <is>
          <t>PRI — Periodo de recuperación (años)</t>
        </is>
      </c>
      <c r="B148" s="29">
        <f>(COUNTIF(B137:L137,"&lt;0")-1)+(-INDEX(B137:L137,COUNTIF(B137:L137,"&lt;0")))/INDEX(B136:L136,COUNTIF(B137:L137,"&lt;0")+1)</f>
        <v/>
      </c>
      <c r="C148" s="7" t="inlineStr">
        <is>
          <t>Sobre el aporte propio del inversionista.</t>
        </is>
      </c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23" t="inlineStr">
        <is>
          <t>Relación Beneficio/Costo (B/C)</t>
        </is>
      </c>
      <c r="B149" s="29">
        <f>NPV($E$143,C42:L42)/(B35+NPV($E$143,C50:L50)+NPV($E$143,C80:L80)+NPV($E$143,C125:L125)+NPV($E$143,C81:L81))</f>
        <v/>
      </c>
      <c r="C149" s="7" t="inlineStr">
        <is>
          <t>VP ingresos / VP egresos (aporte propio + costos + intereses + ISR + abono capital).</t>
        </is>
      </c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1">
      <c r="A151" s="3" t="inlineStr">
        <is>
          <t>16. NOTAS METODOLÓGICAS Y FUENTES DE LOS DATOS</t>
        </is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</row>
    <row r="152" ht="30" customHeight="1">
      <c r="A152" s="7" t="inlineStr">
        <is>
          <t>• Todos los datos operativos provienen de la tesis: inversiones (Cuadro 5), depreciación (Cuadro 3), amortización de diferidos (Cuadro 4), proyección de clientes/ventas/precios (Cuadro 1) y proyección de costos y gastos a 10 años (Cuadro 6).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 ht="30" customHeight="1">
      <c r="A153" s="7" t="inlineStr">
        <is>
          <t>• Ingresos = volumen × precio. Coinciden con el Cuadro 1 de la tesis en los años 2-10; en el Año 1 la tesis redondea 392,000 a 396,000.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 ht="30" customHeight="1">
      <c r="A154" s="7" t="inlineStr">
        <is>
          <t>• Costos y gastos crecen con la inflación promedio nacional de 4.5% indicada en el Cuadro 6 (fórmula: base × (1+4.5%)^año).</t>
        </is>
      </c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 ht="30" customHeight="1">
      <c r="A155" s="7" t="inlineStr">
        <is>
          <t>• Depreciación fiscal según la Ley del ISR de Honduras (Cuadro 3): maquinaria 10% anual (10 años) y vehículos 33.33% anual (3 años). El camión queda totalmente depreciado en el Año 3 y no se contempla su reposición (criterio conservador de la tesis).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 ht="30" customHeight="1">
      <c r="A156" s="7" t="inlineStr">
        <is>
          <t>• Amortización de diferidos a 5 años: preoperativos (Cuadro 4: 51,000) más permisos y legales (25,000).</t>
        </is>
      </c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 ht="30" customHeight="1">
      <c r="A157" s="7" t="inlineStr">
        <is>
          <t>• Capital de trabajo inicial = costos fijos operativos (543,100) + gastos administrativos (22,600) + costos variables (19,500) = 585,200. Se recupera íntegramente en el Año 10. Con ello la inversión total coincide exactamente con la tesis: 2,056,200.</t>
        </is>
      </c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 ht="30" customHeight="1">
      <c r="A158" s="7" t="inlineStr">
        <is>
          <t>• SUPUESTOS no especificados en la tesis (celdas editables en la sección 1): ISR 25% (tasa corporativa vigente en Honduras); TREMA 15% (rendimiento mínimo del inversionista); préstamo 40% de la inversión a 14% anual a 5 años; valor de salvamento 0. Modifique estas celdas y todo el modelo recalcula automáticamente.</t>
        </is>
      </c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 ht="30" customHeight="1">
      <c r="A159" s="7" t="inlineStr">
        <is>
          <t>• El flujo del proyecto se descuenta a la TREMA (sección 11); el flujo del inversionista se descuenta al WACC (sección 14), conforme al documento 'Conceptos de flujo de caja'.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 ht="30" customHeight="1">
      <c r="A160" s="7" t="inlineStr">
        <is>
          <t>• Indicadores calculados: VAN, TIR, PRI y relación Beneficio/Costo, según lo exigido en el objetivo del estudio financiero de la tesis.</t>
        </is>
      </c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</sheetData>
  <mergeCells count="62">
    <mergeCell ref="E18:L18"/>
    <mergeCell ref="C110:L110"/>
    <mergeCell ref="E21:L21"/>
    <mergeCell ref="C8:L8"/>
    <mergeCell ref="A37:L37"/>
    <mergeCell ref="A84:L84"/>
    <mergeCell ref="C7:L7"/>
    <mergeCell ref="C149:L149"/>
    <mergeCell ref="A158:L158"/>
    <mergeCell ref="A3:L3"/>
    <mergeCell ref="E23:L23"/>
    <mergeCell ref="A154:L154"/>
    <mergeCell ref="A145:L145"/>
    <mergeCell ref="A139:L139"/>
    <mergeCell ref="C13:L13"/>
    <mergeCell ref="A2:L2"/>
    <mergeCell ref="A104:L104"/>
    <mergeCell ref="E20:L20"/>
    <mergeCell ref="A76:L76"/>
    <mergeCell ref="E29:L29"/>
    <mergeCell ref="C111:L111"/>
    <mergeCell ref="A151:L151"/>
    <mergeCell ref="A160:L160"/>
    <mergeCell ref="A5:L5"/>
    <mergeCell ref="E28:L28"/>
    <mergeCell ref="A159:L159"/>
    <mergeCell ref="C34:L34"/>
    <mergeCell ref="C15:L15"/>
    <mergeCell ref="A17:L17"/>
    <mergeCell ref="E19:L19"/>
    <mergeCell ref="C6:L6"/>
    <mergeCell ref="A109:L109"/>
    <mergeCell ref="E31:L31"/>
    <mergeCell ref="C14:L14"/>
    <mergeCell ref="A156:L156"/>
    <mergeCell ref="C74:L74"/>
    <mergeCell ref="A72:L72"/>
    <mergeCell ref="A52:L52"/>
    <mergeCell ref="A152:L152"/>
    <mergeCell ref="C73:L73"/>
    <mergeCell ref="A115:L115"/>
    <mergeCell ref="A155:L155"/>
    <mergeCell ref="C147:L147"/>
    <mergeCell ref="C35:L35"/>
    <mergeCell ref="A44:L44"/>
    <mergeCell ref="C113:L113"/>
    <mergeCell ref="A67:L67"/>
    <mergeCell ref="E27:L27"/>
    <mergeCell ref="C10:L10"/>
    <mergeCell ref="C112:L112"/>
    <mergeCell ref="E26:L26"/>
    <mergeCell ref="C146:L146"/>
    <mergeCell ref="A157:L157"/>
    <mergeCell ref="C9:L9"/>
    <mergeCell ref="E25:L25"/>
    <mergeCell ref="A1:L1"/>
    <mergeCell ref="C148:L148"/>
    <mergeCell ref="A61:L61"/>
    <mergeCell ref="C12:L12"/>
    <mergeCell ref="E22:L22"/>
    <mergeCell ref="A153:L153"/>
    <mergeCell ref="C11:L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Estudio Financiero - Leche Pasteurizada Pura</dc:title>
  <dcterms:created xmlns:dcterms="http://purl.org/dc/terms/" xmlns:xsi="http://www.w3.org/2001/XMLSchema-instance" xsi:type="dcterms:W3CDTF">2026-07-10T21:00:40Z</dcterms:created>
  <dcterms:modified xmlns:dcterms="http://purl.org/dc/terms/" xmlns:xsi="http://www.w3.org/2001/XMLSchema-instance" xsi:type="dcterms:W3CDTF">2026-07-10T21:00:41Z</dcterms:modified>
</cp:coreProperties>
</file>