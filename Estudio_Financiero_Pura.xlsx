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udio Financiero" sheetId="1" state="visible" r:id="rId1"/>
    <sheet name="Corre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1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PRODUCTORA DE LECHE PASTEURIZADA «PURA» — Flujo de Caja del Proyecto</t>
        </is>
      </c>
    </row>
    <row r="2">
      <c r="A2" s="2" t="inlineStr">
        <is>
          <t>Estudio financiero conforme a la normativa de Honduras · cifras en Lempiras · toda celda de resultado es fórmula</t>
        </is>
      </c>
    </row>
    <row r="4">
      <c r="A4" s="3" t="inlineStr">
        <is>
          <t>SUPUESTOS BASE DEL PROYECTO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(sobre renta &gt; umbral)</t>
        </is>
      </c>
      <c r="B7" s="7" t="n">
        <v>0.05</v>
      </c>
    </row>
    <row r="8">
      <c r="A8" s="6" t="inlineStr">
        <is>
          <t>Umbral aportación solidaria (Lps)</t>
        </is>
      </c>
      <c r="B8" s="8" t="n">
        <v>1000000</v>
      </c>
    </row>
    <row r="9">
      <c r="A9" s="6" t="inlineStr">
        <is>
          <t>Tasa de interés del préstamo (anual)</t>
        </is>
      </c>
      <c r="B9" s="7" t="n">
        <v>0.14</v>
      </c>
    </row>
    <row r="10">
      <c r="A10" s="6" t="inlineStr">
        <is>
          <t>Porcentaje financiado con préstamo</t>
        </is>
      </c>
      <c r="B10" s="7" t="n">
        <v>0.5</v>
      </c>
    </row>
    <row r="11">
      <c r="A11" s="6" t="inlineStr">
        <is>
          <t>Inflación anual</t>
        </is>
      </c>
      <c r="B11" s="7" t="n">
        <v>0.045</v>
      </c>
    </row>
    <row r="12">
      <c r="A12" s="6" t="inlineStr">
        <is>
          <t>Tasa de descuento anual (rendimiento mínimo)</t>
        </is>
      </c>
      <c r="B12" s="7" t="n">
        <v>0.15</v>
      </c>
    </row>
    <row r="13">
      <c r="A13" s="6" t="inlineStr">
        <is>
          <t>Costo de leche cruda (Lps/litro)</t>
        </is>
      </c>
      <c r="B13" s="8" t="n">
        <v>13</v>
      </c>
    </row>
    <row r="14">
      <c r="A14" s="6" t="inlineStr">
        <is>
          <t>Merma de proceso</t>
        </is>
      </c>
      <c r="B14" s="7" t="n">
        <v>0.03</v>
      </c>
    </row>
    <row r="15">
      <c r="A15" s="6" t="inlineStr">
        <is>
          <t>Costo de empaque (Lps/litro)</t>
        </is>
      </c>
      <c r="B15" s="9">
        <f>26000/30000</f>
        <v/>
      </c>
    </row>
    <row r="16">
      <c r="A16" s="6" t="inlineStr">
        <is>
          <t>Costo de combustible de reparto (Lps/litro)</t>
        </is>
      </c>
      <c r="B16" s="9">
        <f>26000/30000</f>
        <v/>
      </c>
    </row>
    <row r="17">
      <c r="A17" s="6" t="inlineStr">
        <is>
          <t>Meses de salario al año (12 + aguinaldo + catorceavo)</t>
        </is>
      </c>
      <c r="B17" s="10" t="n">
        <v>14</v>
      </c>
    </row>
    <row r="18">
      <c r="A18" s="6" t="inlineStr">
        <is>
          <t>Aporte patronal con techo (IHSS EM 2.5%+IVM 1%+RP 0.2%+RAP 1.5%)</t>
        </is>
      </c>
      <c r="B18" s="7" t="n">
        <v>0.052</v>
      </c>
    </row>
    <row r="19">
      <c r="A19" s="6" t="inlineStr">
        <is>
          <t>INFOP patronal (sobre planilla total, sin techo)</t>
        </is>
      </c>
      <c r="B19" s="7" t="n">
        <v>0.01</v>
      </c>
    </row>
    <row r="20">
      <c r="A20" s="6" t="inlineStr">
        <is>
          <t>Techo mensual de cotización IHSS/RAP (Lps)</t>
        </is>
      </c>
      <c r="B20" s="11" t="n">
        <v>11903.13</v>
      </c>
    </row>
    <row r="21">
      <c r="A21" s="6" t="inlineStr">
        <is>
          <t>Costos fijos operativos (mensual)</t>
        </is>
      </c>
      <c r="B21" s="8" t="n">
        <v>28000</v>
      </c>
    </row>
    <row r="22">
      <c r="A22" s="6" t="inlineStr">
        <is>
          <t>Gastos administrativos (mensual)</t>
        </is>
      </c>
      <c r="B22" s="8" t="n">
        <v>21600</v>
      </c>
    </row>
    <row r="23">
      <c r="A23" s="6" t="inlineStr">
        <is>
          <t>Meses de capital de trabajo</t>
        </is>
      </c>
      <c r="B23" s="10" t="n">
        <v>2</v>
      </c>
    </row>
    <row r="25">
      <c r="A25" s="3" t="inlineStr">
        <is>
          <t>1. PLAN DE INVERSIONES Y FINANCIAMIENTO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s="3" t="inlineStr">
        <is>
          <t>Activo</t>
        </is>
      </c>
      <c r="B26" s="5" t="inlineStr">
        <is>
          <t>Valor</t>
        </is>
      </c>
      <c r="C26" s="5" t="inlineStr">
        <is>
          <t>Recursos propios</t>
        </is>
      </c>
      <c r="D26" s="5" t="inlineStr">
        <is>
          <t>Préstamo</t>
        </is>
      </c>
      <c r="E26" s="5" t="inlineStr">
        <is>
          <t>Vida (años)</t>
        </is>
      </c>
      <c r="F26" s="5" t="inlineStr">
        <is>
          <t>Depreciable</t>
        </is>
      </c>
      <c r="G26" s="4" t="n"/>
      <c r="H26" s="4" t="n"/>
      <c r="I26" s="4" t="n"/>
      <c r="J26" s="4" t="n"/>
      <c r="K26" s="4" t="n"/>
      <c r="L26" s="4" t="n"/>
    </row>
    <row r="27">
      <c r="A27" s="6" t="inlineStr">
        <is>
          <t>Tanques de almacenamiento</t>
        </is>
      </c>
      <c r="B27" s="12" t="n">
        <v>360000</v>
      </c>
      <c r="C27" s="12">
        <f>B27-D27</f>
        <v/>
      </c>
      <c r="D27" s="12">
        <f>B27*$B$10</f>
        <v/>
      </c>
      <c r="E27" s="13" t="n">
        <v>10</v>
      </c>
      <c r="F27" s="13" t="inlineStr">
        <is>
          <t>Sí</t>
        </is>
      </c>
      <c r="G27" s="14" t="n"/>
      <c r="H27" s="14" t="n"/>
      <c r="I27" s="14" t="n"/>
      <c r="J27" s="14" t="n"/>
      <c r="K27" s="14" t="n"/>
      <c r="L27" s="14" t="n"/>
    </row>
    <row r="28">
      <c r="A28" s="6" t="inlineStr">
        <is>
          <t>Pasteurizador HTST</t>
        </is>
      </c>
      <c r="B28" s="12" t="n">
        <v>150000</v>
      </c>
      <c r="C28" s="12">
        <f>B28-D28</f>
        <v/>
      </c>
      <c r="D28" s="12">
        <f>B28*$B$10</f>
        <v/>
      </c>
      <c r="E28" s="13" t="n">
        <v>10</v>
      </c>
      <c r="F28" s="13" t="inlineStr">
        <is>
          <t>Sí</t>
        </is>
      </c>
      <c r="G28" s="14" t="n"/>
      <c r="H28" s="14" t="n"/>
      <c r="I28" s="14" t="n"/>
      <c r="J28" s="14" t="n"/>
      <c r="K28" s="14" t="n"/>
      <c r="L28" s="14" t="n"/>
    </row>
    <row r="29">
      <c r="A29" s="6" t="inlineStr">
        <is>
          <t>Envasadora automática</t>
        </is>
      </c>
      <c r="B29" s="12" t="n">
        <v>260000</v>
      </c>
      <c r="C29" s="12">
        <f>B29-D29</f>
        <v/>
      </c>
      <c r="D29" s="12">
        <f>B29*$B$10</f>
        <v/>
      </c>
      <c r="E29" s="13" t="n">
        <v>10</v>
      </c>
      <c r="F29" s="13" t="inlineStr">
        <is>
          <t>Sí</t>
        </is>
      </c>
      <c r="G29" s="14" t="n"/>
      <c r="H29" s="14" t="n"/>
      <c r="I29" s="14" t="n"/>
      <c r="J29" s="14" t="n"/>
      <c r="K29" s="14" t="n"/>
      <c r="L29" s="14" t="n"/>
    </row>
    <row r="30">
      <c r="A30" s="6" t="inlineStr">
        <is>
          <t>Sistema de enfriamiento</t>
        </is>
      </c>
      <c r="B30" s="12" t="n">
        <v>125000</v>
      </c>
      <c r="C30" s="12">
        <f>B30-D30</f>
        <v/>
      </c>
      <c r="D30" s="12">
        <f>B30*$B$10</f>
        <v/>
      </c>
      <c r="E30" s="13" t="n">
        <v>10</v>
      </c>
      <c r="F30" s="13" t="inlineStr">
        <is>
          <t>Sí</t>
        </is>
      </c>
      <c r="G30" s="14" t="n"/>
      <c r="H30" s="14" t="n"/>
      <c r="I30" s="14" t="n"/>
      <c r="J30" s="14" t="n"/>
      <c r="K30" s="14" t="n"/>
      <c r="L30" s="14" t="n"/>
    </row>
    <row r="31">
      <c r="A31" s="6" t="inlineStr">
        <is>
          <t>Camión de distribución</t>
        </is>
      </c>
      <c r="B31" s="12" t="n">
        <v>500000</v>
      </c>
      <c r="C31" s="12">
        <f>B31-D31</f>
        <v/>
      </c>
      <c r="D31" s="12">
        <f>B31*$B$10</f>
        <v/>
      </c>
      <c r="E31" s="13" t="n">
        <v>5</v>
      </c>
      <c r="F31" s="13" t="inlineStr">
        <is>
          <t>Sí</t>
        </is>
      </c>
      <c r="G31" s="14" t="n"/>
      <c r="H31" s="14" t="n"/>
      <c r="I31" s="14" t="n"/>
      <c r="J31" s="14" t="n"/>
      <c r="K31" s="14" t="n"/>
      <c r="L31" s="14" t="n"/>
    </row>
    <row r="32">
      <c r="A32" s="6" t="inlineStr">
        <is>
          <t>Gastos diferidos (preoperativos + legales)</t>
        </is>
      </c>
      <c r="B32" s="12" t="n">
        <v>76000</v>
      </c>
      <c r="C32" s="12">
        <f>B32-D32</f>
        <v/>
      </c>
      <c r="D32" s="12">
        <f>B32*$B$10</f>
        <v/>
      </c>
      <c r="E32" s="13" t="n">
        <v>5</v>
      </c>
      <c r="F32" s="13" t="inlineStr">
        <is>
          <t>Amortizable</t>
        </is>
      </c>
      <c r="G32" s="14" t="n"/>
      <c r="H32" s="14" t="n"/>
      <c r="I32" s="14" t="n"/>
      <c r="J32" s="14" t="n"/>
      <c r="K32" s="14" t="n"/>
      <c r="L32" s="14" t="n"/>
    </row>
    <row r="33">
      <c r="A33" s="6" t="inlineStr">
        <is>
          <t>Capital de trabajo inicial</t>
        </is>
      </c>
      <c r="B33" s="12">
        <f>B83</f>
        <v/>
      </c>
      <c r="C33" s="12">
        <f>B33-D33</f>
        <v/>
      </c>
      <c r="D33" s="12">
        <f>B33*$B$10</f>
        <v/>
      </c>
      <c r="E33" s="13" t="inlineStr">
        <is>
          <t>-</t>
        </is>
      </c>
      <c r="F33" s="13" t="inlineStr">
        <is>
          <t>No</t>
        </is>
      </c>
      <c r="G33" s="14" t="n"/>
      <c r="H33" s="14" t="n"/>
      <c r="I33" s="14" t="n"/>
      <c r="J33" s="14" t="n"/>
      <c r="K33" s="14" t="n"/>
      <c r="L33" s="14" t="n"/>
    </row>
    <row r="34">
      <c r="A34" s="15" t="inlineStr">
        <is>
          <t>TOTAL INVERSIONES</t>
        </is>
      </c>
      <c r="B34" s="16">
        <f>SUM(B27:B33)</f>
        <v/>
      </c>
      <c r="C34" s="16">
        <f>SUM(C27:C33)</f>
        <v/>
      </c>
      <c r="D34" s="16">
        <f>SUM(D27:D33)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</row>
    <row r="36">
      <c r="A36" s="3" t="inlineStr">
        <is>
          <t>2. PRODUCCIÓN Y VENTAS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s="3" t="inlineStr">
        <is>
          <t>Concepto</t>
        </is>
      </c>
      <c r="B37" s="5" t="inlineStr">
        <is>
          <t>Año 0</t>
        </is>
      </c>
      <c r="C37" s="5" t="inlineStr">
        <is>
          <t>Año 1</t>
        </is>
      </c>
      <c r="D37" s="5" t="inlineStr">
        <is>
          <t>Año 2</t>
        </is>
      </c>
      <c r="E37" s="5" t="inlineStr">
        <is>
          <t>Año 3</t>
        </is>
      </c>
      <c r="F37" s="5" t="inlineStr">
        <is>
          <t>Año 4</t>
        </is>
      </c>
      <c r="G37" s="5" t="inlineStr">
        <is>
          <t>Año 5</t>
        </is>
      </c>
      <c r="H37" s="5" t="inlineStr">
        <is>
          <t>Año 6</t>
        </is>
      </c>
      <c r="I37" s="5" t="inlineStr">
        <is>
          <t>Año 7</t>
        </is>
      </c>
      <c r="J37" s="5" t="inlineStr">
        <is>
          <t>Año 8</t>
        </is>
      </c>
      <c r="K37" s="5" t="inlineStr">
        <is>
          <t>Año 9</t>
        </is>
      </c>
      <c r="L37" s="5" t="inlineStr">
        <is>
          <t>Año 10</t>
        </is>
      </c>
    </row>
    <row r="38">
      <c r="A38" s="6" t="inlineStr">
        <is>
          <t>Clientes activos</t>
        </is>
      </c>
      <c r="B38" s="12" t="n">
        <v>0</v>
      </c>
      <c r="C38" s="12" t="n">
        <v>15</v>
      </c>
      <c r="D38" s="12" t="n">
        <v>20</v>
      </c>
      <c r="E38" s="12" t="n">
        <v>25</v>
      </c>
      <c r="F38" s="12" t="n">
        <v>30</v>
      </c>
      <c r="G38" s="12" t="n">
        <v>35</v>
      </c>
      <c r="H38" s="12" t="n">
        <v>40</v>
      </c>
      <c r="I38" s="12" t="n">
        <v>45</v>
      </c>
      <c r="J38" s="12" t="n">
        <v>50</v>
      </c>
      <c r="K38" s="12" t="n">
        <v>55</v>
      </c>
      <c r="L38" s="12" t="n">
        <v>60</v>
      </c>
    </row>
    <row r="39">
      <c r="A39" s="6" t="inlineStr">
        <is>
          <t>Volumen anual (litros)</t>
        </is>
      </c>
      <c r="B39" s="12" t="n">
        <v>0</v>
      </c>
      <c r="C39" s="12" t="n">
        <v>28000</v>
      </c>
      <c r="D39" s="12" t="n">
        <v>46000</v>
      </c>
      <c r="E39" s="12" t="n">
        <v>74000</v>
      </c>
      <c r="F39" s="12" t="n">
        <v>118000</v>
      </c>
      <c r="G39" s="12" t="n">
        <v>188000</v>
      </c>
      <c r="H39" s="12" t="n">
        <v>300000</v>
      </c>
      <c r="I39" s="12" t="n">
        <v>480000</v>
      </c>
      <c r="J39" s="12" t="n">
        <v>760000</v>
      </c>
      <c r="K39" s="12" t="n">
        <v>1200000</v>
      </c>
      <c r="L39" s="12" t="n">
        <v>1900000</v>
      </c>
    </row>
    <row r="40">
      <c r="A40" s="6" t="inlineStr">
        <is>
          <t>Precio de venta (Lps/litro)</t>
        </is>
      </c>
      <c r="B40" s="12" t="n">
        <v>0</v>
      </c>
      <c r="C40" s="12" t="n">
        <v>28</v>
      </c>
      <c r="D40" s="12" t="n">
        <v>29</v>
      </c>
      <c r="E40" s="12" t="n">
        <v>30</v>
      </c>
      <c r="F40" s="12" t="n">
        <v>31</v>
      </c>
      <c r="G40" s="12" t="n">
        <v>32</v>
      </c>
      <c r="H40" s="12" t="n">
        <v>33</v>
      </c>
      <c r="I40" s="12" t="n">
        <v>34</v>
      </c>
      <c r="J40" s="12" t="n">
        <v>35</v>
      </c>
      <c r="K40" s="12" t="n">
        <v>36</v>
      </c>
      <c r="L40" s="12" t="n">
        <v>37</v>
      </c>
    </row>
    <row r="41">
      <c r="A41" s="15" t="inlineStr">
        <is>
          <t>INGRESOS POR VENTAS  (= volumen × precio; leche exenta de ISV)</t>
        </is>
      </c>
      <c r="B41" s="16">
        <f>B39*B40</f>
        <v/>
      </c>
      <c r="C41" s="16">
        <f>C39*C40</f>
        <v/>
      </c>
      <c r="D41" s="16">
        <f>D39*D40</f>
        <v/>
      </c>
      <c r="E41" s="16">
        <f>E39*E40</f>
        <v/>
      </c>
      <c r="F41" s="16">
        <f>F39*F40</f>
        <v/>
      </c>
      <c r="G41" s="16">
        <f>G39*G40</f>
        <v/>
      </c>
      <c r="H41" s="16">
        <f>H39*H40</f>
        <v/>
      </c>
      <c r="I41" s="16">
        <f>I39*I40</f>
        <v/>
      </c>
      <c r="J41" s="16">
        <f>J39*J40</f>
        <v/>
      </c>
      <c r="K41" s="16">
        <f>K39*K40</f>
        <v/>
      </c>
      <c r="L41" s="16">
        <f>L39*L40</f>
        <v/>
      </c>
    </row>
    <row r="43">
      <c r="A43" s="3" t="inlineStr">
        <is>
          <t>3. COSTOS VARIABLES  (= litros × costo unitario × inflación)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>
      <c r="A44" s="3" t="inlineStr">
        <is>
          <t>Concepto</t>
        </is>
      </c>
      <c r="B44" s="5" t="inlineStr">
        <is>
          <t>Año 0</t>
        </is>
      </c>
      <c r="C44" s="5" t="inlineStr">
        <is>
          <t>Año 1</t>
        </is>
      </c>
      <c r="D44" s="5" t="inlineStr">
        <is>
          <t>Año 2</t>
        </is>
      </c>
      <c r="E44" s="5" t="inlineStr">
        <is>
          <t>Año 3</t>
        </is>
      </c>
      <c r="F44" s="5" t="inlineStr">
        <is>
          <t>Año 4</t>
        </is>
      </c>
      <c r="G44" s="5" t="inlineStr">
        <is>
          <t>Año 5</t>
        </is>
      </c>
      <c r="H44" s="5" t="inlineStr">
        <is>
          <t>Año 6</t>
        </is>
      </c>
      <c r="I44" s="5" t="inlineStr">
        <is>
          <t>Año 7</t>
        </is>
      </c>
      <c r="J44" s="5" t="inlineStr">
        <is>
          <t>Año 8</t>
        </is>
      </c>
      <c r="K44" s="5" t="inlineStr">
        <is>
          <t>Año 9</t>
        </is>
      </c>
      <c r="L44" s="5" t="inlineStr">
        <is>
          <t>Año 10</t>
        </is>
      </c>
    </row>
    <row r="45">
      <c r="A45" s="6" t="inlineStr">
        <is>
          <t>Leche cruda (con merma)</t>
        </is>
      </c>
      <c r="B45" s="12" t="n">
        <v>0</v>
      </c>
      <c r="C45" s="12">
        <f>C39*$B$13/(1-$B$14)*(1+$B$11)^1</f>
        <v/>
      </c>
      <c r="D45" s="12">
        <f>D39*$B$13/(1-$B$14)*(1+$B$11)^2</f>
        <v/>
      </c>
      <c r="E45" s="12">
        <f>E39*$B$13/(1-$B$14)*(1+$B$11)^3</f>
        <v/>
      </c>
      <c r="F45" s="12">
        <f>F39*$B$13/(1-$B$14)*(1+$B$11)^4</f>
        <v/>
      </c>
      <c r="G45" s="12">
        <f>G39*$B$13/(1-$B$14)*(1+$B$11)^5</f>
        <v/>
      </c>
      <c r="H45" s="12">
        <f>H39*$B$13/(1-$B$14)*(1+$B$11)^6</f>
        <v/>
      </c>
      <c r="I45" s="12">
        <f>I39*$B$13/(1-$B$14)*(1+$B$11)^7</f>
        <v/>
      </c>
      <c r="J45" s="12">
        <f>J39*$B$13/(1-$B$14)*(1+$B$11)^8</f>
        <v/>
      </c>
      <c r="K45" s="12">
        <f>K39*$B$13/(1-$B$14)*(1+$B$11)^9</f>
        <v/>
      </c>
      <c r="L45" s="12">
        <f>L39*$B$13/(1-$B$14)*(1+$B$11)^10</f>
        <v/>
      </c>
    </row>
    <row r="46">
      <c r="A46" s="6" t="inlineStr">
        <is>
          <t>Empaque (bolsas)</t>
        </is>
      </c>
      <c r="B46" s="12" t="n">
        <v>0</v>
      </c>
      <c r="C46" s="12">
        <f>C39*$B$15*(1+$B$11)^1</f>
        <v/>
      </c>
      <c r="D46" s="12">
        <f>D39*$B$15*(1+$B$11)^2</f>
        <v/>
      </c>
      <c r="E46" s="12">
        <f>E39*$B$15*(1+$B$11)^3</f>
        <v/>
      </c>
      <c r="F46" s="12">
        <f>F39*$B$15*(1+$B$11)^4</f>
        <v/>
      </c>
      <c r="G46" s="12">
        <f>G39*$B$15*(1+$B$11)^5</f>
        <v/>
      </c>
      <c r="H46" s="12">
        <f>H39*$B$15*(1+$B$11)^6</f>
        <v/>
      </c>
      <c r="I46" s="12">
        <f>I39*$B$15*(1+$B$11)^7</f>
        <v/>
      </c>
      <c r="J46" s="12">
        <f>J39*$B$15*(1+$B$11)^8</f>
        <v/>
      </c>
      <c r="K46" s="12">
        <f>K39*$B$15*(1+$B$11)^9</f>
        <v/>
      </c>
      <c r="L46" s="12">
        <f>L39*$B$15*(1+$B$11)^10</f>
        <v/>
      </c>
    </row>
    <row r="47">
      <c r="A47" s="6" t="inlineStr">
        <is>
          <t>Combustible de reparto</t>
        </is>
      </c>
      <c r="B47" s="12" t="n">
        <v>0</v>
      </c>
      <c r="C47" s="12">
        <f>C39*$B$16*(1+$B$11)^1</f>
        <v/>
      </c>
      <c r="D47" s="12">
        <f>D39*$B$16*(1+$B$11)^2</f>
        <v/>
      </c>
      <c r="E47" s="12">
        <f>E39*$B$16*(1+$B$11)^3</f>
        <v/>
      </c>
      <c r="F47" s="12">
        <f>F39*$B$16*(1+$B$11)^4</f>
        <v/>
      </c>
      <c r="G47" s="12">
        <f>G39*$B$16*(1+$B$11)^5</f>
        <v/>
      </c>
      <c r="H47" s="12">
        <f>H39*$B$16*(1+$B$11)^6</f>
        <v/>
      </c>
      <c r="I47" s="12">
        <f>I39*$B$16*(1+$B$11)^7</f>
        <v/>
      </c>
      <c r="J47" s="12">
        <f>J39*$B$16*(1+$B$11)^8</f>
        <v/>
      </c>
      <c r="K47" s="12">
        <f>K39*$B$16*(1+$B$11)^9</f>
        <v/>
      </c>
      <c r="L47" s="12">
        <f>L39*$B$16*(1+$B$11)^10</f>
        <v/>
      </c>
    </row>
    <row r="48">
      <c r="A48" s="15" t="inlineStr">
        <is>
          <t>TOTAL COSTOS VARIABLES</t>
        </is>
      </c>
      <c r="B48" s="16">
        <f>SUM(B45:B47)</f>
        <v/>
      </c>
      <c r="C48" s="16">
        <f>SUM(C45:C47)</f>
        <v/>
      </c>
      <c r="D48" s="16">
        <f>SUM(D45:D47)</f>
        <v/>
      </c>
      <c r="E48" s="16">
        <f>SUM(E45:E47)</f>
        <v/>
      </c>
      <c r="F48" s="16">
        <f>SUM(F45:F47)</f>
        <v/>
      </c>
      <c r="G48" s="16">
        <f>SUM(G45:G47)</f>
        <v/>
      </c>
      <c r="H48" s="16">
        <f>SUM(H45:H47)</f>
        <v/>
      </c>
      <c r="I48" s="16">
        <f>SUM(I45:I47)</f>
        <v/>
      </c>
      <c r="J48" s="16">
        <f>SUM(J45:J47)</f>
        <v/>
      </c>
      <c r="K48" s="16">
        <f>SUM(K45:K47)</f>
        <v/>
      </c>
      <c r="L48" s="16">
        <f>SUM(L45:L47)</f>
        <v/>
      </c>
    </row>
    <row r="50">
      <c r="A50" s="3" t="inlineStr">
        <is>
          <t>4. COSTO DE PERSONAL  (con prestaciones y seguridad social de ley)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>
      <c r="A51" s="3" t="inlineStr">
        <is>
          <t>Cargo</t>
        </is>
      </c>
      <c r="B51" s="5" t="inlineStr">
        <is>
          <t>Salario mensual</t>
        </is>
      </c>
      <c r="C51" s="5" t="inlineStr">
        <is>
          <t>Base cotizable (con techo)</t>
        </is>
      </c>
      <c r="D51" s="18" t="inlineStr"/>
      <c r="E51" s="4" t="n"/>
      <c r="F51" s="4" t="n"/>
      <c r="G51" s="4" t="n"/>
      <c r="H51" s="4" t="n"/>
      <c r="I51" s="4" t="n"/>
      <c r="J51" s="4" t="n"/>
      <c r="K51" s="4" t="n"/>
      <c r="L51" s="4" t="n"/>
    </row>
    <row r="52">
      <c r="A52" s="6" t="inlineStr">
        <is>
          <t>Gerente de operaciones</t>
        </is>
      </c>
      <c r="B52" s="12" t="n">
        <v>25000</v>
      </c>
      <c r="C52" s="12">
        <f>MIN(B52,$B$20)</f>
        <v/>
      </c>
      <c r="D52" s="19" t="inlineStr"/>
      <c r="E52" s="14" t="n"/>
      <c r="F52" s="14" t="n"/>
      <c r="G52" s="14" t="n"/>
      <c r="H52" s="14" t="n"/>
      <c r="I52" s="14" t="n"/>
      <c r="J52" s="14" t="n"/>
      <c r="K52" s="14" t="n"/>
      <c r="L52" s="14" t="n"/>
    </row>
    <row r="53">
      <c r="A53" s="6" t="inlineStr">
        <is>
          <t>Asistente de televenta y facturación</t>
        </is>
      </c>
      <c r="B53" s="12" t="n">
        <v>17000</v>
      </c>
      <c r="C53" s="12">
        <f>MIN(B53,$B$20)</f>
        <v/>
      </c>
      <c r="D53" s="19" t="inlineStr"/>
      <c r="E53" s="14" t="n"/>
      <c r="F53" s="14" t="n"/>
      <c r="G53" s="14" t="n"/>
      <c r="H53" s="14" t="n"/>
      <c r="I53" s="14" t="n"/>
      <c r="J53" s="14" t="n"/>
      <c r="K53" s="14" t="n"/>
      <c r="L53" s="14" t="n"/>
    </row>
    <row r="54">
      <c r="A54" s="6" t="inlineStr">
        <is>
          <t>Operador de recibo y despacho</t>
        </is>
      </c>
      <c r="B54" s="12" t="n">
        <v>11300</v>
      </c>
      <c r="C54" s="12">
        <f>MIN(B54,$B$20)</f>
        <v/>
      </c>
      <c r="D54" s="19" t="inlineStr"/>
      <c r="E54" s="14" t="n"/>
      <c r="F54" s="14" t="n"/>
      <c r="G54" s="14" t="n"/>
      <c r="H54" s="14" t="n"/>
      <c r="I54" s="14" t="n"/>
      <c r="J54" s="14" t="n"/>
      <c r="K54" s="14" t="n"/>
      <c r="L54" s="14" t="n"/>
    </row>
    <row r="55">
      <c r="A55" s="6" t="inlineStr">
        <is>
          <t>Operador de pasteurización y empaque</t>
        </is>
      </c>
      <c r="B55" s="12" t="n">
        <v>11300</v>
      </c>
      <c r="C55" s="12">
        <f>MIN(B55,$B$20)</f>
        <v/>
      </c>
      <c r="D55" s="19" t="inlineStr"/>
      <c r="E55" s="14" t="n"/>
      <c r="F55" s="14" t="n"/>
      <c r="G55" s="14" t="n"/>
      <c r="H55" s="14" t="n"/>
      <c r="I55" s="14" t="n"/>
      <c r="J55" s="14" t="n"/>
      <c r="K55" s="14" t="n"/>
      <c r="L55" s="14" t="n"/>
    </row>
    <row r="56">
      <c r="A56" s="6" t="inlineStr">
        <is>
          <t>Operador de mantenimiento y aseo</t>
        </is>
      </c>
      <c r="B56" s="12" t="n">
        <v>14000</v>
      </c>
      <c r="C56" s="12">
        <f>MIN(B56,$B$20)</f>
        <v/>
      </c>
      <c r="D56" s="19" t="inlineStr"/>
      <c r="E56" s="14" t="n"/>
      <c r="F56" s="14" t="n"/>
      <c r="G56" s="14" t="n"/>
      <c r="H56" s="14" t="n"/>
      <c r="I56" s="14" t="n"/>
      <c r="J56" s="14" t="n"/>
      <c r="K56" s="14" t="n"/>
      <c r="L56" s="14" t="n"/>
    </row>
    <row r="57">
      <c r="A57" s="6" t="inlineStr">
        <is>
          <t>Entregador</t>
        </is>
      </c>
      <c r="B57" s="12" t="n">
        <v>14000</v>
      </c>
      <c r="C57" s="12">
        <f>MIN(B57,$B$20)</f>
        <v/>
      </c>
      <c r="D57" s="19" t="inlineStr"/>
      <c r="E57" s="14" t="n"/>
      <c r="F57" s="14" t="n"/>
      <c r="G57" s="14" t="n"/>
      <c r="H57" s="14" t="n"/>
      <c r="I57" s="14" t="n"/>
      <c r="J57" s="14" t="n"/>
      <c r="K57" s="14" t="n"/>
      <c r="L57" s="14" t="n"/>
    </row>
    <row r="58">
      <c r="A58" s="15" t="inlineStr">
        <is>
          <t>Planilla mensual total  /  base cotizable total</t>
        </is>
      </c>
      <c r="B58" s="16">
        <f>SUM(B52:B57)</f>
        <v/>
      </c>
      <c r="C58" s="16">
        <f>SUM(C52:C57)</f>
        <v/>
      </c>
      <c r="D58" s="20" t="inlineStr"/>
      <c r="E58" s="17" t="n"/>
      <c r="F58" s="17" t="n"/>
      <c r="G58" s="17" t="n"/>
      <c r="H58" s="17" t="n"/>
      <c r="I58" s="17" t="n"/>
      <c r="J58" s="17" t="n"/>
      <c r="K58" s="17" t="n"/>
      <c r="L58" s="17" t="n"/>
    </row>
    <row r="59">
      <c r="A59" s="6" t="inlineStr">
        <is>
          <t>Cargas patronales mensuales  (base cotizable × 5.2% + planilla × 1% INFOP)</t>
        </is>
      </c>
      <c r="B59" s="12">
        <f>C58*$B$18+B58*$B$19</f>
        <v/>
      </c>
      <c r="C59" s="19" t="inlineStr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</row>
    <row r="60">
      <c r="A60" s="3" t="inlineStr">
        <is>
          <t>Concepto</t>
        </is>
      </c>
      <c r="B60" s="5" t="inlineStr">
        <is>
          <t>Año 0</t>
        </is>
      </c>
      <c r="C60" s="5" t="inlineStr">
        <is>
          <t>Año 1</t>
        </is>
      </c>
      <c r="D60" s="5" t="inlineStr">
        <is>
          <t>Año 2</t>
        </is>
      </c>
      <c r="E60" s="5" t="inlineStr">
        <is>
          <t>Año 3</t>
        </is>
      </c>
      <c r="F60" s="5" t="inlineStr">
        <is>
          <t>Año 4</t>
        </is>
      </c>
      <c r="G60" s="5" t="inlineStr">
        <is>
          <t>Año 5</t>
        </is>
      </c>
      <c r="H60" s="5" t="inlineStr">
        <is>
          <t>Año 6</t>
        </is>
      </c>
      <c r="I60" s="5" t="inlineStr">
        <is>
          <t>Año 7</t>
        </is>
      </c>
      <c r="J60" s="5" t="inlineStr">
        <is>
          <t>Año 8</t>
        </is>
      </c>
      <c r="K60" s="5" t="inlineStr">
        <is>
          <t>Año 9</t>
        </is>
      </c>
      <c r="L60" s="5" t="inlineStr">
        <is>
          <t>Año 10</t>
        </is>
      </c>
    </row>
    <row r="61">
      <c r="A61" s="6" t="inlineStr">
        <is>
          <t>Costo anual de personal  (planilla × 14 meses + cargas patronales × 12)</t>
        </is>
      </c>
      <c r="B61" s="12" t="n">
        <v>0</v>
      </c>
      <c r="C61" s="12">
        <f>(B58*$B$17+B59*12)*(1+$B$11)^1</f>
        <v/>
      </c>
      <c r="D61" s="12">
        <f>(B58*$B$17+B59*12)*(1+$B$11)^2</f>
        <v/>
      </c>
      <c r="E61" s="12">
        <f>(B58*$B$17+B59*12)*(1+$B$11)^3</f>
        <v/>
      </c>
      <c r="F61" s="12">
        <f>(B58*$B$17+B59*12)*(1+$B$11)^4</f>
        <v/>
      </c>
      <c r="G61" s="12">
        <f>(B58*$B$17+B59*12)*(1+$B$11)^5</f>
        <v/>
      </c>
      <c r="H61" s="12">
        <f>(B58*$B$17+B59*12)*(1+$B$11)^6</f>
        <v/>
      </c>
      <c r="I61" s="12">
        <f>(B58*$B$17+B59*12)*(1+$B$11)^7</f>
        <v/>
      </c>
      <c r="J61" s="12">
        <f>(B58*$B$17+B59*12)*(1+$B$11)^8</f>
        <v/>
      </c>
      <c r="K61" s="12">
        <f>(B58*$B$17+B59*12)*(1+$B$11)^9</f>
        <v/>
      </c>
      <c r="L61" s="12">
        <f>(B58*$B$17+B59*12)*(1+$B$11)^10</f>
        <v/>
      </c>
    </row>
    <row r="63">
      <c r="A63" s="3" t="inlineStr">
        <is>
          <t>5. COSTOS FIJOS (anuales)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</row>
    <row r="64">
      <c r="A64" s="3" t="inlineStr">
        <is>
          <t>Concepto</t>
        </is>
      </c>
      <c r="B64" s="5" t="inlineStr">
        <is>
          <t>Año 0</t>
        </is>
      </c>
      <c r="C64" s="5" t="inlineStr">
        <is>
          <t>Año 1</t>
        </is>
      </c>
      <c r="D64" s="5" t="inlineStr">
        <is>
          <t>Año 2</t>
        </is>
      </c>
      <c r="E64" s="5" t="inlineStr">
        <is>
          <t>Año 3</t>
        </is>
      </c>
      <c r="F64" s="5" t="inlineStr">
        <is>
          <t>Año 4</t>
        </is>
      </c>
      <c r="G64" s="5" t="inlineStr">
        <is>
          <t>Año 5</t>
        </is>
      </c>
      <c r="H64" s="5" t="inlineStr">
        <is>
          <t>Año 6</t>
        </is>
      </c>
      <c r="I64" s="5" t="inlineStr">
        <is>
          <t>Año 7</t>
        </is>
      </c>
      <c r="J64" s="5" t="inlineStr">
        <is>
          <t>Año 8</t>
        </is>
      </c>
      <c r="K64" s="5" t="inlineStr">
        <is>
          <t>Año 9</t>
        </is>
      </c>
      <c r="L64" s="5" t="inlineStr">
        <is>
          <t>Año 10</t>
        </is>
      </c>
    </row>
    <row r="65">
      <c r="A65" s="6" t="inlineStr">
        <is>
          <t>Costos fijos operativos (mensual × 12 × inflación)</t>
        </is>
      </c>
      <c r="B65" s="12" t="n">
        <v>0</v>
      </c>
      <c r="C65" s="12">
        <f>$B$21*12*(1+$B$11)^1</f>
        <v/>
      </c>
      <c r="D65" s="12">
        <f>$B$21*12*(1+$B$11)^2</f>
        <v/>
      </c>
      <c r="E65" s="12">
        <f>$B$21*12*(1+$B$11)^3</f>
        <v/>
      </c>
      <c r="F65" s="12">
        <f>$B$21*12*(1+$B$11)^4</f>
        <v/>
      </c>
      <c r="G65" s="12">
        <f>$B$21*12*(1+$B$11)^5</f>
        <v/>
      </c>
      <c r="H65" s="12">
        <f>$B$21*12*(1+$B$11)^6</f>
        <v/>
      </c>
      <c r="I65" s="12">
        <f>$B$21*12*(1+$B$11)^7</f>
        <v/>
      </c>
      <c r="J65" s="12">
        <f>$B$21*12*(1+$B$11)^8</f>
        <v/>
      </c>
      <c r="K65" s="12">
        <f>$B$21*12*(1+$B$11)^9</f>
        <v/>
      </c>
      <c r="L65" s="12">
        <f>$B$21*12*(1+$B$11)^10</f>
        <v/>
      </c>
    </row>
    <row r="66">
      <c r="A66" s="6" t="inlineStr">
        <is>
          <t>Gastos administrativos (mensual × 12 × inflación)</t>
        </is>
      </c>
      <c r="B66" s="12" t="n">
        <v>0</v>
      </c>
      <c r="C66" s="12">
        <f>$B$22*12*(1+$B$11)^1</f>
        <v/>
      </c>
      <c r="D66" s="12">
        <f>$B$22*12*(1+$B$11)^2</f>
        <v/>
      </c>
      <c r="E66" s="12">
        <f>$B$22*12*(1+$B$11)^3</f>
        <v/>
      </c>
      <c r="F66" s="12">
        <f>$B$22*12*(1+$B$11)^4</f>
        <v/>
      </c>
      <c r="G66" s="12">
        <f>$B$22*12*(1+$B$11)^5</f>
        <v/>
      </c>
      <c r="H66" s="12">
        <f>$B$22*12*(1+$B$11)^6</f>
        <v/>
      </c>
      <c r="I66" s="12">
        <f>$B$22*12*(1+$B$11)^7</f>
        <v/>
      </c>
      <c r="J66" s="12">
        <f>$B$22*12*(1+$B$11)^8</f>
        <v/>
      </c>
      <c r="K66" s="12">
        <f>$B$22*12*(1+$B$11)^9</f>
        <v/>
      </c>
      <c r="L66" s="12">
        <f>$B$22*12*(1+$B$11)^10</f>
        <v/>
      </c>
    </row>
    <row r="67">
      <c r="A67" s="6" t="inlineStr">
        <is>
          <t>Personal (de la sección 4)</t>
        </is>
      </c>
      <c r="B67" s="12">
        <f>B61</f>
        <v/>
      </c>
      <c r="C67" s="12">
        <f>C61</f>
        <v/>
      </c>
      <c r="D67" s="12">
        <f>D61</f>
        <v/>
      </c>
      <c r="E67" s="12">
        <f>E61</f>
        <v/>
      </c>
      <c r="F67" s="12">
        <f>F61</f>
        <v/>
      </c>
      <c r="G67" s="12">
        <f>G61</f>
        <v/>
      </c>
      <c r="H67" s="12">
        <f>H61</f>
        <v/>
      </c>
      <c r="I67" s="12">
        <f>I61</f>
        <v/>
      </c>
      <c r="J67" s="12">
        <f>J61</f>
        <v/>
      </c>
      <c r="K67" s="12">
        <f>K61</f>
        <v/>
      </c>
      <c r="L67" s="12">
        <f>L61</f>
        <v/>
      </c>
    </row>
    <row r="68">
      <c r="A68" s="15" t="inlineStr">
        <is>
          <t>TOTAL COSTOS FIJOS</t>
        </is>
      </c>
      <c r="B68" s="16">
        <f>SUM(B65:B67)</f>
        <v/>
      </c>
      <c r="C68" s="16">
        <f>SUM(C65:C67)</f>
        <v/>
      </c>
      <c r="D68" s="16">
        <f>SUM(D65:D67)</f>
        <v/>
      </c>
      <c r="E68" s="16">
        <f>SUM(E65:E67)</f>
        <v/>
      </c>
      <c r="F68" s="16">
        <f>SUM(F65:F67)</f>
        <v/>
      </c>
      <c r="G68" s="16">
        <f>SUM(G65:G67)</f>
        <v/>
      </c>
      <c r="H68" s="16">
        <f>SUM(H65:H67)</f>
        <v/>
      </c>
      <c r="I68" s="16">
        <f>SUM(I65:I67)</f>
        <v/>
      </c>
      <c r="J68" s="16">
        <f>SUM(J65:J67)</f>
        <v/>
      </c>
      <c r="K68" s="16">
        <f>SUM(K65:K67)</f>
        <v/>
      </c>
      <c r="L68" s="16">
        <f>SUM(L65:L67)</f>
        <v/>
      </c>
    </row>
    <row r="70">
      <c r="A70" s="3" t="inlineStr">
        <is>
          <t>6. DEPRECIACIONES Y AMORTIZACIONES  (línea recta = Valor ÷ Vida)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>
      <c r="A71" s="3" t="inlineStr">
        <is>
          <t>Activo</t>
        </is>
      </c>
      <c r="B71" s="5" t="inlineStr">
        <is>
          <t>Valor</t>
        </is>
      </c>
      <c r="C71" s="5" t="inlineStr">
        <is>
          <t>Año 1</t>
        </is>
      </c>
      <c r="D71" s="5" t="inlineStr">
        <is>
          <t>Año 2</t>
        </is>
      </c>
      <c r="E71" s="5" t="inlineStr">
        <is>
          <t>Año 3</t>
        </is>
      </c>
      <c r="F71" s="5" t="inlineStr">
        <is>
          <t>Año 4</t>
        </is>
      </c>
      <c r="G71" s="5" t="inlineStr">
        <is>
          <t>Año 5</t>
        </is>
      </c>
      <c r="H71" s="5" t="inlineStr">
        <is>
          <t>Año 6</t>
        </is>
      </c>
      <c r="I71" s="5" t="inlineStr">
        <is>
          <t>Año 7</t>
        </is>
      </c>
      <c r="J71" s="5" t="inlineStr">
        <is>
          <t>Año 8</t>
        </is>
      </c>
      <c r="K71" s="5" t="inlineStr">
        <is>
          <t>Año 9</t>
        </is>
      </c>
      <c r="L71" s="5" t="inlineStr">
        <is>
          <t>Año 10</t>
        </is>
      </c>
    </row>
    <row r="72">
      <c r="A72" s="6" t="inlineStr">
        <is>
          <t>Tanques de almacenamiento (10 años)</t>
        </is>
      </c>
      <c r="B72" s="12">
        <f>B27</f>
        <v/>
      </c>
      <c r="C72" s="12">
        <f>$B72/E27</f>
        <v/>
      </c>
      <c r="D72" s="12">
        <f>$B72/E27</f>
        <v/>
      </c>
      <c r="E72" s="12">
        <f>$B72/E27</f>
        <v/>
      </c>
      <c r="F72" s="12">
        <f>$B72/E27</f>
        <v/>
      </c>
      <c r="G72" s="12">
        <f>$B72/E27</f>
        <v/>
      </c>
      <c r="H72" s="12">
        <f>$B72/E27</f>
        <v/>
      </c>
      <c r="I72" s="12">
        <f>$B72/E27</f>
        <v/>
      </c>
      <c r="J72" s="12">
        <f>$B72/E27</f>
        <v/>
      </c>
      <c r="K72" s="12">
        <f>$B72/E27</f>
        <v/>
      </c>
      <c r="L72" s="12">
        <f>$B72/E27</f>
        <v/>
      </c>
    </row>
    <row r="73">
      <c r="A73" s="6" t="inlineStr">
        <is>
          <t>Pasteurizador HTST (10 años)</t>
        </is>
      </c>
      <c r="B73" s="12">
        <f>B28</f>
        <v/>
      </c>
      <c r="C73" s="12">
        <f>$B73/E28</f>
        <v/>
      </c>
      <c r="D73" s="12">
        <f>$B73/E28</f>
        <v/>
      </c>
      <c r="E73" s="12">
        <f>$B73/E28</f>
        <v/>
      </c>
      <c r="F73" s="12">
        <f>$B73/E28</f>
        <v/>
      </c>
      <c r="G73" s="12">
        <f>$B73/E28</f>
        <v/>
      </c>
      <c r="H73" s="12">
        <f>$B73/E28</f>
        <v/>
      </c>
      <c r="I73" s="12">
        <f>$B73/E28</f>
        <v/>
      </c>
      <c r="J73" s="12">
        <f>$B73/E28</f>
        <v/>
      </c>
      <c r="K73" s="12">
        <f>$B73/E28</f>
        <v/>
      </c>
      <c r="L73" s="12">
        <f>$B73/E28</f>
        <v/>
      </c>
    </row>
    <row r="74">
      <c r="A74" s="6" t="inlineStr">
        <is>
          <t>Envasadora automática (10 años)</t>
        </is>
      </c>
      <c r="B74" s="12">
        <f>B29</f>
        <v/>
      </c>
      <c r="C74" s="12">
        <f>$B74/E29</f>
        <v/>
      </c>
      <c r="D74" s="12">
        <f>$B74/E29</f>
        <v/>
      </c>
      <c r="E74" s="12">
        <f>$B74/E29</f>
        <v/>
      </c>
      <c r="F74" s="12">
        <f>$B74/E29</f>
        <v/>
      </c>
      <c r="G74" s="12">
        <f>$B74/E29</f>
        <v/>
      </c>
      <c r="H74" s="12">
        <f>$B74/E29</f>
        <v/>
      </c>
      <c r="I74" s="12">
        <f>$B74/E29</f>
        <v/>
      </c>
      <c r="J74" s="12">
        <f>$B74/E29</f>
        <v/>
      </c>
      <c r="K74" s="12">
        <f>$B74/E29</f>
        <v/>
      </c>
      <c r="L74" s="12">
        <f>$B74/E29</f>
        <v/>
      </c>
    </row>
    <row r="75">
      <c r="A75" s="6" t="inlineStr">
        <is>
          <t>Sistema de enfriamiento (10 años)</t>
        </is>
      </c>
      <c r="B75" s="12">
        <f>B30</f>
        <v/>
      </c>
      <c r="C75" s="12">
        <f>$B75/E30</f>
        <v/>
      </c>
      <c r="D75" s="12">
        <f>$B75/E30</f>
        <v/>
      </c>
      <c r="E75" s="12">
        <f>$B75/E30</f>
        <v/>
      </c>
      <c r="F75" s="12">
        <f>$B75/E30</f>
        <v/>
      </c>
      <c r="G75" s="12">
        <f>$B75/E30</f>
        <v/>
      </c>
      <c r="H75" s="12">
        <f>$B75/E30</f>
        <v/>
      </c>
      <c r="I75" s="12">
        <f>$B75/E30</f>
        <v/>
      </c>
      <c r="J75" s="12">
        <f>$B75/E30</f>
        <v/>
      </c>
      <c r="K75" s="12">
        <f>$B75/E30</f>
        <v/>
      </c>
      <c r="L75" s="12">
        <f>$B75/E30</f>
        <v/>
      </c>
    </row>
    <row r="76">
      <c r="A76" s="6" t="inlineStr">
        <is>
          <t>Camión de distribución (5 años)</t>
        </is>
      </c>
      <c r="B76" s="12">
        <f>B31</f>
        <v/>
      </c>
      <c r="C76" s="12">
        <f>$B76/E31</f>
        <v/>
      </c>
      <c r="D76" s="12">
        <f>$B76/E31</f>
        <v/>
      </c>
      <c r="E76" s="12">
        <f>$B76/E31</f>
        <v/>
      </c>
      <c r="F76" s="12">
        <f>$B76/E31</f>
        <v/>
      </c>
      <c r="G76" s="12">
        <f>$B76/E31</f>
        <v/>
      </c>
      <c r="H76" s="12" t="n">
        <v>0</v>
      </c>
      <c r="I76" s="12" t="n">
        <v>0</v>
      </c>
      <c r="J76" s="12" t="n">
        <v>0</v>
      </c>
      <c r="K76" s="12" t="n">
        <v>0</v>
      </c>
      <c r="L76" s="12" t="n">
        <v>0</v>
      </c>
    </row>
    <row r="77">
      <c r="A77" s="6" t="inlineStr">
        <is>
          <t>Amortización de diferidos (5 años)</t>
        </is>
      </c>
      <c r="B77" s="12">
        <f>B32</f>
        <v/>
      </c>
      <c r="C77" s="12">
        <f>$B77/E32</f>
        <v/>
      </c>
      <c r="D77" s="12">
        <f>$B77/E32</f>
        <v/>
      </c>
      <c r="E77" s="12">
        <f>$B77/E32</f>
        <v/>
      </c>
      <c r="F77" s="12">
        <f>$B77/E32</f>
        <v/>
      </c>
      <c r="G77" s="12">
        <f>$B77/E32</f>
        <v/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</row>
    <row r="78">
      <c r="A78" s="15" t="inlineStr">
        <is>
          <t>TOTAL DEPRECIACIÓN Y AMORTIZACIÓN</t>
        </is>
      </c>
      <c r="B78" s="16">
        <f>SUM(B72:B77)</f>
        <v/>
      </c>
      <c r="C78" s="16">
        <f>SUM(C72:C77)</f>
        <v/>
      </c>
      <c r="D78" s="16">
        <f>SUM(D72:D77)</f>
        <v/>
      </c>
      <c r="E78" s="16">
        <f>SUM(E72:E77)</f>
        <v/>
      </c>
      <c r="F78" s="16">
        <f>SUM(F72:F77)</f>
        <v/>
      </c>
      <c r="G78" s="16">
        <f>SUM(G72:G77)</f>
        <v/>
      </c>
      <c r="H78" s="16">
        <f>SUM(H72:H77)</f>
        <v/>
      </c>
      <c r="I78" s="16">
        <f>SUM(I72:I77)</f>
        <v/>
      </c>
      <c r="J78" s="16">
        <f>SUM(J72:J77)</f>
        <v/>
      </c>
      <c r="K78" s="16">
        <f>SUM(K72:K77)</f>
        <v/>
      </c>
      <c r="L78" s="16">
        <f>SUM(L72:L77)</f>
        <v/>
      </c>
    </row>
    <row r="80">
      <c r="A80" s="3" t="inlineStr">
        <is>
          <t>7. VALOR DE DESECHO Y CAPITAL DE TRABAJO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</row>
    <row r="81">
      <c r="A81" s="3" t="inlineStr">
        <is>
          <t>Concepto</t>
        </is>
      </c>
      <c r="B81" s="5" t="inlineStr">
        <is>
          <t>Año 0</t>
        </is>
      </c>
      <c r="C81" s="5" t="inlineStr">
        <is>
          <t>Año 1</t>
        </is>
      </c>
      <c r="D81" s="5" t="inlineStr">
        <is>
          <t>Año 2</t>
        </is>
      </c>
      <c r="E81" s="5" t="inlineStr">
        <is>
          <t>Año 3</t>
        </is>
      </c>
      <c r="F81" s="5" t="inlineStr">
        <is>
          <t>Año 4</t>
        </is>
      </c>
      <c r="G81" s="5" t="inlineStr">
        <is>
          <t>Año 5</t>
        </is>
      </c>
      <c r="H81" s="5" t="inlineStr">
        <is>
          <t>Año 6</t>
        </is>
      </c>
      <c r="I81" s="5" t="inlineStr">
        <is>
          <t>Año 7</t>
        </is>
      </c>
      <c r="J81" s="5" t="inlineStr">
        <is>
          <t>Año 8</t>
        </is>
      </c>
      <c r="K81" s="5" t="inlineStr">
        <is>
          <t>Año 9</t>
        </is>
      </c>
      <c r="L81" s="5" t="inlineStr">
        <is>
          <t>Año 10</t>
        </is>
      </c>
    </row>
    <row r="82">
      <c r="A82" s="6" t="inlineStr">
        <is>
          <t>Valor de desecho de activos (Año 10)</t>
        </is>
      </c>
      <c r="B82" s="12" t="n">
        <v>0</v>
      </c>
      <c r="C82" s="12" t="n">
        <v>0</v>
      </c>
      <c r="D82" s="12" t="n">
        <v>0</v>
      </c>
      <c r="E82" s="12" t="n">
        <v>0</v>
      </c>
      <c r="F82" s="12" t="n">
        <v>0</v>
      </c>
      <c r="G82" s="12" t="n">
        <v>0</v>
      </c>
      <c r="H82" s="12" t="n">
        <v>0</v>
      </c>
      <c r="I82" s="12" t="n">
        <v>0</v>
      </c>
      <c r="J82" s="12" t="n">
        <v>0</v>
      </c>
      <c r="K82" s="12" t="n">
        <v>0</v>
      </c>
      <c r="L82" s="12" t="n">
        <v>0</v>
      </c>
    </row>
    <row r="83">
      <c r="A83" s="6" t="inlineStr">
        <is>
          <t>Capital de trabajo requerido (= (variables+fijos) × meses ÷ 12)</t>
        </is>
      </c>
      <c r="B83" s="12">
        <f>(C48+C68)*$B$23/12</f>
        <v/>
      </c>
      <c r="C83" s="12">
        <f>(C48+C68)*$B$23/12</f>
        <v/>
      </c>
      <c r="D83" s="12">
        <f>(D48+D68)*$B$23/12</f>
        <v/>
      </c>
      <c r="E83" s="12">
        <f>(E48+E68)*$B$23/12</f>
        <v/>
      </c>
      <c r="F83" s="12">
        <f>(F48+F68)*$B$23/12</f>
        <v/>
      </c>
      <c r="G83" s="12">
        <f>(G48+G68)*$B$23/12</f>
        <v/>
      </c>
      <c r="H83" s="12">
        <f>(H48+H68)*$B$23/12</f>
        <v/>
      </c>
      <c r="I83" s="12">
        <f>(I48+I68)*$B$23/12</f>
        <v/>
      </c>
      <c r="J83" s="12">
        <f>(J48+J68)*$B$23/12</f>
        <v/>
      </c>
      <c r="K83" s="12">
        <f>(K48+K68)*$B$23/12</f>
        <v/>
      </c>
      <c r="L83" s="12">
        <f>(L48+L68)*$B$23/12</f>
        <v/>
      </c>
    </row>
    <row r="84">
      <c r="A84" s="6" t="inlineStr">
        <is>
          <t>Inversión en capital de trabajo (incremento anual)</t>
        </is>
      </c>
      <c r="B84" s="12">
        <f>B83</f>
        <v/>
      </c>
      <c r="C84" s="12">
        <f>C83-B83</f>
        <v/>
      </c>
      <c r="D84" s="12">
        <f>D83-C83</f>
        <v/>
      </c>
      <c r="E84" s="12">
        <f>E83-D83</f>
        <v/>
      </c>
      <c r="F84" s="12">
        <f>F83-E83</f>
        <v/>
      </c>
      <c r="G84" s="12">
        <f>G83-F83</f>
        <v/>
      </c>
      <c r="H84" s="12">
        <f>H83-G83</f>
        <v/>
      </c>
      <c r="I84" s="12">
        <f>I83-H83</f>
        <v/>
      </c>
      <c r="J84" s="12">
        <f>J83-I83</f>
        <v/>
      </c>
      <c r="K84" s="12">
        <f>K83-J83</f>
        <v/>
      </c>
      <c r="L84" s="12">
        <f>L83-K83</f>
        <v/>
      </c>
    </row>
    <row r="85">
      <c r="A85" s="6" t="inlineStr">
        <is>
          <t>Recuperación capital de trabajo (Año 10)</t>
        </is>
      </c>
      <c r="B85" s="12" t="n">
        <v>0</v>
      </c>
      <c r="C85" s="12" t="n">
        <v>0</v>
      </c>
      <c r="D85" s="12" t="n">
        <v>0</v>
      </c>
      <c r="E85" s="12" t="n">
        <v>0</v>
      </c>
      <c r="F85" s="12" t="n">
        <v>0</v>
      </c>
      <c r="G85" s="12" t="n">
        <v>0</v>
      </c>
      <c r="H85" s="12" t="n">
        <v>0</v>
      </c>
      <c r="I85" s="12" t="n">
        <v>0</v>
      </c>
      <c r="J85" s="12" t="n">
        <v>0</v>
      </c>
      <c r="K85" s="12" t="n">
        <v>0</v>
      </c>
      <c r="L85" s="12">
        <f>L83</f>
        <v/>
      </c>
    </row>
    <row r="87">
      <c r="A87" s="3" t="inlineStr">
        <is>
          <t>8. TABLA DE AMORTIZACIÓN DEL PRÉSTAMO  (cuota anual fija)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</row>
    <row r="88">
      <c r="A88" s="3" t="inlineStr">
        <is>
          <t>Concepto</t>
        </is>
      </c>
      <c r="B88" s="5" t="inlineStr">
        <is>
          <t>Año 0</t>
        </is>
      </c>
      <c r="C88" s="5" t="inlineStr">
        <is>
          <t>Año 1</t>
        </is>
      </c>
      <c r="D88" s="5" t="inlineStr">
        <is>
          <t>Año 2</t>
        </is>
      </c>
      <c r="E88" s="5" t="inlineStr">
        <is>
          <t>Año 3</t>
        </is>
      </c>
      <c r="F88" s="5" t="inlineStr">
        <is>
          <t>Año 4</t>
        </is>
      </c>
      <c r="G88" s="5" t="inlineStr">
        <is>
          <t>Año 5</t>
        </is>
      </c>
      <c r="H88" s="5" t="inlineStr">
        <is>
          <t>Año 6</t>
        </is>
      </c>
      <c r="I88" s="5" t="inlineStr">
        <is>
          <t>Año 7</t>
        </is>
      </c>
      <c r="J88" s="5" t="inlineStr">
        <is>
          <t>Año 8</t>
        </is>
      </c>
      <c r="K88" s="5" t="inlineStr">
        <is>
          <t>Año 9</t>
        </is>
      </c>
      <c r="L88" s="5" t="inlineStr">
        <is>
          <t>Año 10</t>
        </is>
      </c>
    </row>
    <row r="89">
      <c r="A89" s="6" t="inlineStr">
        <is>
          <t>Saldo inicial</t>
        </is>
      </c>
      <c r="B89" s="12" t="n">
        <v>0</v>
      </c>
      <c r="C89" s="12">
        <f>D34</f>
        <v/>
      </c>
      <c r="D89" s="12">
        <f>C93</f>
        <v/>
      </c>
      <c r="E89" s="12">
        <f>D93</f>
        <v/>
      </c>
      <c r="F89" s="12">
        <f>E93</f>
        <v/>
      </c>
      <c r="G89" s="12">
        <f>F93</f>
        <v/>
      </c>
      <c r="H89" s="12">
        <f>G93</f>
        <v/>
      </c>
      <c r="I89" s="12">
        <f>H93</f>
        <v/>
      </c>
      <c r="J89" s="12">
        <f>I93</f>
        <v/>
      </c>
      <c r="K89" s="12">
        <f>J93</f>
        <v/>
      </c>
      <c r="L89" s="12">
        <f>K93</f>
        <v/>
      </c>
    </row>
    <row r="90">
      <c r="A90" s="6" t="inlineStr">
        <is>
          <t>Abono a capital</t>
        </is>
      </c>
      <c r="B90" s="12" t="n">
        <v>0</v>
      </c>
      <c r="C90" s="12">
        <f>MIN(C92-C91,C89)</f>
        <v/>
      </c>
      <c r="D90" s="12">
        <f>MIN(D92-D91,D89)</f>
        <v/>
      </c>
      <c r="E90" s="12">
        <f>MIN(E92-E91,E89)</f>
        <v/>
      </c>
      <c r="F90" s="12">
        <f>MIN(F92-F91,F89)</f>
        <v/>
      </c>
      <c r="G90" s="12">
        <f>MIN(G92-G91,G89)</f>
        <v/>
      </c>
      <c r="H90" s="12">
        <f>MIN(H92-H91,H89)</f>
        <v/>
      </c>
      <c r="I90" s="12">
        <f>MIN(I92-I91,I89)</f>
        <v/>
      </c>
      <c r="J90" s="12">
        <f>MIN(J92-J91,J89)</f>
        <v/>
      </c>
      <c r="K90" s="12">
        <f>MIN(K92-K91,K89)</f>
        <v/>
      </c>
      <c r="L90" s="12">
        <f>MIN(L92-L91,L89)</f>
        <v/>
      </c>
    </row>
    <row r="91">
      <c r="A91" s="6" t="inlineStr">
        <is>
          <t>Intereses (= saldo × tasa)</t>
        </is>
      </c>
      <c r="B91" s="12" t="n">
        <v>0</v>
      </c>
      <c r="C91" s="12">
        <f>C89*$B$9</f>
        <v/>
      </c>
      <c r="D91" s="12">
        <f>D89*$B$9</f>
        <v/>
      </c>
      <c r="E91" s="12">
        <f>E89*$B$9</f>
        <v/>
      </c>
      <c r="F91" s="12">
        <f>F89*$B$9</f>
        <v/>
      </c>
      <c r="G91" s="12">
        <f>G89*$B$9</f>
        <v/>
      </c>
      <c r="H91" s="12">
        <f>H89*$B$9</f>
        <v/>
      </c>
      <c r="I91" s="12">
        <f>I89*$B$9</f>
        <v/>
      </c>
      <c r="J91" s="12">
        <f>J89*$B$9</f>
        <v/>
      </c>
      <c r="K91" s="12">
        <f>K89*$B$9</f>
        <v/>
      </c>
      <c r="L91" s="12">
        <f>L89*$B$9</f>
        <v/>
      </c>
    </row>
    <row r="92">
      <c r="A92" s="6" t="inlineStr">
        <is>
          <t>Cuota total (= abono + intereses)</t>
        </is>
      </c>
      <c r="B92" s="12" t="n">
        <v>0</v>
      </c>
      <c r="C92" s="12">
        <f>IF(C89&gt;0,D34*$B$9/(1-(1+$B$9)^-5),0)</f>
        <v/>
      </c>
      <c r="D92" s="12">
        <f>IF(D89&gt;0,D34*$B$9/(1-(1+$B$9)^-5),0)</f>
        <v/>
      </c>
      <c r="E92" s="12">
        <f>IF(E89&gt;0,D34*$B$9/(1-(1+$B$9)^-5),0)</f>
        <v/>
      </c>
      <c r="F92" s="12">
        <f>IF(F89&gt;0,D34*$B$9/(1-(1+$B$9)^-5),0)</f>
        <v/>
      </c>
      <c r="G92" s="12">
        <f>IF(G89&gt;0,D34*$B$9/(1-(1+$B$9)^-5),0)</f>
        <v/>
      </c>
      <c r="H92" s="12">
        <f>IF(H89&gt;0,D34*$B$9/(1-(1+$B$9)^-5),0)</f>
        <v/>
      </c>
      <c r="I92" s="12">
        <f>IF(I89&gt;0,D34*$B$9/(1-(1+$B$9)^-5),0)</f>
        <v/>
      </c>
      <c r="J92" s="12">
        <f>IF(J89&gt;0,D34*$B$9/(1-(1+$B$9)^-5),0)</f>
        <v/>
      </c>
      <c r="K92" s="12">
        <f>IF(K89&gt;0,D34*$B$9/(1-(1+$B$9)^-5),0)</f>
        <v/>
      </c>
      <c r="L92" s="12">
        <f>IF(L89&gt;0,D34*$B$9/(1-(1+$B$9)^-5),0)</f>
        <v/>
      </c>
    </row>
    <row r="93">
      <c r="A93" s="6" t="inlineStr">
        <is>
          <t>Saldo final</t>
        </is>
      </c>
      <c r="B93" s="12" t="n">
        <v>0</v>
      </c>
      <c r="C93" s="12">
        <f>C89-C90</f>
        <v/>
      </c>
      <c r="D93" s="12">
        <f>D89-D90</f>
        <v/>
      </c>
      <c r="E93" s="12">
        <f>E89-E90</f>
        <v/>
      </c>
      <c r="F93" s="12">
        <f>F89-F90</f>
        <v/>
      </c>
      <c r="G93" s="12">
        <f>G89-G90</f>
        <v/>
      </c>
      <c r="H93" s="12">
        <f>H89-H90</f>
        <v/>
      </c>
      <c r="I93" s="12">
        <f>I89-I90</f>
        <v/>
      </c>
      <c r="J93" s="12">
        <f>J89-J90</f>
        <v/>
      </c>
      <c r="K93" s="12">
        <f>K89-K90</f>
        <v/>
      </c>
      <c r="L93" s="12">
        <f>L89-L90</f>
        <v/>
      </c>
    </row>
    <row r="95">
      <c r="A95" s="3" t="inlineStr">
        <is>
          <t>9. FLUJO DE CAJA DEL PROYECTO (SIN FINANCIAMIENTO)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>
      <c r="A96" s="3" t="inlineStr">
        <is>
          <t>Concepto</t>
        </is>
      </c>
      <c r="B96" s="5" t="inlineStr">
        <is>
          <t>Año 0</t>
        </is>
      </c>
      <c r="C96" s="5" t="inlineStr">
        <is>
          <t>Año 1</t>
        </is>
      </c>
      <c r="D96" s="5" t="inlineStr">
        <is>
          <t>Año 2</t>
        </is>
      </c>
      <c r="E96" s="5" t="inlineStr">
        <is>
          <t>Año 3</t>
        </is>
      </c>
      <c r="F96" s="5" t="inlineStr">
        <is>
          <t>Año 4</t>
        </is>
      </c>
      <c r="G96" s="5" t="inlineStr">
        <is>
          <t>Año 5</t>
        </is>
      </c>
      <c r="H96" s="5" t="inlineStr">
        <is>
          <t>Año 6</t>
        </is>
      </c>
      <c r="I96" s="5" t="inlineStr">
        <is>
          <t>Año 7</t>
        </is>
      </c>
      <c r="J96" s="5" t="inlineStr">
        <is>
          <t>Año 8</t>
        </is>
      </c>
      <c r="K96" s="5" t="inlineStr">
        <is>
          <t>Año 9</t>
        </is>
      </c>
      <c r="L96" s="5" t="inlineStr">
        <is>
          <t>Año 10</t>
        </is>
      </c>
    </row>
    <row r="97">
      <c r="A97" s="6" t="inlineStr">
        <is>
          <t>(+) Ingreso por ventas</t>
        </is>
      </c>
      <c r="B97" s="12">
        <f>B41</f>
        <v/>
      </c>
      <c r="C97" s="12">
        <f>C41</f>
        <v/>
      </c>
      <c r="D97" s="12">
        <f>D41</f>
        <v/>
      </c>
      <c r="E97" s="12">
        <f>E41</f>
        <v/>
      </c>
      <c r="F97" s="12">
        <f>F41</f>
        <v/>
      </c>
      <c r="G97" s="12">
        <f>G41</f>
        <v/>
      </c>
      <c r="H97" s="12">
        <f>H41</f>
        <v/>
      </c>
      <c r="I97" s="12">
        <f>I41</f>
        <v/>
      </c>
      <c r="J97" s="12">
        <f>J41</f>
        <v/>
      </c>
      <c r="K97" s="12">
        <f>K41</f>
        <v/>
      </c>
      <c r="L97" s="12">
        <f>L41</f>
        <v/>
      </c>
    </row>
    <row r="98">
      <c r="A98" s="6" t="inlineStr">
        <is>
          <t>(−) Costos variables</t>
        </is>
      </c>
      <c r="B98" s="12">
        <f>B48</f>
        <v/>
      </c>
      <c r="C98" s="12">
        <f>C48</f>
        <v/>
      </c>
      <c r="D98" s="12">
        <f>D48</f>
        <v/>
      </c>
      <c r="E98" s="12">
        <f>E48</f>
        <v/>
      </c>
      <c r="F98" s="12">
        <f>F48</f>
        <v/>
      </c>
      <c r="G98" s="12">
        <f>G48</f>
        <v/>
      </c>
      <c r="H98" s="12">
        <f>H48</f>
        <v/>
      </c>
      <c r="I98" s="12">
        <f>I48</f>
        <v/>
      </c>
      <c r="J98" s="12">
        <f>J48</f>
        <v/>
      </c>
      <c r="K98" s="12">
        <f>K48</f>
        <v/>
      </c>
      <c r="L98" s="12">
        <f>L48</f>
        <v/>
      </c>
    </row>
    <row r="99">
      <c r="A99" s="6" t="inlineStr">
        <is>
          <t>(−) Costos fijos</t>
        </is>
      </c>
      <c r="B99" s="12">
        <f>B68</f>
        <v/>
      </c>
      <c r="C99" s="12">
        <f>C68</f>
        <v/>
      </c>
      <c r="D99" s="12">
        <f>D68</f>
        <v/>
      </c>
      <c r="E99" s="12">
        <f>E68</f>
        <v/>
      </c>
      <c r="F99" s="12">
        <f>F68</f>
        <v/>
      </c>
      <c r="G99" s="12">
        <f>G68</f>
        <v/>
      </c>
      <c r="H99" s="12">
        <f>H68</f>
        <v/>
      </c>
      <c r="I99" s="12">
        <f>I68</f>
        <v/>
      </c>
      <c r="J99" s="12">
        <f>J68</f>
        <v/>
      </c>
      <c r="K99" s="12">
        <f>K68</f>
        <v/>
      </c>
      <c r="L99" s="12">
        <f>L68</f>
        <v/>
      </c>
    </row>
    <row r="100">
      <c r="A100" s="6" t="inlineStr">
        <is>
          <t>(−) Depreciación y amortización</t>
        </is>
      </c>
      <c r="B100" s="12" t="n">
        <v>0</v>
      </c>
      <c r="C100" s="12">
        <f>C78</f>
        <v/>
      </c>
      <c r="D100" s="12">
        <f>D78</f>
        <v/>
      </c>
      <c r="E100" s="12">
        <f>E78</f>
        <v/>
      </c>
      <c r="F100" s="12">
        <f>F78</f>
        <v/>
      </c>
      <c r="G100" s="12">
        <f>G78</f>
        <v/>
      </c>
      <c r="H100" s="12">
        <f>H78</f>
        <v/>
      </c>
      <c r="I100" s="12">
        <f>I78</f>
        <v/>
      </c>
      <c r="J100" s="12">
        <f>J78</f>
        <v/>
      </c>
      <c r="K100" s="12">
        <f>K78</f>
        <v/>
      </c>
      <c r="L100" s="12">
        <f>L78</f>
        <v/>
      </c>
    </row>
    <row r="101">
      <c r="A101" s="15" t="inlineStr">
        <is>
          <t>(=) Utilidad antes de impuestos</t>
        </is>
      </c>
      <c r="B101" s="16">
        <f>B97-B98-B99-B100</f>
        <v/>
      </c>
      <c r="C101" s="16">
        <f>C97-C98-C99-C100</f>
        <v/>
      </c>
      <c r="D101" s="16">
        <f>D97-D98-D99-D100</f>
        <v/>
      </c>
      <c r="E101" s="16">
        <f>E97-E98-E99-E100</f>
        <v/>
      </c>
      <c r="F101" s="16">
        <f>F97-F98-F99-F100</f>
        <v/>
      </c>
      <c r="G101" s="16">
        <f>G97-G98-G99-G100</f>
        <v/>
      </c>
      <c r="H101" s="16">
        <f>H97-H98-H99-H100</f>
        <v/>
      </c>
      <c r="I101" s="16">
        <f>I97-I98-I99-I100</f>
        <v/>
      </c>
      <c r="J101" s="16">
        <f>J97-J98-J99-J100</f>
        <v/>
      </c>
      <c r="K101" s="16">
        <f>K97-K98-K99-K100</f>
        <v/>
      </c>
      <c r="L101" s="16">
        <f>L97-L98-L99-L100</f>
        <v/>
      </c>
    </row>
    <row r="102">
      <c r="A102" s="6" t="inlineStr">
        <is>
          <t>(−) Impuesto sobre la renta (25% + 5% solidaria)</t>
        </is>
      </c>
      <c r="B102" s="12">
        <f>IF(B101&gt;0,$B$6*B101+$B$7*MAX(0,B101-$B$8),0)</f>
        <v/>
      </c>
      <c r="C102" s="12">
        <f>IF(C101&gt;0,$B$6*C101+$B$7*MAX(0,C101-$B$8),0)</f>
        <v/>
      </c>
      <c r="D102" s="12">
        <f>IF(D101&gt;0,$B$6*D101+$B$7*MAX(0,D101-$B$8),0)</f>
        <v/>
      </c>
      <c r="E102" s="12">
        <f>IF(E101&gt;0,$B$6*E101+$B$7*MAX(0,E101-$B$8),0)</f>
        <v/>
      </c>
      <c r="F102" s="12">
        <f>IF(F101&gt;0,$B$6*F101+$B$7*MAX(0,F101-$B$8),0)</f>
        <v/>
      </c>
      <c r="G102" s="12">
        <f>IF(G101&gt;0,$B$6*G101+$B$7*MAX(0,G101-$B$8),0)</f>
        <v/>
      </c>
      <c r="H102" s="12">
        <f>IF(H101&gt;0,$B$6*H101+$B$7*MAX(0,H101-$B$8),0)</f>
        <v/>
      </c>
      <c r="I102" s="12">
        <f>IF(I101&gt;0,$B$6*I101+$B$7*MAX(0,I101-$B$8),0)</f>
        <v/>
      </c>
      <c r="J102" s="12">
        <f>IF(J101&gt;0,$B$6*J101+$B$7*MAX(0,J101-$B$8),0)</f>
        <v/>
      </c>
      <c r="K102" s="12">
        <f>IF(K101&gt;0,$B$6*K101+$B$7*MAX(0,K101-$B$8),0)</f>
        <v/>
      </c>
      <c r="L102" s="12">
        <f>IF(L101&gt;0,$B$6*L101+$B$7*MAX(0,L101-$B$8),0)</f>
        <v/>
      </c>
    </row>
    <row r="103">
      <c r="A103" s="15" t="inlineStr">
        <is>
          <t>(=) Utilidad después de impuestos</t>
        </is>
      </c>
      <c r="B103" s="16">
        <f>B101-B102</f>
        <v/>
      </c>
      <c r="C103" s="16">
        <f>C101-C102</f>
        <v/>
      </c>
      <c r="D103" s="16">
        <f>D101-D102</f>
        <v/>
      </c>
      <c r="E103" s="16">
        <f>E101-E102</f>
        <v/>
      </c>
      <c r="F103" s="16">
        <f>F101-F102</f>
        <v/>
      </c>
      <c r="G103" s="16">
        <f>G101-G102</f>
        <v/>
      </c>
      <c r="H103" s="16">
        <f>H101-H102</f>
        <v/>
      </c>
      <c r="I103" s="16">
        <f>I101-I102</f>
        <v/>
      </c>
      <c r="J103" s="16">
        <f>J101-J102</f>
        <v/>
      </c>
      <c r="K103" s="16">
        <f>K101-K102</f>
        <v/>
      </c>
      <c r="L103" s="16">
        <f>L101-L102</f>
        <v/>
      </c>
    </row>
    <row r="104">
      <c r="A104" s="6" t="inlineStr">
        <is>
          <t>(+) Depreciación y amortización</t>
        </is>
      </c>
      <c r="B104" s="12" t="n">
        <v>0</v>
      </c>
      <c r="C104" s="12">
        <f>C78</f>
        <v/>
      </c>
      <c r="D104" s="12">
        <f>D78</f>
        <v/>
      </c>
      <c r="E104" s="12">
        <f>E78</f>
        <v/>
      </c>
      <c r="F104" s="12">
        <f>F78</f>
        <v/>
      </c>
      <c r="G104" s="12">
        <f>G78</f>
        <v/>
      </c>
      <c r="H104" s="12">
        <f>H78</f>
        <v/>
      </c>
      <c r="I104" s="12">
        <f>I78</f>
        <v/>
      </c>
      <c r="J104" s="12">
        <f>J78</f>
        <v/>
      </c>
      <c r="K104" s="12">
        <f>K78</f>
        <v/>
      </c>
      <c r="L104" s="12">
        <f>L78</f>
        <v/>
      </c>
    </row>
    <row r="105">
      <c r="A105" s="6" t="inlineStr">
        <is>
          <t>(+) Valor de desecho</t>
        </is>
      </c>
      <c r="B105" s="12" t="n">
        <v>0</v>
      </c>
      <c r="C105" s="12" t="n">
        <v>0</v>
      </c>
      <c r="D105" s="12" t="n">
        <v>0</v>
      </c>
      <c r="E105" s="12" t="n">
        <v>0</v>
      </c>
      <c r="F105" s="12" t="n">
        <v>0</v>
      </c>
      <c r="G105" s="12" t="n">
        <v>0</v>
      </c>
      <c r="H105" s="12" t="n">
        <v>0</v>
      </c>
      <c r="I105" s="12" t="n">
        <v>0</v>
      </c>
      <c r="J105" s="12" t="n">
        <v>0</v>
      </c>
      <c r="K105" s="12" t="n">
        <v>0</v>
      </c>
      <c r="L105" s="12">
        <f>L82</f>
        <v/>
      </c>
    </row>
    <row r="106">
      <c r="A106" s="6" t="inlineStr">
        <is>
          <t>(+) Recuperación capital de trabajo</t>
        </is>
      </c>
      <c r="B106" s="12">
        <f>B85</f>
        <v/>
      </c>
      <c r="C106" s="12">
        <f>C85</f>
        <v/>
      </c>
      <c r="D106" s="12">
        <f>D85</f>
        <v/>
      </c>
      <c r="E106" s="12">
        <f>E85</f>
        <v/>
      </c>
      <c r="F106" s="12">
        <f>F85</f>
        <v/>
      </c>
      <c r="G106" s="12">
        <f>G85</f>
        <v/>
      </c>
      <c r="H106" s="12">
        <f>H85</f>
        <v/>
      </c>
      <c r="I106" s="12">
        <f>I85</f>
        <v/>
      </c>
      <c r="J106" s="12">
        <f>J85</f>
        <v/>
      </c>
      <c r="K106" s="12">
        <f>K85</f>
        <v/>
      </c>
      <c r="L106" s="12">
        <f>L85</f>
        <v/>
      </c>
    </row>
    <row r="107">
      <c r="A107" s="6" t="inlineStr">
        <is>
          <t>(−) Inversión en activos fijos</t>
        </is>
      </c>
      <c r="B107" s="12">
        <f>SUM(B27:B32)</f>
        <v/>
      </c>
      <c r="C107" s="12" t="n">
        <v>0</v>
      </c>
      <c r="D107" s="12" t="n">
        <v>0</v>
      </c>
      <c r="E107" s="12" t="n">
        <v>0</v>
      </c>
      <c r="F107" s="12" t="n">
        <v>0</v>
      </c>
      <c r="G107" s="12" t="n">
        <v>0</v>
      </c>
      <c r="H107" s="12" t="n">
        <v>0</v>
      </c>
      <c r="I107" s="12" t="n">
        <v>0</v>
      </c>
      <c r="J107" s="12" t="n">
        <v>0</v>
      </c>
      <c r="K107" s="12" t="n">
        <v>0</v>
      </c>
      <c r="L107" s="12" t="n">
        <v>0</v>
      </c>
    </row>
    <row r="108">
      <c r="A108" s="6" t="inlineStr">
        <is>
          <t>(−) Inversión en capital de trabajo</t>
        </is>
      </c>
      <c r="B108" s="12">
        <f>B84</f>
        <v/>
      </c>
      <c r="C108" s="12">
        <f>C84</f>
        <v/>
      </c>
      <c r="D108" s="12">
        <f>D84</f>
        <v/>
      </c>
      <c r="E108" s="12">
        <f>E84</f>
        <v/>
      </c>
      <c r="F108" s="12">
        <f>F84</f>
        <v/>
      </c>
      <c r="G108" s="12">
        <f>G84</f>
        <v/>
      </c>
      <c r="H108" s="12">
        <f>H84</f>
        <v/>
      </c>
      <c r="I108" s="12">
        <f>I84</f>
        <v/>
      </c>
      <c r="J108" s="12">
        <f>J84</f>
        <v/>
      </c>
      <c r="K108" s="12">
        <f>K84</f>
        <v/>
      </c>
      <c r="L108" s="12">
        <f>L84</f>
        <v/>
      </c>
    </row>
    <row r="109">
      <c r="A109" s="15" t="inlineStr">
        <is>
          <t>(=) FLUJO DE CAJA NETO</t>
        </is>
      </c>
      <c r="B109" s="16">
        <f>B103+B104+B105+B106-B107-B108</f>
        <v/>
      </c>
      <c r="C109" s="16">
        <f>C103+C104+C105+C106-C107-C108</f>
        <v/>
      </c>
      <c r="D109" s="16">
        <f>D103+D104+D105+D106-D107-D108</f>
        <v/>
      </c>
      <c r="E109" s="16">
        <f>E103+E104+E105+E106-E107-E108</f>
        <v/>
      </c>
      <c r="F109" s="16">
        <f>F103+F104+F105+F106-F107-F108</f>
        <v/>
      </c>
      <c r="G109" s="16">
        <f>G103+G104+G105+G106-G107-G108</f>
        <v/>
      </c>
      <c r="H109" s="16">
        <f>H103+H104+H105+H106-H107-H108</f>
        <v/>
      </c>
      <c r="I109" s="16">
        <f>I103+I104+I105+I106-I107-I108</f>
        <v/>
      </c>
      <c r="J109" s="16">
        <f>J103+J104+J105+J106-J107-J108</f>
        <v/>
      </c>
      <c r="K109" s="16">
        <f>K103+K104+K105+K106-K107-K108</f>
        <v/>
      </c>
      <c r="L109" s="16">
        <f>L103+L104+L105+L106-L107-L108</f>
        <v/>
      </c>
    </row>
    <row r="110">
      <c r="A110" s="21" t="inlineStr">
        <is>
          <t>Flujo de caja acumulado</t>
        </is>
      </c>
      <c r="B110" s="22">
        <f>B109</f>
        <v/>
      </c>
      <c r="C110" s="22">
        <f>B110+C109</f>
        <v/>
      </c>
      <c r="D110" s="22">
        <f>C110+D109</f>
        <v/>
      </c>
      <c r="E110" s="22">
        <f>D110+E109</f>
        <v/>
      </c>
      <c r="F110" s="22">
        <f>E110+F109</f>
        <v/>
      </c>
      <c r="G110" s="22">
        <f>F110+G109</f>
        <v/>
      </c>
      <c r="H110" s="22">
        <f>G110+H109</f>
        <v/>
      </c>
      <c r="I110" s="22">
        <f>H110+I109</f>
        <v/>
      </c>
      <c r="J110" s="22">
        <f>I110+J109</f>
        <v/>
      </c>
      <c r="K110" s="22">
        <f>J110+K109</f>
        <v/>
      </c>
      <c r="L110" s="22">
        <f>K110+L109</f>
        <v/>
      </c>
    </row>
    <row r="112">
      <c r="A112" s="3" t="inlineStr">
        <is>
          <t>10. FLUJO DE CAJA DEL PROYECTO (CON FINANCIAMIENTO)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</row>
    <row r="113">
      <c r="A113" s="3" t="inlineStr">
        <is>
          <t>Concepto</t>
        </is>
      </c>
      <c r="B113" s="5" t="inlineStr">
        <is>
          <t>Año 0</t>
        </is>
      </c>
      <c r="C113" s="5" t="inlineStr">
        <is>
          <t>Año 1</t>
        </is>
      </c>
      <c r="D113" s="5" t="inlineStr">
        <is>
          <t>Año 2</t>
        </is>
      </c>
      <c r="E113" s="5" t="inlineStr">
        <is>
          <t>Año 3</t>
        </is>
      </c>
      <c r="F113" s="5" t="inlineStr">
        <is>
          <t>Año 4</t>
        </is>
      </c>
      <c r="G113" s="5" t="inlineStr">
        <is>
          <t>Año 5</t>
        </is>
      </c>
      <c r="H113" s="5" t="inlineStr">
        <is>
          <t>Año 6</t>
        </is>
      </c>
      <c r="I113" s="5" t="inlineStr">
        <is>
          <t>Año 7</t>
        </is>
      </c>
      <c r="J113" s="5" t="inlineStr">
        <is>
          <t>Año 8</t>
        </is>
      </c>
      <c r="K113" s="5" t="inlineStr">
        <is>
          <t>Año 9</t>
        </is>
      </c>
      <c r="L113" s="5" t="inlineStr">
        <is>
          <t>Año 10</t>
        </is>
      </c>
    </row>
    <row r="114">
      <c r="A114" s="6" t="inlineStr">
        <is>
          <t>(+) Ingreso por ventas</t>
        </is>
      </c>
      <c r="B114" s="12">
        <f>B41</f>
        <v/>
      </c>
      <c r="C114" s="12">
        <f>C41</f>
        <v/>
      </c>
      <c r="D114" s="12">
        <f>D41</f>
        <v/>
      </c>
      <c r="E114" s="12">
        <f>E41</f>
        <v/>
      </c>
      <c r="F114" s="12">
        <f>F41</f>
        <v/>
      </c>
      <c r="G114" s="12">
        <f>G41</f>
        <v/>
      </c>
      <c r="H114" s="12">
        <f>H41</f>
        <v/>
      </c>
      <c r="I114" s="12">
        <f>I41</f>
        <v/>
      </c>
      <c r="J114" s="12">
        <f>J41</f>
        <v/>
      </c>
      <c r="K114" s="12">
        <f>K41</f>
        <v/>
      </c>
      <c r="L114" s="12">
        <f>L41</f>
        <v/>
      </c>
    </row>
    <row r="115">
      <c r="A115" s="6" t="inlineStr">
        <is>
          <t>(−) Costos variables</t>
        </is>
      </c>
      <c r="B115" s="12">
        <f>B48</f>
        <v/>
      </c>
      <c r="C115" s="12">
        <f>C48</f>
        <v/>
      </c>
      <c r="D115" s="12">
        <f>D48</f>
        <v/>
      </c>
      <c r="E115" s="12">
        <f>E48</f>
        <v/>
      </c>
      <c r="F115" s="12">
        <f>F48</f>
        <v/>
      </c>
      <c r="G115" s="12">
        <f>G48</f>
        <v/>
      </c>
      <c r="H115" s="12">
        <f>H48</f>
        <v/>
      </c>
      <c r="I115" s="12">
        <f>I48</f>
        <v/>
      </c>
      <c r="J115" s="12">
        <f>J48</f>
        <v/>
      </c>
      <c r="K115" s="12">
        <f>K48</f>
        <v/>
      </c>
      <c r="L115" s="12">
        <f>L48</f>
        <v/>
      </c>
    </row>
    <row r="116">
      <c r="A116" s="6" t="inlineStr">
        <is>
          <t>(−) Costos fijos</t>
        </is>
      </c>
      <c r="B116" s="12">
        <f>B68</f>
        <v/>
      </c>
      <c r="C116" s="12">
        <f>C68</f>
        <v/>
      </c>
      <c r="D116" s="12">
        <f>D68</f>
        <v/>
      </c>
      <c r="E116" s="12">
        <f>E68</f>
        <v/>
      </c>
      <c r="F116" s="12">
        <f>F68</f>
        <v/>
      </c>
      <c r="G116" s="12">
        <f>G68</f>
        <v/>
      </c>
      <c r="H116" s="12">
        <f>H68</f>
        <v/>
      </c>
      <c r="I116" s="12">
        <f>I68</f>
        <v/>
      </c>
      <c r="J116" s="12">
        <f>J68</f>
        <v/>
      </c>
      <c r="K116" s="12">
        <f>K68</f>
        <v/>
      </c>
      <c r="L116" s="12">
        <f>L68</f>
        <v/>
      </c>
    </row>
    <row r="117">
      <c r="A117" s="6" t="inlineStr">
        <is>
          <t>(−) Gastos financieros (intereses)</t>
        </is>
      </c>
      <c r="B117" s="12" t="n">
        <v>0</v>
      </c>
      <c r="C117" s="12">
        <f>C91</f>
        <v/>
      </c>
      <c r="D117" s="12">
        <f>D91</f>
        <v/>
      </c>
      <c r="E117" s="12">
        <f>E91</f>
        <v/>
      </c>
      <c r="F117" s="12">
        <f>F91</f>
        <v/>
      </c>
      <c r="G117" s="12">
        <f>G91</f>
        <v/>
      </c>
      <c r="H117" s="12">
        <f>H91</f>
        <v/>
      </c>
      <c r="I117" s="12">
        <f>I91</f>
        <v/>
      </c>
      <c r="J117" s="12">
        <f>J91</f>
        <v/>
      </c>
      <c r="K117" s="12">
        <f>K91</f>
        <v/>
      </c>
      <c r="L117" s="12">
        <f>L91</f>
        <v/>
      </c>
    </row>
    <row r="118">
      <c r="A118" s="6" t="inlineStr">
        <is>
          <t>(−) Depreciación y amortización</t>
        </is>
      </c>
      <c r="B118" s="12" t="n">
        <v>0</v>
      </c>
      <c r="C118" s="12">
        <f>C78</f>
        <v/>
      </c>
      <c r="D118" s="12">
        <f>D78</f>
        <v/>
      </c>
      <c r="E118" s="12">
        <f>E78</f>
        <v/>
      </c>
      <c r="F118" s="12">
        <f>F78</f>
        <v/>
      </c>
      <c r="G118" s="12">
        <f>G78</f>
        <v/>
      </c>
      <c r="H118" s="12">
        <f>H78</f>
        <v/>
      </c>
      <c r="I118" s="12">
        <f>I78</f>
        <v/>
      </c>
      <c r="J118" s="12">
        <f>J78</f>
        <v/>
      </c>
      <c r="K118" s="12">
        <f>K78</f>
        <v/>
      </c>
      <c r="L118" s="12">
        <f>L78</f>
        <v/>
      </c>
    </row>
    <row r="119">
      <c r="A119" s="15" t="inlineStr">
        <is>
          <t>(=) Utilidad antes de impuestos</t>
        </is>
      </c>
      <c r="B119" s="16">
        <f>B114-B115-B116-B117-B118</f>
        <v/>
      </c>
      <c r="C119" s="16">
        <f>C114-C115-C116-C117-C118</f>
        <v/>
      </c>
      <c r="D119" s="16">
        <f>D114-D115-D116-D117-D118</f>
        <v/>
      </c>
      <c r="E119" s="16">
        <f>E114-E115-E116-E117-E118</f>
        <v/>
      </c>
      <c r="F119" s="16">
        <f>F114-F115-F116-F117-F118</f>
        <v/>
      </c>
      <c r="G119" s="16">
        <f>G114-G115-G116-G117-G118</f>
        <v/>
      </c>
      <c r="H119" s="16">
        <f>H114-H115-H116-H117-H118</f>
        <v/>
      </c>
      <c r="I119" s="16">
        <f>I114-I115-I116-I117-I118</f>
        <v/>
      </c>
      <c r="J119" s="16">
        <f>J114-J115-J116-J117-J118</f>
        <v/>
      </c>
      <c r="K119" s="16">
        <f>K114-K115-K116-K117-K118</f>
        <v/>
      </c>
      <c r="L119" s="16">
        <f>L114-L115-L116-L117-L118</f>
        <v/>
      </c>
    </row>
    <row r="120">
      <c r="A120" s="6" t="inlineStr">
        <is>
          <t>(−) Impuesto sobre la renta (25% + 5% solidaria)</t>
        </is>
      </c>
      <c r="B120" s="12">
        <f>IF(B119&gt;0,$B$6*B119+$B$7*MAX(0,B119-$B$8),0)</f>
        <v/>
      </c>
      <c r="C120" s="12">
        <f>IF(C119&gt;0,$B$6*C119+$B$7*MAX(0,C119-$B$8),0)</f>
        <v/>
      </c>
      <c r="D120" s="12">
        <f>IF(D119&gt;0,$B$6*D119+$B$7*MAX(0,D119-$B$8),0)</f>
        <v/>
      </c>
      <c r="E120" s="12">
        <f>IF(E119&gt;0,$B$6*E119+$B$7*MAX(0,E119-$B$8),0)</f>
        <v/>
      </c>
      <c r="F120" s="12">
        <f>IF(F119&gt;0,$B$6*F119+$B$7*MAX(0,F119-$B$8),0)</f>
        <v/>
      </c>
      <c r="G120" s="12">
        <f>IF(G119&gt;0,$B$6*G119+$B$7*MAX(0,G119-$B$8),0)</f>
        <v/>
      </c>
      <c r="H120" s="12">
        <f>IF(H119&gt;0,$B$6*H119+$B$7*MAX(0,H119-$B$8),0)</f>
        <v/>
      </c>
      <c r="I120" s="12">
        <f>IF(I119&gt;0,$B$6*I119+$B$7*MAX(0,I119-$B$8),0)</f>
        <v/>
      </c>
      <c r="J120" s="12">
        <f>IF(J119&gt;0,$B$6*J119+$B$7*MAX(0,J119-$B$8),0)</f>
        <v/>
      </c>
      <c r="K120" s="12">
        <f>IF(K119&gt;0,$B$6*K119+$B$7*MAX(0,K119-$B$8),0)</f>
        <v/>
      </c>
      <c r="L120" s="12">
        <f>IF(L119&gt;0,$B$6*L119+$B$7*MAX(0,L119-$B$8),0)</f>
        <v/>
      </c>
    </row>
    <row r="121">
      <c r="A121" s="15" t="inlineStr">
        <is>
          <t>(=) Utilidad después de impuestos</t>
        </is>
      </c>
      <c r="B121" s="16">
        <f>B119-B120</f>
        <v/>
      </c>
      <c r="C121" s="16">
        <f>C119-C120</f>
        <v/>
      </c>
      <c r="D121" s="16">
        <f>D119-D120</f>
        <v/>
      </c>
      <c r="E121" s="16">
        <f>E119-E120</f>
        <v/>
      </c>
      <c r="F121" s="16">
        <f>F119-F120</f>
        <v/>
      </c>
      <c r="G121" s="16">
        <f>G119-G120</f>
        <v/>
      </c>
      <c r="H121" s="16">
        <f>H119-H120</f>
        <v/>
      </c>
      <c r="I121" s="16">
        <f>I119-I120</f>
        <v/>
      </c>
      <c r="J121" s="16">
        <f>J119-J120</f>
        <v/>
      </c>
      <c r="K121" s="16">
        <f>K119-K120</f>
        <v/>
      </c>
      <c r="L121" s="16">
        <f>L119-L120</f>
        <v/>
      </c>
    </row>
    <row r="122">
      <c r="A122" s="6" t="inlineStr">
        <is>
          <t>(+) Depreciación y amortización</t>
        </is>
      </c>
      <c r="B122" s="12" t="n">
        <v>0</v>
      </c>
      <c r="C122" s="12">
        <f>C78</f>
        <v/>
      </c>
      <c r="D122" s="12">
        <f>D78</f>
        <v/>
      </c>
      <c r="E122" s="12">
        <f>E78</f>
        <v/>
      </c>
      <c r="F122" s="12">
        <f>F78</f>
        <v/>
      </c>
      <c r="G122" s="12">
        <f>G78</f>
        <v/>
      </c>
      <c r="H122" s="12">
        <f>H78</f>
        <v/>
      </c>
      <c r="I122" s="12">
        <f>I78</f>
        <v/>
      </c>
      <c r="J122" s="12">
        <f>J78</f>
        <v/>
      </c>
      <c r="K122" s="12">
        <f>K78</f>
        <v/>
      </c>
      <c r="L122" s="12">
        <f>L78</f>
        <v/>
      </c>
    </row>
    <row r="123">
      <c r="A123" s="6" t="inlineStr">
        <is>
          <t>(+) Valor de desecho</t>
        </is>
      </c>
      <c r="B123" s="12" t="n">
        <v>0</v>
      </c>
      <c r="C123" s="12" t="n">
        <v>0</v>
      </c>
      <c r="D123" s="12" t="n">
        <v>0</v>
      </c>
      <c r="E123" s="12" t="n">
        <v>0</v>
      </c>
      <c r="F123" s="12" t="n">
        <v>0</v>
      </c>
      <c r="G123" s="12" t="n">
        <v>0</v>
      </c>
      <c r="H123" s="12" t="n">
        <v>0</v>
      </c>
      <c r="I123" s="12" t="n">
        <v>0</v>
      </c>
      <c r="J123" s="12" t="n">
        <v>0</v>
      </c>
      <c r="K123" s="12" t="n">
        <v>0</v>
      </c>
      <c r="L123" s="12">
        <f>L82</f>
        <v/>
      </c>
    </row>
    <row r="124">
      <c r="A124" s="6" t="inlineStr">
        <is>
          <t>(+) Recuperación capital de trabajo</t>
        </is>
      </c>
      <c r="B124" s="12">
        <f>B85</f>
        <v/>
      </c>
      <c r="C124" s="12">
        <f>C85</f>
        <v/>
      </c>
      <c r="D124" s="12">
        <f>D85</f>
        <v/>
      </c>
      <c r="E124" s="12">
        <f>E85</f>
        <v/>
      </c>
      <c r="F124" s="12">
        <f>F85</f>
        <v/>
      </c>
      <c r="G124" s="12">
        <f>G85</f>
        <v/>
      </c>
      <c r="H124" s="12">
        <f>H85</f>
        <v/>
      </c>
      <c r="I124" s="12">
        <f>I85</f>
        <v/>
      </c>
      <c r="J124" s="12">
        <f>J85</f>
        <v/>
      </c>
      <c r="K124" s="12">
        <f>K85</f>
        <v/>
      </c>
      <c r="L124" s="12">
        <f>L85</f>
        <v/>
      </c>
    </row>
    <row r="125">
      <c r="A125" s="6" t="inlineStr">
        <is>
          <t>(+) Préstamo bancario (Año 0)</t>
        </is>
      </c>
      <c r="B125" s="12">
        <f>D34</f>
        <v/>
      </c>
      <c r="C125" s="12" t="n">
        <v>0</v>
      </c>
      <c r="D125" s="12" t="n">
        <v>0</v>
      </c>
      <c r="E125" s="12" t="n">
        <v>0</v>
      </c>
      <c r="F125" s="12" t="n">
        <v>0</v>
      </c>
      <c r="G125" s="12" t="n">
        <v>0</v>
      </c>
      <c r="H125" s="12" t="n">
        <v>0</v>
      </c>
      <c r="I125" s="12" t="n">
        <v>0</v>
      </c>
      <c r="J125" s="12" t="n">
        <v>0</v>
      </c>
      <c r="K125" s="12" t="n">
        <v>0</v>
      </c>
      <c r="L125" s="12" t="n">
        <v>0</v>
      </c>
    </row>
    <row r="126">
      <c r="A126" s="6" t="inlineStr">
        <is>
          <t>(−) Inversión en activos fijos</t>
        </is>
      </c>
      <c r="B126" s="12">
        <f>SUM(B27:B32)</f>
        <v/>
      </c>
      <c r="C126" s="12" t="n">
        <v>0</v>
      </c>
      <c r="D126" s="12" t="n">
        <v>0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 t="n">
        <v>0</v>
      </c>
    </row>
    <row r="127">
      <c r="A127" s="6" t="inlineStr">
        <is>
          <t>(−) Inversión en capital de trabajo</t>
        </is>
      </c>
      <c r="B127" s="12">
        <f>B84</f>
        <v/>
      </c>
      <c r="C127" s="12">
        <f>C84</f>
        <v/>
      </c>
      <c r="D127" s="12">
        <f>D84</f>
        <v/>
      </c>
      <c r="E127" s="12">
        <f>E84</f>
        <v/>
      </c>
      <c r="F127" s="12">
        <f>F84</f>
        <v/>
      </c>
      <c r="G127" s="12">
        <f>G84</f>
        <v/>
      </c>
      <c r="H127" s="12">
        <f>H84</f>
        <v/>
      </c>
      <c r="I127" s="12">
        <f>I84</f>
        <v/>
      </c>
      <c r="J127" s="12">
        <f>J84</f>
        <v/>
      </c>
      <c r="K127" s="12">
        <f>K84</f>
        <v/>
      </c>
      <c r="L127" s="12">
        <f>L84</f>
        <v/>
      </c>
    </row>
    <row r="128">
      <c r="A128" s="6" t="inlineStr">
        <is>
          <t>(−) Abono a capital del préstamo</t>
        </is>
      </c>
      <c r="B128" s="12" t="n">
        <v>0</v>
      </c>
      <c r="C128" s="12">
        <f>C90</f>
        <v/>
      </c>
      <c r="D128" s="12">
        <f>D90</f>
        <v/>
      </c>
      <c r="E128" s="12">
        <f>E90</f>
        <v/>
      </c>
      <c r="F128" s="12">
        <f>F90</f>
        <v/>
      </c>
      <c r="G128" s="12">
        <f>G90</f>
        <v/>
      </c>
      <c r="H128" s="12">
        <f>H90</f>
        <v/>
      </c>
      <c r="I128" s="12">
        <f>I90</f>
        <v/>
      </c>
      <c r="J128" s="12">
        <f>J90</f>
        <v/>
      </c>
      <c r="K128" s="12">
        <f>K90</f>
        <v/>
      </c>
      <c r="L128" s="12">
        <f>L90</f>
        <v/>
      </c>
    </row>
    <row r="129">
      <c r="A129" s="15" t="inlineStr">
        <is>
          <t>(=) FLUJO DE CAJA NETO</t>
        </is>
      </c>
      <c r="B129" s="16">
        <f>B121+B122+B123+B124+B125-B126-B127-B128</f>
        <v/>
      </c>
      <c r="C129" s="16">
        <f>C121+C122+C123+C124+C125-C126-C127-C128</f>
        <v/>
      </c>
      <c r="D129" s="16">
        <f>D121+D122+D123+D124+D125-D126-D127-D128</f>
        <v/>
      </c>
      <c r="E129" s="16">
        <f>E121+E122+E123+E124+E125-E126-E127-E128</f>
        <v/>
      </c>
      <c r="F129" s="16">
        <f>F121+F122+F123+F124+F125-F126-F127-F128</f>
        <v/>
      </c>
      <c r="G129" s="16">
        <f>G121+G122+G123+G124+G125-G126-G127-G128</f>
        <v/>
      </c>
      <c r="H129" s="16">
        <f>H121+H122+H123+H124+H125-H126-H127-H128</f>
        <v/>
      </c>
      <c r="I129" s="16">
        <f>I121+I122+I123+I124+I125-I126-I127-I128</f>
        <v/>
      </c>
      <c r="J129" s="16">
        <f>J121+J122+J123+J124+J125-J126-J127-J128</f>
        <v/>
      </c>
      <c r="K129" s="16">
        <f>K121+K122+K123+K124+K125-K126-K127-K128</f>
        <v/>
      </c>
      <c r="L129" s="16">
        <f>L121+L122+L123+L124+L125-L126-L127-L128</f>
        <v/>
      </c>
    </row>
    <row r="130">
      <c r="A130" s="21" t="inlineStr">
        <is>
          <t>Flujo de caja acumulado</t>
        </is>
      </c>
      <c r="B130" s="22">
        <f>B129</f>
        <v/>
      </c>
      <c r="C130" s="22">
        <f>B130+C129</f>
        <v/>
      </c>
      <c r="D130" s="22">
        <f>C130+D129</f>
        <v/>
      </c>
      <c r="E130" s="22">
        <f>D130+E129</f>
        <v/>
      </c>
      <c r="F130" s="22">
        <f>E130+F129</f>
        <v/>
      </c>
      <c r="G130" s="22">
        <f>F130+G129</f>
        <v/>
      </c>
      <c r="H130" s="22">
        <f>G130+H129</f>
        <v/>
      </c>
      <c r="I130" s="22">
        <f>H130+I129</f>
        <v/>
      </c>
      <c r="J130" s="22">
        <f>I130+J129</f>
        <v/>
      </c>
      <c r="K130" s="22">
        <f>J130+K129</f>
        <v/>
      </c>
      <c r="L130" s="22">
        <f>K130+L129</f>
        <v/>
      </c>
    </row>
    <row r="132">
      <c r="A132" s="3" t="inlineStr">
        <is>
          <t>11. COSTO DE CAPITAL — PROYECTO PURO (sin financiamiento)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>
      <c r="A133" s="3" t="inlineStr">
        <is>
          <t>Fuente</t>
        </is>
      </c>
      <c r="B133" s="5" t="inlineStr">
        <is>
          <t>Monto</t>
        </is>
      </c>
      <c r="C133" s="5" t="inlineStr">
        <is>
          <t>Participación</t>
        </is>
      </c>
      <c r="D133" s="5" t="inlineStr">
        <is>
          <t>Costo</t>
        </is>
      </c>
      <c r="E133" s="5" t="inlineStr">
        <is>
          <t>Costo ponderado</t>
        </is>
      </c>
      <c r="F133" s="4" t="n"/>
      <c r="G133" s="4" t="n"/>
      <c r="H133" s="4" t="n"/>
      <c r="I133" s="4" t="n"/>
      <c r="J133" s="4" t="n"/>
      <c r="K133" s="4" t="n"/>
      <c r="L133" s="4" t="n"/>
    </row>
    <row r="134">
      <c r="A134" s="6" t="inlineStr">
        <is>
          <t>Recursos propios (100%)</t>
        </is>
      </c>
      <c r="B134" s="12">
        <f>B34</f>
        <v/>
      </c>
      <c r="C134" s="23">
        <f>B134/B135</f>
        <v/>
      </c>
      <c r="D134" s="23">
        <f>$B$12</f>
        <v/>
      </c>
      <c r="E134" s="23">
        <f>C134*D134</f>
        <v/>
      </c>
    </row>
    <row r="135">
      <c r="A135" s="15" t="inlineStr">
        <is>
          <t>TOTAL / Tasa de descuento del proyecto</t>
        </is>
      </c>
      <c r="B135" s="16">
        <f>B134</f>
        <v/>
      </c>
      <c r="C135" s="24" t="n">
        <v>1</v>
      </c>
      <c r="D135" s="25" t="inlineStr">
        <is>
          <t>-</t>
        </is>
      </c>
      <c r="E135" s="24">
        <f>E134</f>
        <v/>
      </c>
    </row>
    <row r="137">
      <c r="A137" s="3" t="inlineStr">
        <is>
          <t>12. INDICADORES FINANCIEROS — PROYECTO PURO</t>
        </is>
      </c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</row>
    <row r="138">
      <c r="A138" s="21" t="inlineStr">
        <is>
          <t>VAN (Valor Actual Neto)</t>
        </is>
      </c>
      <c r="B138" s="8">
        <f>NPV(E135,C109:L109)+B109</f>
        <v/>
      </c>
    </row>
    <row r="139">
      <c r="A139" s="21" t="inlineStr">
        <is>
          <t>TIR (Tasa Interna de Retorno)</t>
        </is>
      </c>
      <c r="B139" s="7">
        <f>IRR(B109:L109)</f>
        <v/>
      </c>
    </row>
    <row r="140">
      <c r="A140" s="21" t="inlineStr">
        <is>
          <t>PRI (años de recuperación)</t>
        </is>
      </c>
      <c r="B140" s="9">
        <f>IF(COUNTIF(B110:L110,"&lt;0")=11,"&gt;10",(COUNTIF(B110:L110,"&lt;0")-1)+(-INDEX(B110:L110,COUNTIF(B110:L110,"&lt;0")))/INDEX(B109:L109,COUNTIF(B110:L110,"&lt;0")+1))</f>
        <v/>
      </c>
    </row>
    <row r="141">
      <c r="A141" s="21" t="inlineStr">
        <is>
          <t>Relación Beneficio/Costo</t>
        </is>
      </c>
      <c r="B141" s="9">
        <f>NPV(E135,C41:L41)/(B34+NPV(E135,C48:L48)+NPV(E135,C68:L68)+NPV(E135,C102:L102))</f>
        <v/>
      </c>
    </row>
    <row r="143">
      <c r="A143" s="3" t="inlineStr">
        <is>
          <t>13. COSTO DE CAPITAL — CON FINANCIAMIENTO (WACC)</t>
        </is>
      </c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</row>
    <row r="144">
      <c r="A144" s="3" t="inlineStr">
        <is>
          <t>Fuente</t>
        </is>
      </c>
      <c r="B144" s="5" t="inlineStr">
        <is>
          <t>Monto</t>
        </is>
      </c>
      <c r="C144" s="5" t="inlineStr">
        <is>
          <t>Participación</t>
        </is>
      </c>
      <c r="D144" s="5" t="inlineStr">
        <is>
          <t>Costo</t>
        </is>
      </c>
      <c r="E144" s="5" t="inlineStr">
        <is>
          <t>Costo ponderado</t>
        </is>
      </c>
      <c r="F144" s="4" t="n"/>
      <c r="G144" s="4" t="n"/>
      <c r="H144" s="4" t="n"/>
      <c r="I144" s="4" t="n"/>
      <c r="J144" s="4" t="n"/>
      <c r="K144" s="4" t="n"/>
      <c r="L144" s="4" t="n"/>
    </row>
    <row r="145">
      <c r="A145" s="6" t="inlineStr">
        <is>
          <t>Préstamo bancario (deuda, después de impuestos)</t>
        </is>
      </c>
      <c r="B145" s="12">
        <f>D34</f>
        <v/>
      </c>
      <c r="C145" s="23">
        <f>B145/B147</f>
        <v/>
      </c>
      <c r="D145" s="23">
        <f>$B$9*(1-$B$6)</f>
        <v/>
      </c>
      <c r="E145" s="23">
        <f>C145*D145</f>
        <v/>
      </c>
    </row>
    <row r="146">
      <c r="A146" s="6" t="inlineStr">
        <is>
          <t>Recursos propios (patrimonio)</t>
        </is>
      </c>
      <c r="B146" s="12">
        <f>C34</f>
        <v/>
      </c>
      <c r="C146" s="23">
        <f>B146/B147</f>
        <v/>
      </c>
      <c r="D146" s="23">
        <f>$B$12</f>
        <v/>
      </c>
      <c r="E146" s="23">
        <f>C146*D146</f>
        <v/>
      </c>
    </row>
    <row r="147">
      <c r="A147" s="15" t="inlineStr">
        <is>
          <t>TOTAL / WACC</t>
        </is>
      </c>
      <c r="B147" s="16">
        <f>B145+B146</f>
        <v/>
      </c>
      <c r="C147" s="24" t="n">
        <v>1</v>
      </c>
      <c r="D147" s="25" t="inlineStr">
        <is>
          <t>-</t>
        </is>
      </c>
      <c r="E147" s="24">
        <f>E145+E146</f>
        <v/>
      </c>
    </row>
    <row r="149">
      <c r="A149" s="3" t="inlineStr">
        <is>
          <t>14. INDICADORES FINANCIEROS — CON FINANCIAMIENTO</t>
        </is>
      </c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</row>
    <row r="150">
      <c r="A150" s="21" t="inlineStr">
        <is>
          <t>VAN (Valor Actual Neto)</t>
        </is>
      </c>
      <c r="B150" s="8">
        <f>NPV(E147,C129:L129)+B129</f>
        <v/>
      </c>
    </row>
    <row r="151">
      <c r="A151" s="21" t="inlineStr">
        <is>
          <t>TIR (Tasa Interna de Retorno)</t>
        </is>
      </c>
      <c r="B151" s="7">
        <f>IRR(B129:L129)</f>
        <v/>
      </c>
    </row>
    <row r="152">
      <c r="A152" s="21" t="inlineStr">
        <is>
          <t>PRI (años de recuperación)</t>
        </is>
      </c>
      <c r="B152" s="9">
        <f>IF(COUNTIF(B130:L130,"&lt;0")=11,"&gt;10",(COUNTIF(B130:L130,"&lt;0")-1)+(-INDEX(B130:L130,COUNTIF(B130:L130,"&lt;0")))/INDEX(B129:L129,COUNTIF(B130:L130,"&lt;0")+1))</f>
        <v/>
      </c>
    </row>
    <row r="153">
      <c r="A153" s="21" t="inlineStr">
        <is>
          <t>Relación Beneficio/Costo</t>
        </is>
      </c>
      <c r="B153" s="9">
        <f>NPV(E147,C41:L41)/(C34+NPV(E147,C48:L48)+NPV(E147,C68:L68)+NPV(E147,C117:L117)+NPV(E147,C120:L120)+NPV(E147,C128:L128))</f>
        <v/>
      </c>
    </row>
    <row r="155">
      <c r="A155" s="3" t="inlineStr">
        <is>
          <t>15. NOTAS LEGALES (cumplimiento normativo Honduras)</t>
        </is>
      </c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</row>
    <row r="156" ht="30" customHeight="1">
      <c r="A156" s="26" t="inlineStr">
        <is>
          <t>• ISR: 25% sobre la renta neta gravable + aportación solidaria 5% sobre el excedente de L 1,000,000 (Ley del Impuesto Sobre la Renta).</t>
        </is>
      </c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</row>
    <row r="157" ht="30" customHeight="1">
      <c r="A157" s="26" t="inlineStr">
        <is>
          <t>• Depreciación línea recta (Ley del ISR): maquinaria y equipo 10%; vehículos 10%-33% (aquí 20% = 5 años); edificios 2.5%-10%; herramientas 25%. Gastos diferidos/organización se amortizan en 5 años.</t>
        </is>
      </c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</row>
    <row r="158" ht="30" customHeight="1">
      <c r="A158" s="26" t="inlineStr">
        <is>
          <t>• Seguridad social patronal (techo mensual L 11,903.13): IHSS Enfermedad-Maternidad 2.5% + Invalidez-Vejez-Muerte 1% + Riesgo Profesional 0.2% + RAP 1.5% (todos con techo); INFOP 1% sobre planilla total (sin techo).</t>
        </is>
      </c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</row>
    <row r="159" ht="30" customHeight="1">
      <c r="A159" s="26" t="inlineStr">
        <is>
          <t>• Prestaciones (Código del Trabajo): aguinaldo (13.º mes, diciembre) y catorceavo (14.º mes, julio). Vacaciones y cesantía se reconocen al pagarse.</t>
        </is>
      </c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</row>
    <row r="160" ht="30" customHeight="1">
      <c r="A160" s="26" t="inlineStr">
        <is>
          <t>• ISV (impuesto sobre ventas 15%): la leche fluida/pasteurizada está EXENTA; no se cobra ISV en las ventas del producto.</t>
        </is>
      </c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</row>
    <row r="161" ht="30" customHeight="1">
      <c r="A161" s="26" t="inlineStr">
        <is>
          <t>• Impuesto al Activo Neto: 1% anual sobre activos netos con deducción de L 3,000,000; se paga solo si supera al ISR y está exento en el periodo preoperativo.</t>
        </is>
      </c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</row>
    <row r="162" ht="30" customHeight="1">
      <c r="A162" s="26" t="inlineStr">
        <is>
          <t>• Pérdidas fiscales: la actividad manufacturera puede arrastrarlas hasta 3 años. No se aplicó (criterio conservador); su uso mejoraría levemente el VAN.</t>
        </is>
      </c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</row>
    <row r="163" ht="30" customHeight="1">
      <c r="A163" s="26" t="inlineStr">
        <is>
          <t>• Impuestos municipales (Plan de Arbitrios de Comayagua): impuesto de industria, comercio y servicios sobre ingresos, bienes inmuebles, rótulos y tasas por servicios.</t>
        </is>
      </c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</row>
  </sheetData>
  <mergeCells count="33">
    <mergeCell ref="D57:L57"/>
    <mergeCell ref="A25:L25"/>
    <mergeCell ref="A137:L137"/>
    <mergeCell ref="A80:L80"/>
    <mergeCell ref="A149:L149"/>
    <mergeCell ref="A158:L158"/>
    <mergeCell ref="D53:L53"/>
    <mergeCell ref="A50:L50"/>
    <mergeCell ref="A163:L163"/>
    <mergeCell ref="A95:L95"/>
    <mergeCell ref="A160:L160"/>
    <mergeCell ref="D56:L56"/>
    <mergeCell ref="D58:L58"/>
    <mergeCell ref="A159:L159"/>
    <mergeCell ref="A4:L4"/>
    <mergeCell ref="D55:L55"/>
    <mergeCell ref="A156:L156"/>
    <mergeCell ref="A161:L161"/>
    <mergeCell ref="A43:L43"/>
    <mergeCell ref="D51:L51"/>
    <mergeCell ref="A112:L112"/>
    <mergeCell ref="A63:L63"/>
    <mergeCell ref="A155:L155"/>
    <mergeCell ref="D54:L54"/>
    <mergeCell ref="A143:L143"/>
    <mergeCell ref="A157:L157"/>
    <mergeCell ref="A132:L132"/>
    <mergeCell ref="A36:L36"/>
    <mergeCell ref="C59:L59"/>
    <mergeCell ref="A70:L70"/>
    <mergeCell ref="A162:L162"/>
    <mergeCell ref="A87:L87"/>
    <mergeCell ref="D52:L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2" customWidth="1" min="4" max="4"/>
  </cols>
  <sheetData>
    <row r="1">
      <c r="A1" s="21" t="inlineStr">
        <is>
          <t>Correcciones a realizar en el documento de tesis</t>
        </is>
      </c>
    </row>
    <row r="2">
      <c r="A2" s="5" t="inlineStr">
        <is>
          <t>#</t>
        </is>
      </c>
      <c r="B2" s="3" t="inlineStr">
        <is>
          <t>Dónde en la tesis</t>
        </is>
      </c>
      <c r="C2" s="3" t="inlineStr">
        <is>
          <t>Qué está mal</t>
        </is>
      </c>
      <c r="D2" s="3" t="inlineStr">
        <is>
          <t>Corrección</t>
        </is>
      </c>
    </row>
    <row r="3" ht="42" customHeight="1">
      <c r="A3" s="13" t="n">
        <v>1</v>
      </c>
      <c r="B3" s="26" t="inlineStr">
        <is>
          <t>Cuadro 6 / Costo de personal</t>
        </is>
      </c>
      <c r="C3" s="26" t="inlineStr">
        <is>
          <t>Planilla mensual (L92,600) usada como costo anual</t>
        </is>
      </c>
      <c r="D3" s="26" t="inlineStr">
        <is>
          <t>Anualizar ×12 + aguinaldo + catorceavo + cargas patronales con techo de ley</t>
        </is>
      </c>
    </row>
    <row r="4" ht="42" customHeight="1">
      <c r="A4" s="13" t="n">
        <v>2</v>
      </c>
      <c r="B4" s="26" t="inlineStr">
        <is>
          <t>Cuadros 5 y 6</t>
        </is>
      </c>
      <c r="C4" s="26" t="inlineStr">
        <is>
          <t>Personal contado dos veces</t>
        </is>
      </c>
      <c r="D4" s="26" t="inlineStr">
        <is>
          <t>Dejarlo en una sola línea</t>
        </is>
      </c>
    </row>
    <row r="5" ht="42" customHeight="1">
      <c r="A5" s="13" t="n">
        <v>3</v>
      </c>
      <c r="B5" s="26" t="inlineStr">
        <is>
          <t>Cuadros 5 y 6</t>
        </is>
      </c>
      <c r="C5" s="26" t="inlineStr">
        <is>
          <t>Costos mensuales usados como anuales</t>
        </is>
      </c>
      <c r="D5" s="26" t="inlineStr">
        <is>
          <t>Multiplicar por 12</t>
        </is>
      </c>
    </row>
    <row r="6" ht="42" customHeight="1">
      <c r="A6" s="13" t="n">
        <v>4</v>
      </c>
      <c r="B6" s="26" t="inlineStr">
        <is>
          <t>Costos fijos (leche L390,000)</t>
        </is>
      </c>
      <c r="C6" s="26" t="inlineStr">
        <is>
          <t>Leche, empaque y combustible como fijos</t>
        </is>
      </c>
      <c r="D6" s="26" t="inlineStr">
        <is>
          <t>Volverlos variables (por litro vendido)</t>
        </is>
      </c>
    </row>
    <row r="7" ht="42" customHeight="1">
      <c r="A7" s="13" t="n">
        <v>5</v>
      </c>
      <c r="B7" s="26" t="inlineStr">
        <is>
          <t>Gastos administrativos</t>
        </is>
      </c>
      <c r="C7" s="26" t="inlineStr">
        <is>
          <t>Los ítems suman L21,600 pero dice L22,600</t>
        </is>
      </c>
      <c r="D7" s="26" t="inlineStr">
        <is>
          <t>Corregir la suma</t>
        </is>
      </c>
    </row>
    <row r="8" ht="42" customHeight="1">
      <c r="A8" s="13" t="n">
        <v>6</v>
      </c>
      <c r="B8" s="26" t="inlineStr">
        <is>
          <t>Cuadro 3 (depreciación)</t>
        </is>
      </c>
      <c r="C8" s="26" t="inlineStr">
        <is>
          <t>Camión con vida de 3 años</t>
        </is>
      </c>
      <c r="D8" s="26" t="inlineStr">
        <is>
          <t>Vida útil 5 años (dentro del rango legal 10-33%)</t>
        </is>
      </c>
    </row>
    <row r="9" ht="42" customHeight="1">
      <c r="A9" s="13" t="n">
        <v>7</v>
      </c>
      <c r="B9" s="26" t="inlineStr">
        <is>
          <t>Estudio financiero</t>
        </is>
      </c>
      <c r="C9" s="26" t="inlineStr">
        <is>
          <t>No aplica impuesto sobre la renta</t>
        </is>
      </c>
      <c r="D9" s="26" t="inlineStr">
        <is>
          <t>ISR 25% + 5% solidaria (renta &gt; L1M)</t>
        </is>
      </c>
    </row>
    <row r="10" ht="42" customHeight="1">
      <c r="A10" s="13" t="n">
        <v>8</v>
      </c>
      <c r="B10" s="26" t="inlineStr">
        <is>
          <t>Estudio financiero</t>
        </is>
      </c>
      <c r="C10" s="26" t="inlineStr">
        <is>
          <t>No define tasa de descuento ni WACC</t>
        </is>
      </c>
      <c r="D10" s="26" t="inlineStr">
        <is>
          <t>Tasa de descuento 15% y WACC calculado</t>
        </is>
      </c>
    </row>
    <row r="11" ht="42" customHeight="1">
      <c r="A11" s="13" t="n">
        <v>9</v>
      </c>
      <c r="B11" s="26" t="inlineStr">
        <is>
          <t>Estudio financiero</t>
        </is>
      </c>
      <c r="C11" s="26" t="inlineStr">
        <is>
          <t>No incluye capital de trabajo</t>
        </is>
      </c>
      <c r="D11" s="26" t="inlineStr">
        <is>
          <t>Incluir 2 meses de costos, recuperar Año 10</t>
        </is>
      </c>
    </row>
    <row r="12" ht="42" customHeight="1">
      <c r="A12" s="13" t="n">
        <v>10</v>
      </c>
      <c r="B12" s="26" t="inlineStr">
        <is>
          <t>Estudio de personal</t>
        </is>
      </c>
      <c r="C12" s="26" t="inlineStr">
        <is>
          <t>Faltan cargas sociales de ley</t>
        </is>
      </c>
      <c r="D12" s="26" t="inlineStr">
        <is>
          <t>IHSS+RAP (con techo) + INFOP + aguinaldo + catorceavo</t>
        </is>
      </c>
    </row>
    <row r="13" ht="42" customHeight="1">
      <c r="A13" s="13" t="n">
        <v>11</v>
      </c>
      <c r="B13" s="26" t="inlineStr">
        <is>
          <t>Cuadro 1 / ventas</t>
        </is>
      </c>
      <c r="C13" s="26" t="inlineStr">
        <is>
          <t>Consumo por cliente (60 L/mes) muy bajo para HORECA</t>
        </is>
      </c>
      <c r="D13" s="26" t="inlineStr">
        <is>
          <t>Ajustar a consumo realista (ya incorporado)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2026-07-11T01:18:41Z</dcterms:created>
  <dcterms:modified xsi:type="dcterms:W3CDTF">2026-07-11T01:18:41Z</dcterms:modified>
</cp:coreProperties>
</file>