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udio Corregido" sheetId="1" state="visible" r:id="rId1"/>
    <sheet xmlns:r="http://schemas.openxmlformats.org/officeDocument/2006/relationships" name="Auditoría y Correcciones" sheetId="2" state="visible" r:id="rId2"/>
    <sheet xmlns:r="http://schemas.openxmlformats.org/officeDocument/2006/relationships" name="Sensibilidad y Es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&quot;Año &quot;0"/>
  </numFmts>
  <fonts count="5">
    <font>
      <name val="Calibri"/>
      <family val="2"/>
      <color theme="1"/>
      <sz val="11"/>
      <scheme val="minor"/>
    </font>
    <font>
      <name val="Calibri"/>
      <b val="1"/>
      <color rgb="FF000000"/>
      <sz val="12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color rgb="FFC00000"/>
      <sz val="12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8CBAD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2" fillId="0" borderId="1" applyAlignment="1" pivotButton="0" quotePrefix="0" xfId="0">
      <alignment horizontal="left" vertical="center" wrapText="1"/>
    </xf>
    <xf numFmtId="10" fontId="1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1" fillId="4" borderId="1" applyAlignment="1" pivotButton="0" quotePrefix="0" xfId="0">
      <alignment horizontal="center" vertical="center" wrapText="1"/>
    </xf>
    <xf numFmtId="1" fontId="1" fillId="4" borderId="1" applyAlignment="1" pivotButton="0" quotePrefix="0" xfId="0">
      <alignment horizontal="center" vertical="center" wrapText="1"/>
    </xf>
    <xf numFmtId="2" fontId="1" fillId="4" borderId="1" applyAlignment="1" pivotButton="0" quotePrefix="0" xfId="0">
      <alignment horizontal="center" vertical="center" wrapText="1"/>
    </xf>
    <xf numFmtId="164" fontId="1" fillId="4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10" fontId="2" fillId="0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left" vertical="center" wrapText="1"/>
    </xf>
    <xf numFmtId="3" fontId="1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" fillId="0" borderId="1" applyAlignment="1" pivotButton="0" quotePrefix="0" xfId="0">
      <alignment horizontal="left" vertical="center" wrapText="1"/>
    </xf>
    <xf numFmtId="3" fontId="1" fillId="0" borderId="1" applyAlignment="1" pivotButton="0" quotePrefix="0" xfId="0">
      <alignment horizontal="right" vertical="center"/>
    </xf>
    <xf numFmtId="165" fontId="1" fillId="2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0" fontId="2" fillId="5" borderId="1" applyAlignment="1" pivotButton="0" quotePrefix="0" xfId="0">
      <alignment horizontal="left" vertical="center" wrapText="1"/>
    </xf>
    <xf numFmtId="0" fontId="2" fillId="5" borderId="1" pivotButton="0" quotePrefix="0" xfId="0"/>
    <xf numFmtId="3" fontId="3" fillId="3" borderId="1" applyAlignment="1" pivotButton="0" quotePrefix="0" xfId="0">
      <alignment horizontal="right" vertical="center"/>
    </xf>
    <xf numFmtId="0" fontId="1" fillId="6" borderId="1" applyAlignment="1" pivotButton="0" quotePrefix="0" xfId="0">
      <alignment horizontal="left" vertical="center" wrapText="1"/>
    </xf>
    <xf numFmtId="3" fontId="1" fillId="6" borderId="1" applyAlignment="1" pivotButton="0" quotePrefix="0" xfId="0">
      <alignment horizontal="right" vertical="center"/>
    </xf>
    <xf numFmtId="3" fontId="1" fillId="6" borderId="1" applyAlignment="1" pivotButton="0" quotePrefix="0" xfId="0">
      <alignment horizontal="center" vertical="center" wrapText="1"/>
    </xf>
    <xf numFmtId="10" fontId="1" fillId="6" borderId="1" applyAlignment="1" pivotButton="0" quotePrefix="0" xfId="0">
      <alignment horizontal="center" vertical="center" wrapText="1"/>
    </xf>
    <xf numFmtId="2" fontId="1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10" fontId="1" fillId="5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2" fillId="7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right" vertical="center"/>
    </xf>
    <xf numFmtId="3" fontId="2" fillId="7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 wrapText="1"/>
    </xf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ESTUDIO FINANCIERO CORREGIDO — LECHE PASTEURIZADA «PURA» (HONDURAS)</t>
        </is>
      </c>
    </row>
    <row r="2">
      <c r="A2" s="2" t="inlineStr">
        <is>
          <t>Auditoría de finanzas corporativas · Cifras en Lempiras (Lps) · Horizonte 10 años</t>
        </is>
      </c>
    </row>
    <row r="3">
      <c r="A3" s="2" t="inlineStr">
        <is>
          <t>Autores: Jaime M. Caballero · Fredy D. Valladares · Horacio E. Medal  |  Modelo con costos reales, prestaciones de ley e ISR de Honduras</t>
        </is>
      </c>
    </row>
    <row r="5">
      <c r="A5" s="3" t="inlineStr">
        <is>
          <t>1. SUPUESTOS Y PARÁMETROS (validados para Honduras — celdas editables en azul)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5" t="inlineStr">
        <is>
          <t>Parámetro</t>
        </is>
      </c>
      <c r="B6" s="1" t="inlineStr">
        <is>
          <t>Valor</t>
        </is>
      </c>
      <c r="C6" s="5" t="inlineStr">
        <is>
          <t>Fuente / Justificación</t>
        </is>
      </c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>
      <c r="A7" s="7" t="inlineStr">
        <is>
          <t>Inflación anual</t>
        </is>
      </c>
      <c r="B7" s="8" t="n">
        <v>0.045</v>
      </c>
      <c r="C7" s="7" t="inlineStr">
        <is>
          <t>Cuadro 6 tesis — inflación promedio nacional 4.5%</t>
        </is>
      </c>
      <c r="D7" s="9" t="n"/>
      <c r="E7" s="9" t="n"/>
      <c r="F7" s="9" t="n"/>
      <c r="G7" s="9" t="n"/>
      <c r="H7" s="9" t="n"/>
      <c r="I7" s="9" t="n"/>
      <c r="J7" s="9" t="n"/>
      <c r="K7" s="9" t="n"/>
      <c r="L7" s="9" t="n"/>
    </row>
    <row r="8">
      <c r="A8" s="7" t="inlineStr">
        <is>
          <t>ISR — tasa base sociedades</t>
        </is>
      </c>
      <c r="B8" s="8" t="n">
        <v>0.25</v>
      </c>
      <c r="C8" s="7" t="inlineStr">
        <is>
          <t>Ley del ISR de Honduras (25% renta neta)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</row>
    <row r="9">
      <c r="A9" s="7" t="inlineStr">
        <is>
          <t>Aportación solidaria (sobre excedente)</t>
        </is>
      </c>
      <c r="B9" s="8" t="n">
        <v>0.05</v>
      </c>
      <c r="C9" s="7" t="inlineStr">
        <is>
          <t>5% adicional sobre renta neta &gt; L 1,000,000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</row>
    <row r="10">
      <c r="A10" s="7" t="inlineStr">
        <is>
          <t>Umbral aportación solidaria (Lps)</t>
        </is>
      </c>
      <c r="B10" s="10" t="n">
        <v>1000000</v>
      </c>
      <c r="C10" s="7" t="inlineStr">
        <is>
          <t>Excedente gravado con la aportación solidaria</t>
        </is>
      </c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</row>
    <row r="11">
      <c r="A11" s="7" t="inlineStr">
        <is>
          <t>TREMA / Costo capital propio (Ke)</t>
        </is>
      </c>
      <c r="B11" s="8" t="n">
        <v>0.15</v>
      </c>
      <c r="C11" s="7" t="inlineStr">
        <is>
          <t>Rendimiento mínimo del inversionista (ajustable)</t>
        </is>
      </c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</row>
    <row r="12">
      <c r="A12" s="7" t="inlineStr">
        <is>
          <t>Tasa de interés préstamo (Kd)</t>
        </is>
      </c>
      <c r="B12" s="8" t="n">
        <v>0.14</v>
      </c>
      <c r="C12" s="7" t="inlineStr">
        <is>
          <t>Tasa activa promedio banca hondureña</t>
        </is>
      </c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</row>
    <row r="13">
      <c r="A13" s="7" t="inlineStr">
        <is>
          <t>% de la inversión con préstamo</t>
        </is>
      </c>
      <c r="B13" s="8" t="n">
        <v>0.4</v>
      </c>
      <c r="C13" s="7" t="inlineStr">
        <is>
          <t>Escenario de apalancamiento (ajustable)</t>
        </is>
      </c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</row>
    <row r="14">
      <c r="A14" s="7" t="inlineStr">
        <is>
          <t>Plazo del préstamo (años)</t>
        </is>
      </c>
      <c r="B14" s="11" t="n">
        <v>5</v>
      </c>
      <c r="C14" s="7" t="inlineStr">
        <is>
          <t>Cuota anual fija (sistema francés)</t>
        </is>
      </c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</row>
    <row r="15">
      <c r="A15" s="7" t="inlineStr">
        <is>
          <t>Compra de leche mensual a capacidad (Lps)</t>
        </is>
      </c>
      <c r="B15" s="10" t="n">
        <v>390000</v>
      </c>
      <c r="C15" s="7" t="inlineStr">
        <is>
          <t>Cuadro tesis — costo de leche a 1,000 L/día</t>
        </is>
      </c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>
      <c r="A16" s="7" t="inlineStr">
        <is>
          <t>Capacidad mensual de leche (L)</t>
        </is>
      </c>
      <c r="B16" s="10" t="n">
        <v>30000</v>
      </c>
      <c r="C16" s="7" t="inlineStr">
        <is>
          <t>1,000 L/día × 30 días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7">
      <c r="A17" s="7" t="inlineStr">
        <is>
          <t>Costo leche cruda (Lps/L)</t>
        </is>
      </c>
      <c r="B17" s="12">
        <f>B15/B16</f>
        <v/>
      </c>
      <c r="C17" s="7" t="inlineStr">
        <is>
          <t>Derivado: L390,000 ÷ 30,000 L ≈ L13/L (coincide precio real Honduras)</t>
        </is>
      </c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</row>
    <row r="18">
      <c r="A18" s="7" t="inlineStr">
        <is>
          <t>Merma de proceso</t>
        </is>
      </c>
      <c r="B18" s="8" t="n">
        <v>0.03</v>
      </c>
      <c r="C18" s="7" t="inlineStr">
        <is>
          <t>Pérdida en pasteurización/envasado (3%)</t>
        </is>
      </c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>
      <c r="A19" s="7" t="inlineStr">
        <is>
          <t>Costo de empaque (Lps/L)</t>
        </is>
      </c>
      <c r="B19" s="13">
        <f>26000/B16</f>
        <v/>
      </c>
      <c r="C19" s="7" t="inlineStr">
        <is>
          <t>Cuadro tesis: L26,000/mes ÷ 30,000 L</t>
        </is>
      </c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</row>
    <row r="20">
      <c r="A20" s="7" t="inlineStr">
        <is>
          <t>Costo combustible distribución (Lps/L)</t>
        </is>
      </c>
      <c r="B20" s="13">
        <f>26000/B16</f>
        <v/>
      </c>
      <c r="C20" s="7" t="inlineStr">
        <is>
          <t>Cuadro tesis: L26,000/mes ÷ 30,000 L (variable)</t>
        </is>
      </c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</row>
    <row r="21">
      <c r="A21" s="7" t="inlineStr">
        <is>
          <t>Salarios: meses/año</t>
        </is>
      </c>
      <c r="B21" s="11" t="n">
        <v>14</v>
      </c>
      <c r="C21" s="7" t="inlineStr">
        <is>
          <t>12 sueldos + aguinaldo (13º) + catorceavo (14º) — ley Honduras</t>
        </is>
      </c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</row>
    <row r="22">
      <c r="A22" s="7" t="inlineStr">
        <is>
          <t>Cargas patronales (IHSS+RAP+INFOP)</t>
        </is>
      </c>
      <c r="B22" s="8" t="n">
        <v>0.12</v>
      </c>
      <c r="C22" s="7" t="inlineStr">
        <is>
          <t>≈12% patronal (IHSS 5% + RAP 1.5% + INFOP 1% + otros)</t>
        </is>
      </c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7" t="inlineStr">
        <is>
          <t>Meses de capital de trabajo</t>
        </is>
      </c>
      <c r="B23" s="11" t="n">
        <v>2</v>
      </c>
      <c r="C23" s="7" t="inlineStr">
        <is>
          <t>Meses de costos operativos como capital de trabajo</t>
        </is>
      </c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4">
      <c r="A24" s="7" t="inlineStr">
        <is>
          <t>Vida útil del camión (años)</t>
        </is>
      </c>
      <c r="B24" s="11" t="n">
        <v>3</v>
      </c>
      <c r="C24" s="7" t="inlineStr">
        <is>
          <t>Depreciación 33.33% — se reinvierte cada 3 años</t>
        </is>
      </c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</row>
    <row r="25">
      <c r="A25" s="7" t="inlineStr">
        <is>
          <t>Valor de salvamento (Año 10)</t>
        </is>
      </c>
      <c r="B25" s="10" t="n">
        <v>0</v>
      </c>
      <c r="C25" s="7" t="inlineStr">
        <is>
          <t>Conservador; ajustable</t>
        </is>
      </c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</row>
    <row r="27">
      <c r="A27" s="3" t="inlineStr">
        <is>
          <t>2. INVERSIONES (Lps)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>
      <c r="A28" s="5" t="inlineStr">
        <is>
          <t>Rubro</t>
        </is>
      </c>
      <c r="B28" s="1" t="inlineStr">
        <is>
          <t>Valor</t>
        </is>
      </c>
      <c r="C28" s="1" t="inlineStr">
        <is>
          <t>Vida (años)</t>
        </is>
      </c>
      <c r="D28" s="1" t="inlineStr">
        <is>
          <t>Tasa</t>
        </is>
      </c>
      <c r="E28" s="5" t="inlineStr">
        <is>
          <t>Categoría</t>
        </is>
      </c>
      <c r="F28" s="6" t="n"/>
      <c r="G28" s="6" t="n"/>
      <c r="H28" s="6" t="n"/>
      <c r="I28" s="6" t="n"/>
      <c r="J28" s="6" t="n"/>
      <c r="K28" s="6" t="n"/>
      <c r="L28" s="6" t="n"/>
    </row>
    <row r="29">
      <c r="A29" s="7" t="inlineStr">
        <is>
          <t>Tanques de almacenamiento</t>
        </is>
      </c>
      <c r="B29" s="14" t="n">
        <v>360000</v>
      </c>
      <c r="C29" s="15" t="n">
        <v>10</v>
      </c>
      <c r="D29" s="16" t="n">
        <v>0.1</v>
      </c>
      <c r="E29" s="7" t="inlineStr">
        <is>
          <t>Activo fijo depreciable</t>
        </is>
      </c>
      <c r="F29" s="9" t="n"/>
      <c r="G29" s="9" t="n"/>
      <c r="H29" s="9" t="n"/>
      <c r="I29" s="9" t="n"/>
      <c r="J29" s="9" t="n"/>
      <c r="K29" s="9" t="n"/>
      <c r="L29" s="9" t="n"/>
    </row>
    <row r="30">
      <c r="A30" s="7" t="inlineStr">
        <is>
          <t>Pasteurizador HTST</t>
        </is>
      </c>
      <c r="B30" s="14" t="n">
        <v>150000</v>
      </c>
      <c r="C30" s="15" t="n">
        <v>10</v>
      </c>
      <c r="D30" s="16" t="n">
        <v>0.1</v>
      </c>
      <c r="E30" s="7" t="inlineStr">
        <is>
          <t>Activo fijo depreciable</t>
        </is>
      </c>
      <c r="F30" s="9" t="n"/>
      <c r="G30" s="9" t="n"/>
      <c r="H30" s="9" t="n"/>
      <c r="I30" s="9" t="n"/>
      <c r="J30" s="9" t="n"/>
      <c r="K30" s="9" t="n"/>
      <c r="L30" s="9" t="n"/>
    </row>
    <row r="31">
      <c r="A31" s="7" t="inlineStr">
        <is>
          <t>Envasadora automática</t>
        </is>
      </c>
      <c r="B31" s="14" t="n">
        <v>260000</v>
      </c>
      <c r="C31" s="15" t="n">
        <v>10</v>
      </c>
      <c r="D31" s="16" t="n">
        <v>0.1</v>
      </c>
      <c r="E31" s="7" t="inlineStr">
        <is>
          <t>Activo fijo depreciable</t>
        </is>
      </c>
      <c r="F31" s="9" t="n"/>
      <c r="G31" s="9" t="n"/>
      <c r="H31" s="9" t="n"/>
      <c r="I31" s="9" t="n"/>
      <c r="J31" s="9" t="n"/>
      <c r="K31" s="9" t="n"/>
      <c r="L31" s="9" t="n"/>
    </row>
    <row r="32">
      <c r="A32" s="7" t="inlineStr">
        <is>
          <t>Sistema de enfriamiento</t>
        </is>
      </c>
      <c r="B32" s="14" t="n">
        <v>125000</v>
      </c>
      <c r="C32" s="15" t="n">
        <v>10</v>
      </c>
      <c r="D32" s="16" t="n">
        <v>0.1</v>
      </c>
      <c r="E32" s="7" t="inlineStr">
        <is>
          <t>Activo fijo depreciable</t>
        </is>
      </c>
      <c r="F32" s="9" t="n"/>
      <c r="G32" s="9" t="n"/>
      <c r="H32" s="9" t="n"/>
      <c r="I32" s="9" t="n"/>
      <c r="J32" s="9" t="n"/>
      <c r="K32" s="9" t="n"/>
      <c r="L32" s="9" t="n"/>
    </row>
    <row r="33">
      <c r="A33" s="7" t="inlineStr">
        <is>
          <t>Camión de distribución</t>
        </is>
      </c>
      <c r="B33" s="14" t="n">
        <v>500000</v>
      </c>
      <c r="C33" s="15" t="n">
        <v>3</v>
      </c>
      <c r="D33" s="16" t="n">
        <v>0.3333</v>
      </c>
      <c r="E33" s="7" t="inlineStr">
        <is>
          <t>Activo fijo depreciable</t>
        </is>
      </c>
      <c r="F33" s="9" t="n"/>
      <c r="G33" s="9" t="n"/>
      <c r="H33" s="9" t="n"/>
      <c r="I33" s="9" t="n"/>
      <c r="J33" s="9" t="n"/>
      <c r="K33" s="9" t="n"/>
      <c r="L33" s="9" t="n"/>
    </row>
    <row r="34">
      <c r="A34" s="17" t="inlineStr">
        <is>
          <t>Subtotal activo fijo</t>
        </is>
      </c>
      <c r="B34" s="18">
        <f>SUM(B29:B33)</f>
        <v/>
      </c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</row>
    <row r="35">
      <c r="A35" s="7" t="inlineStr">
        <is>
          <t>Permisos de funcionamiento</t>
        </is>
      </c>
      <c r="B35" s="14" t="n">
        <v>14000</v>
      </c>
      <c r="C35" s="15" t="n">
        <v>5</v>
      </c>
      <c r="D35" s="16" t="n">
        <v>0.2</v>
      </c>
      <c r="E35" s="7" t="inlineStr">
        <is>
          <t>Diferido (amortiza 5 años)</t>
        </is>
      </c>
      <c r="F35" s="9" t="n"/>
      <c r="G35" s="9" t="n"/>
      <c r="H35" s="9" t="n"/>
      <c r="I35" s="9" t="n"/>
      <c r="J35" s="9" t="n"/>
      <c r="K35" s="9" t="n"/>
      <c r="L35" s="9" t="n"/>
    </row>
    <row r="36">
      <c r="A36" s="7" t="inlineStr">
        <is>
          <t>Equipos de protección</t>
        </is>
      </c>
      <c r="B36" s="14" t="n">
        <v>3500</v>
      </c>
      <c r="C36" s="15" t="n">
        <v>5</v>
      </c>
      <c r="D36" s="16" t="n">
        <v>0.2</v>
      </c>
      <c r="E36" s="7" t="inlineStr">
        <is>
          <t>Diferido (amortiza 5 años)</t>
        </is>
      </c>
      <c r="F36" s="9" t="n"/>
      <c r="G36" s="9" t="n"/>
      <c r="H36" s="9" t="n"/>
      <c r="I36" s="9" t="n"/>
      <c r="J36" s="9" t="n"/>
      <c r="K36" s="9" t="n"/>
      <c r="L36" s="9" t="n"/>
    </row>
    <row r="37">
      <c r="A37" s="7" t="inlineStr">
        <is>
          <t>Software de gestión</t>
        </is>
      </c>
      <c r="B37" s="14" t="n">
        <v>8500</v>
      </c>
      <c r="C37" s="15" t="n">
        <v>5</v>
      </c>
      <c r="D37" s="16" t="n">
        <v>0.2</v>
      </c>
      <c r="E37" s="7" t="inlineStr">
        <is>
          <t>Diferido (amortiza 5 años)</t>
        </is>
      </c>
      <c r="F37" s="9" t="n"/>
      <c r="G37" s="9" t="n"/>
      <c r="H37" s="9" t="n"/>
      <c r="I37" s="9" t="n"/>
      <c r="J37" s="9" t="n"/>
      <c r="K37" s="9" t="n"/>
      <c r="L37" s="9" t="n"/>
    </row>
    <row r="38">
      <c r="A38" s="7" t="inlineStr">
        <is>
          <t>Inducción y capacitaciones</t>
        </is>
      </c>
      <c r="B38" s="14" t="n">
        <v>25000</v>
      </c>
      <c r="C38" s="15" t="n">
        <v>5</v>
      </c>
      <c r="D38" s="16" t="n">
        <v>0.2</v>
      </c>
      <c r="E38" s="7" t="inlineStr">
        <is>
          <t>Diferido (amortiza 5 años)</t>
        </is>
      </c>
      <c r="F38" s="9" t="n"/>
      <c r="G38" s="9" t="n"/>
      <c r="H38" s="9" t="n"/>
      <c r="I38" s="9" t="n"/>
      <c r="J38" s="9" t="n"/>
      <c r="K38" s="9" t="n"/>
      <c r="L38" s="9" t="n"/>
    </row>
    <row r="39">
      <c r="A39" s="7" t="inlineStr">
        <is>
          <t>Permisos y legales</t>
        </is>
      </c>
      <c r="B39" s="14" t="n">
        <v>25000</v>
      </c>
      <c r="C39" s="15" t="n">
        <v>5</v>
      </c>
      <c r="D39" s="16" t="n">
        <v>0.2</v>
      </c>
      <c r="E39" s="7" t="inlineStr">
        <is>
          <t>Diferido (amortiza 5 años)</t>
        </is>
      </c>
      <c r="F39" s="9" t="n"/>
      <c r="G39" s="9" t="n"/>
      <c r="H39" s="9" t="n"/>
      <c r="I39" s="9" t="n"/>
      <c r="J39" s="9" t="n"/>
      <c r="K39" s="9" t="n"/>
      <c r="L39" s="9" t="n"/>
    </row>
    <row r="40">
      <c r="A40" s="17" t="inlineStr">
        <is>
          <t>Subtotal diferidos</t>
        </is>
      </c>
      <c r="B40" s="18">
        <f>SUM(B35:B39)</f>
        <v/>
      </c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</row>
    <row r="41">
      <c r="A41" s="7" t="inlineStr">
        <is>
          <t>Capital de trabajo inicial</t>
        </is>
      </c>
      <c r="B41" s="14">
        <f>B91</f>
        <v/>
      </c>
      <c r="C41" s="7" t="inlineStr">
        <is>
          <t>Igual a (costos variables + fijos del Año 1) × meses de capital de trabajo ÷ 12</t>
        </is>
      </c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</row>
    <row r="42">
      <c r="A42" s="17" t="inlineStr">
        <is>
          <t>TOTAL INVERSIÓN INICIAL</t>
        </is>
      </c>
      <c r="B42" s="18">
        <f>B34+B40+B41</f>
        <v/>
      </c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</row>
    <row r="43">
      <c r="A43" s="20" t="inlineStr">
        <is>
          <t>Financiamiento — préstamo bancario</t>
        </is>
      </c>
      <c r="B43" s="21">
        <f>$B$13*B42</f>
        <v/>
      </c>
      <c r="C43" s="7" t="inlineStr">
        <is>
          <t>Igual a: % financiado × inversión total</t>
        </is>
      </c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</row>
    <row r="44">
      <c r="A44" s="20" t="inlineStr">
        <is>
          <t>Financiamiento — recursos propios</t>
        </is>
      </c>
      <c r="B44" s="21">
        <f>B42-B43</f>
        <v/>
      </c>
      <c r="C44" s="7" t="inlineStr">
        <is>
          <t>Igual a: inversión total − préstamo</t>
        </is>
      </c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</row>
    <row r="46">
      <c r="A46" s="3" t="inlineStr">
        <is>
          <t>3. PRODUCCIÓN Y VENTAS (Cuadro 1 tesis — VOLUMEN es editable)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</row>
    <row r="47">
      <c r="A47" s="5" t="inlineStr">
        <is>
          <t>Concepto</t>
        </is>
      </c>
      <c r="B47" s="22" t="n">
        <v>0</v>
      </c>
      <c r="C47" s="22" t="n">
        <v>1</v>
      </c>
      <c r="D47" s="22" t="n">
        <v>2</v>
      </c>
      <c r="E47" s="22" t="n">
        <v>3</v>
      </c>
      <c r="F47" s="22" t="n">
        <v>4</v>
      </c>
      <c r="G47" s="22" t="n">
        <v>5</v>
      </c>
      <c r="H47" s="22" t="n">
        <v>6</v>
      </c>
      <c r="I47" s="22" t="n">
        <v>7</v>
      </c>
      <c r="J47" s="22" t="n">
        <v>8</v>
      </c>
      <c r="K47" s="22" t="n">
        <v>9</v>
      </c>
      <c r="L47" s="22" t="n">
        <v>10</v>
      </c>
    </row>
    <row r="48">
      <c r="A48" s="7" t="inlineStr">
        <is>
          <t>Clientes activos</t>
        </is>
      </c>
      <c r="B48" s="14" t="n">
        <v>0</v>
      </c>
      <c r="C48" s="14" t="n">
        <v>15</v>
      </c>
      <c r="D48" s="14" t="n">
        <v>20</v>
      </c>
      <c r="E48" s="14" t="n">
        <v>25</v>
      </c>
      <c r="F48" s="14" t="n">
        <v>30</v>
      </c>
      <c r="G48" s="14" t="n">
        <v>35</v>
      </c>
      <c r="H48" s="14" t="n">
        <v>40</v>
      </c>
      <c r="I48" s="14" t="n">
        <v>45</v>
      </c>
      <c r="J48" s="14" t="n">
        <v>50</v>
      </c>
      <c r="K48" s="14" t="n">
        <v>55</v>
      </c>
      <c r="L48" s="14" t="n">
        <v>60</v>
      </c>
    </row>
    <row r="49">
      <c r="A49" s="7" t="inlineStr">
        <is>
          <t>Volumen anual (litros)</t>
        </is>
      </c>
      <c r="B49" s="23" t="n">
        <v>0</v>
      </c>
      <c r="C49" s="23" t="n">
        <v>14000</v>
      </c>
      <c r="D49" s="23" t="n">
        <v>23000</v>
      </c>
      <c r="E49" s="23" t="n">
        <v>37000</v>
      </c>
      <c r="F49" s="23" t="n">
        <v>59000</v>
      </c>
      <c r="G49" s="23" t="n">
        <v>94000</v>
      </c>
      <c r="H49" s="23" t="n">
        <v>150000</v>
      </c>
      <c r="I49" s="23" t="n">
        <v>240000</v>
      </c>
      <c r="J49" s="23" t="n">
        <v>380000</v>
      </c>
      <c r="K49" s="23" t="n">
        <v>600000</v>
      </c>
      <c r="L49" s="23" t="n">
        <v>950000</v>
      </c>
    </row>
    <row r="50">
      <c r="A50" s="7" t="inlineStr">
        <is>
          <t>Precio (Lps/litro)</t>
        </is>
      </c>
      <c r="B50" s="14" t="n">
        <v>0</v>
      </c>
      <c r="C50" s="14" t="n">
        <v>28</v>
      </c>
      <c r="D50" s="14" t="n">
        <v>29</v>
      </c>
      <c r="E50" s="14" t="n">
        <v>30</v>
      </c>
      <c r="F50" s="14" t="n">
        <v>31</v>
      </c>
      <c r="G50" s="14" t="n">
        <v>32</v>
      </c>
      <c r="H50" s="14" t="n">
        <v>33</v>
      </c>
      <c r="I50" s="14" t="n">
        <v>34</v>
      </c>
      <c r="J50" s="14" t="n">
        <v>35</v>
      </c>
      <c r="K50" s="14" t="n">
        <v>36</v>
      </c>
      <c r="L50" s="14" t="n">
        <v>37</v>
      </c>
    </row>
    <row r="51">
      <c r="A51" s="17" t="inlineStr">
        <is>
          <t>INGRESOS POR VENTAS</t>
        </is>
      </c>
      <c r="B51" s="18">
        <f>B49*B50</f>
        <v/>
      </c>
      <c r="C51" s="18">
        <f>C49*C50</f>
        <v/>
      </c>
      <c r="D51" s="18">
        <f>D49*D50</f>
        <v/>
      </c>
      <c r="E51" s="18">
        <f>E49*E50</f>
        <v/>
      </c>
      <c r="F51" s="18">
        <f>F49*F50</f>
        <v/>
      </c>
      <c r="G51" s="18">
        <f>G49*G50</f>
        <v/>
      </c>
      <c r="H51" s="18">
        <f>H49*H50</f>
        <v/>
      </c>
      <c r="I51" s="18">
        <f>I49*I50</f>
        <v/>
      </c>
      <c r="J51" s="18">
        <f>J49*J50</f>
        <v/>
      </c>
      <c r="K51" s="18">
        <f>K49*K50</f>
        <v/>
      </c>
      <c r="L51" s="18">
        <f>L49*L50</f>
        <v/>
      </c>
    </row>
    <row r="53">
      <c r="A53" s="3" t="inlineStr">
        <is>
          <t>4. COSTOS VARIABLES (escalan con el volumen vendido)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</row>
    <row r="54">
      <c r="A54" s="5" t="inlineStr">
        <is>
          <t>Concepto</t>
        </is>
      </c>
      <c r="B54" s="22" t="n">
        <v>0</v>
      </c>
      <c r="C54" s="22" t="n">
        <v>1</v>
      </c>
      <c r="D54" s="22" t="n">
        <v>2</v>
      </c>
      <c r="E54" s="22" t="n">
        <v>3</v>
      </c>
      <c r="F54" s="22" t="n">
        <v>4</v>
      </c>
      <c r="G54" s="22" t="n">
        <v>5</v>
      </c>
      <c r="H54" s="22" t="n">
        <v>6</v>
      </c>
      <c r="I54" s="22" t="n">
        <v>7</v>
      </c>
      <c r="J54" s="22" t="n">
        <v>8</v>
      </c>
      <c r="K54" s="22" t="n">
        <v>9</v>
      </c>
      <c r="L54" s="22" t="n">
        <v>10</v>
      </c>
    </row>
    <row r="55">
      <c r="A55" s="7" t="inlineStr">
        <is>
          <t>Materia prima: leche cruda (con merma)</t>
        </is>
      </c>
      <c r="B55" s="14" t="n">
        <v>0</v>
      </c>
      <c r="C55" s="14">
        <f>C49*$B$17/(1-$B$18)*(1+$B$7)^1</f>
        <v/>
      </c>
      <c r="D55" s="14">
        <f>D49*$B$17/(1-$B$18)*(1+$B$7)^2</f>
        <v/>
      </c>
      <c r="E55" s="14">
        <f>E49*$B$17/(1-$B$18)*(1+$B$7)^3</f>
        <v/>
      </c>
      <c r="F55" s="14">
        <f>F49*$B$17/(1-$B$18)*(1+$B$7)^4</f>
        <v/>
      </c>
      <c r="G55" s="14">
        <f>G49*$B$17/(1-$B$18)*(1+$B$7)^5</f>
        <v/>
      </c>
      <c r="H55" s="14">
        <f>H49*$B$17/(1-$B$18)*(1+$B$7)^6</f>
        <v/>
      </c>
      <c r="I55" s="14">
        <f>I49*$B$17/(1-$B$18)*(1+$B$7)^7</f>
        <v/>
      </c>
      <c r="J55" s="14">
        <f>J49*$B$17/(1-$B$18)*(1+$B$7)^8</f>
        <v/>
      </c>
      <c r="K55" s="14">
        <f>K49*$B$17/(1-$B$18)*(1+$B$7)^9</f>
        <v/>
      </c>
      <c r="L55" s="14">
        <f>L49*$B$17/(1-$B$18)*(1+$B$7)^10</f>
        <v/>
      </c>
    </row>
    <row r="56">
      <c r="A56" s="7" t="inlineStr">
        <is>
          <t>Empaque (bolsas)</t>
        </is>
      </c>
      <c r="B56" s="14" t="n">
        <v>0</v>
      </c>
      <c r="C56" s="14">
        <f>C49*$B$19*(1+$B$7)^1</f>
        <v/>
      </c>
      <c r="D56" s="14">
        <f>D49*$B$19*(1+$B$7)^2</f>
        <v/>
      </c>
      <c r="E56" s="14">
        <f>E49*$B$19*(1+$B$7)^3</f>
        <v/>
      </c>
      <c r="F56" s="14">
        <f>F49*$B$19*(1+$B$7)^4</f>
        <v/>
      </c>
      <c r="G56" s="14">
        <f>G49*$B$19*(1+$B$7)^5</f>
        <v/>
      </c>
      <c r="H56" s="14">
        <f>H49*$B$19*(1+$B$7)^6</f>
        <v/>
      </c>
      <c r="I56" s="14">
        <f>I49*$B$19*(1+$B$7)^7</f>
        <v/>
      </c>
      <c r="J56" s="14">
        <f>J49*$B$19*(1+$B$7)^8</f>
        <v/>
      </c>
      <c r="K56" s="14">
        <f>K49*$B$19*(1+$B$7)^9</f>
        <v/>
      </c>
      <c r="L56" s="14">
        <f>L49*$B$19*(1+$B$7)^10</f>
        <v/>
      </c>
    </row>
    <row r="57">
      <c r="A57" s="7" t="inlineStr">
        <is>
          <t>Combustible de distribución</t>
        </is>
      </c>
      <c r="B57" s="14" t="n">
        <v>0</v>
      </c>
      <c r="C57" s="14">
        <f>C49*$B$20*(1+$B$7)^1</f>
        <v/>
      </c>
      <c r="D57" s="14">
        <f>D49*$B$20*(1+$B$7)^2</f>
        <v/>
      </c>
      <c r="E57" s="14">
        <f>E49*$B$20*(1+$B$7)^3</f>
        <v/>
      </c>
      <c r="F57" s="14">
        <f>F49*$B$20*(1+$B$7)^4</f>
        <v/>
      </c>
      <c r="G57" s="14">
        <f>G49*$B$20*(1+$B$7)^5</f>
        <v/>
      </c>
      <c r="H57" s="14">
        <f>H49*$B$20*(1+$B$7)^6</f>
        <v/>
      </c>
      <c r="I57" s="14">
        <f>I49*$B$20*(1+$B$7)^7</f>
        <v/>
      </c>
      <c r="J57" s="14">
        <f>J49*$B$20*(1+$B$7)^8</f>
        <v/>
      </c>
      <c r="K57" s="14">
        <f>K49*$B$20*(1+$B$7)^9</f>
        <v/>
      </c>
      <c r="L57" s="14">
        <f>L49*$B$20*(1+$B$7)^10</f>
        <v/>
      </c>
    </row>
    <row r="58">
      <c r="A58" s="17" t="inlineStr">
        <is>
          <t>TOTAL COSTOS VARIABLES</t>
        </is>
      </c>
      <c r="B58" s="18">
        <f>SUM(B55:B57)</f>
        <v/>
      </c>
      <c r="C58" s="18">
        <f>SUM(C55:C57)</f>
        <v/>
      </c>
      <c r="D58" s="18">
        <f>SUM(D55:D57)</f>
        <v/>
      </c>
      <c r="E58" s="18">
        <f>SUM(E55:E57)</f>
        <v/>
      </c>
      <c r="F58" s="18">
        <f>SUM(F55:F57)</f>
        <v/>
      </c>
      <c r="G58" s="18">
        <f>SUM(G55:G57)</f>
        <v/>
      </c>
      <c r="H58" s="18">
        <f>SUM(H55:H57)</f>
        <v/>
      </c>
      <c r="I58" s="18">
        <f>SUM(I55:I57)</f>
        <v/>
      </c>
      <c r="J58" s="18">
        <f>SUM(J55:J57)</f>
        <v/>
      </c>
      <c r="K58" s="18">
        <f>SUM(K55:K57)</f>
        <v/>
      </c>
      <c r="L58" s="18">
        <f>SUM(L55:L57)</f>
        <v/>
      </c>
    </row>
    <row r="60">
      <c r="A60" s="3" t="inlineStr">
        <is>
          <t>5. COSTOS FIJOS OPERATIVOS Y GASTOS ADMINISTRATIVOS (anual = mensual × 12)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</row>
    <row r="61">
      <c r="A61" s="5" t="inlineStr">
        <is>
          <t>Concepto</t>
        </is>
      </c>
      <c r="B61" s="1" t="inlineStr">
        <is>
          <t>Base mensual</t>
        </is>
      </c>
      <c r="C61" s="22" t="n">
        <v>1</v>
      </c>
      <c r="D61" s="22" t="n">
        <v>2</v>
      </c>
      <c r="E61" s="22" t="n">
        <v>3</v>
      </c>
      <c r="F61" s="22" t="n">
        <v>4</v>
      </c>
      <c r="G61" s="22" t="n">
        <v>5</v>
      </c>
      <c r="H61" s="22" t="n">
        <v>6</v>
      </c>
      <c r="I61" s="22" t="n">
        <v>7</v>
      </c>
      <c r="J61" s="22" t="n">
        <v>8</v>
      </c>
      <c r="K61" s="22" t="n">
        <v>9</v>
      </c>
      <c r="L61" s="22" t="n">
        <v>10</v>
      </c>
    </row>
    <row r="62">
      <c r="A62" s="7" t="inlineStr">
        <is>
          <t>Costos fijos operativos (energía, agua, internet, tasas, laboratorio, limpieza, mantenimiento, cestas, pallets)</t>
        </is>
      </c>
      <c r="B62" s="14" t="n">
        <v>28000</v>
      </c>
      <c r="C62" s="14">
        <f>$B62*12*(1+$B$7)^1</f>
        <v/>
      </c>
      <c r="D62" s="14">
        <f>$B62*12*(1+$B$7)^2</f>
        <v/>
      </c>
      <c r="E62" s="14">
        <f>$B62*12*(1+$B$7)^3</f>
        <v/>
      </c>
      <c r="F62" s="14">
        <f>$B62*12*(1+$B$7)^4</f>
        <v/>
      </c>
      <c r="G62" s="14">
        <f>$B62*12*(1+$B$7)^5</f>
        <v/>
      </c>
      <c r="H62" s="14">
        <f>$B62*12*(1+$B$7)^6</f>
        <v/>
      </c>
      <c r="I62" s="14">
        <f>$B62*12*(1+$B$7)^7</f>
        <v/>
      </c>
      <c r="J62" s="14">
        <f>$B62*12*(1+$B$7)^8</f>
        <v/>
      </c>
      <c r="K62" s="14">
        <f>$B62*12*(1+$B$7)^9</f>
        <v/>
      </c>
      <c r="L62" s="14">
        <f>$B62*12*(1+$B$7)^10</f>
        <v/>
      </c>
    </row>
    <row r="63">
      <c r="A63" s="7" t="inlineStr">
        <is>
          <t>Gastos administrativos (papelería, insumos, publicidad, mobiliario, facturación, administración, cómputo, abogados)</t>
        </is>
      </c>
      <c r="B63" s="14" t="n">
        <v>21600</v>
      </c>
      <c r="C63" s="14">
        <f>$B63*12*(1+$B$7)^1</f>
        <v/>
      </c>
      <c r="D63" s="14">
        <f>$B63*12*(1+$B$7)^2</f>
        <v/>
      </c>
      <c r="E63" s="14">
        <f>$B63*12*(1+$B$7)^3</f>
        <v/>
      </c>
      <c r="F63" s="14">
        <f>$B63*12*(1+$B$7)^4</f>
        <v/>
      </c>
      <c r="G63" s="14">
        <f>$B63*12*(1+$B$7)^5</f>
        <v/>
      </c>
      <c r="H63" s="14">
        <f>$B63*12*(1+$B$7)^6</f>
        <v/>
      </c>
      <c r="I63" s="14">
        <f>$B63*12*(1+$B$7)^7</f>
        <v/>
      </c>
      <c r="J63" s="14">
        <f>$B63*12*(1+$B$7)^8</f>
        <v/>
      </c>
      <c r="K63" s="14">
        <f>$B63*12*(1+$B$7)^9</f>
        <v/>
      </c>
      <c r="L63" s="14">
        <f>$B63*12*(1+$B$7)^10</f>
        <v/>
      </c>
    </row>
    <row r="65">
      <c r="A65" s="3" t="inlineStr">
        <is>
          <t>6. COSTO DE PERSONAL (con prestaciones de ley — Honduras)</t>
        </is>
      </c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</row>
    <row r="66">
      <c r="A66" s="5" t="inlineStr">
        <is>
          <t>Cargo</t>
        </is>
      </c>
      <c r="B66" s="1" t="inlineStr">
        <is>
          <t>Salario mensual</t>
        </is>
      </c>
      <c r="C66" s="5" t="inlineStr">
        <is>
          <t>Perfil</t>
        </is>
      </c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</row>
    <row r="67">
      <c r="A67" s="7" t="inlineStr">
        <is>
          <t>Gerente de operaciones</t>
        </is>
      </c>
      <c r="B67" s="14" t="n">
        <v>25000</v>
      </c>
      <c r="C67" s="7" t="inlineStr">
        <is>
          <t>Ingeniero industrial / administrador</t>
        </is>
      </c>
      <c r="D67" s="9" t="n"/>
      <c r="E67" s="9" t="n"/>
      <c r="F67" s="9" t="n"/>
      <c r="G67" s="9" t="n"/>
      <c r="H67" s="9" t="n"/>
      <c r="I67" s="9" t="n"/>
      <c r="J67" s="9" t="n"/>
      <c r="K67" s="9" t="n"/>
      <c r="L67" s="9" t="n"/>
    </row>
    <row r="68">
      <c r="A68" s="7" t="inlineStr">
        <is>
          <t>Asistente de televenta y facturación</t>
        </is>
      </c>
      <c r="B68" s="14" t="n">
        <v>17000</v>
      </c>
      <c r="C68" s="7" t="inlineStr">
        <is>
          <t>Pasante de administración</t>
        </is>
      </c>
      <c r="D68" s="9" t="n"/>
      <c r="E68" s="9" t="n"/>
      <c r="F68" s="9" t="n"/>
      <c r="G68" s="9" t="n"/>
      <c r="H68" s="9" t="n"/>
      <c r="I68" s="9" t="n"/>
      <c r="J68" s="9" t="n"/>
      <c r="K68" s="9" t="n"/>
      <c r="L68" s="9" t="n"/>
    </row>
    <row r="69">
      <c r="A69" s="7" t="inlineStr">
        <is>
          <t>Operador de recibo y despacho</t>
        </is>
      </c>
      <c r="B69" s="14" t="n">
        <v>11300</v>
      </c>
      <c r="C69" s="7" t="inlineStr">
        <is>
          <t>Secundaria completa</t>
        </is>
      </c>
      <c r="D69" s="9" t="n"/>
      <c r="E69" s="9" t="n"/>
      <c r="F69" s="9" t="n"/>
      <c r="G69" s="9" t="n"/>
      <c r="H69" s="9" t="n"/>
      <c r="I69" s="9" t="n"/>
      <c r="J69" s="9" t="n"/>
      <c r="K69" s="9" t="n"/>
      <c r="L69" s="9" t="n"/>
    </row>
    <row r="70">
      <c r="A70" s="7" t="inlineStr">
        <is>
          <t>Operador de pasteurización y empaque</t>
        </is>
      </c>
      <c r="B70" s="14" t="n">
        <v>11300</v>
      </c>
      <c r="C70" s="7" t="inlineStr">
        <is>
          <t>Secundaria completa</t>
        </is>
      </c>
      <c r="D70" s="9" t="n"/>
      <c r="E70" s="9" t="n"/>
      <c r="F70" s="9" t="n"/>
      <c r="G70" s="9" t="n"/>
      <c r="H70" s="9" t="n"/>
      <c r="I70" s="9" t="n"/>
      <c r="J70" s="9" t="n"/>
      <c r="K70" s="9" t="n"/>
      <c r="L70" s="9" t="n"/>
    </row>
    <row r="71">
      <c r="A71" s="7" t="inlineStr">
        <is>
          <t>Operador de mantenimiento y aseo</t>
        </is>
      </c>
      <c r="B71" s="14" t="n">
        <v>14000</v>
      </c>
      <c r="C71" s="7" t="inlineStr">
        <is>
          <t>Mecánico industrial</t>
        </is>
      </c>
      <c r="D71" s="9" t="n"/>
      <c r="E71" s="9" t="n"/>
      <c r="F71" s="9" t="n"/>
      <c r="G71" s="9" t="n"/>
      <c r="H71" s="9" t="n"/>
      <c r="I71" s="9" t="n"/>
      <c r="J71" s="9" t="n"/>
      <c r="K71" s="9" t="n"/>
      <c r="L71" s="9" t="n"/>
    </row>
    <row r="72">
      <c r="A72" s="7" t="inlineStr">
        <is>
          <t>Entregador</t>
        </is>
      </c>
      <c r="B72" s="14" t="n">
        <v>14000</v>
      </c>
      <c r="C72" s="7" t="inlineStr">
        <is>
          <t>Secundaria completa, licencia pesada</t>
        </is>
      </c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</row>
    <row r="73">
      <c r="A73" s="17" t="inlineStr">
        <is>
          <t>Planilla mensual total</t>
        </is>
      </c>
      <c r="B73" s="18">
        <f>SUM(B67:B72)</f>
        <v/>
      </c>
      <c r="C73" s="24" t="inlineStr">
        <is>
          <t>Suma de los 6 salarios mensuales</t>
        </is>
      </c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</row>
    <row r="74">
      <c r="A74" s="5" t="inlineStr">
        <is>
          <t>Costo anual de personal</t>
        </is>
      </c>
      <c r="B74" s="1" t="inlineStr">
        <is>
          <t>Base anual</t>
        </is>
      </c>
      <c r="C74" s="22" t="n">
        <v>1</v>
      </c>
      <c r="D74" s="22" t="n">
        <v>2</v>
      </c>
      <c r="E74" s="22" t="n">
        <v>3</v>
      </c>
      <c r="F74" s="22" t="n">
        <v>4</v>
      </c>
      <c r="G74" s="22" t="n">
        <v>5</v>
      </c>
      <c r="H74" s="22" t="n">
        <v>6</v>
      </c>
      <c r="I74" s="22" t="n">
        <v>7</v>
      </c>
      <c r="J74" s="22" t="n">
        <v>8</v>
      </c>
      <c r="K74" s="22" t="n">
        <v>9</v>
      </c>
      <c r="L74" s="22" t="n">
        <v>10</v>
      </c>
    </row>
    <row r="75">
      <c r="A75" s="7" t="inlineStr">
        <is>
          <t>Sueldos + aguinaldo + catorceavo + cargas patronales</t>
        </is>
      </c>
      <c r="B75" s="14">
        <f>B73*$B$21+B73*12*$B$22</f>
        <v/>
      </c>
      <c r="C75" s="14">
        <f>$B75*(1+$B$7)^1</f>
        <v/>
      </c>
      <c r="D75" s="14">
        <f>$B75*(1+$B$7)^2</f>
        <v/>
      </c>
      <c r="E75" s="14">
        <f>$B75*(1+$B$7)^3</f>
        <v/>
      </c>
      <c r="F75" s="14">
        <f>$B75*(1+$B$7)^4</f>
        <v/>
      </c>
      <c r="G75" s="14">
        <f>$B75*(1+$B$7)^5</f>
        <v/>
      </c>
      <c r="H75" s="14">
        <f>$B75*(1+$B$7)^6</f>
        <v/>
      </c>
      <c r="I75" s="14">
        <f>$B75*(1+$B$7)^7</f>
        <v/>
      </c>
      <c r="J75" s="14">
        <f>$B75*(1+$B$7)^8</f>
        <v/>
      </c>
      <c r="K75" s="14">
        <f>$B75*(1+$B$7)^9</f>
        <v/>
      </c>
      <c r="L75" s="14">
        <f>$B75*(1+$B$7)^10</f>
        <v/>
      </c>
    </row>
    <row r="77">
      <c r="A77" s="3" t="inlineStr">
        <is>
          <t>7. DEPRECIACIÓN (con reinversión del camión cada 3 años)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</row>
    <row r="78">
      <c r="A78" s="5" t="inlineStr">
        <is>
          <t>Activo</t>
        </is>
      </c>
      <c r="B78" s="1" t="inlineStr">
        <is>
          <t>Valor</t>
        </is>
      </c>
      <c r="C78" s="22" t="n">
        <v>1</v>
      </c>
      <c r="D78" s="22" t="n">
        <v>2</v>
      </c>
      <c r="E78" s="22" t="n">
        <v>3</v>
      </c>
      <c r="F78" s="22" t="n">
        <v>4</v>
      </c>
      <c r="G78" s="22" t="n">
        <v>5</v>
      </c>
      <c r="H78" s="22" t="n">
        <v>6</v>
      </c>
      <c r="I78" s="22" t="n">
        <v>7</v>
      </c>
      <c r="J78" s="22" t="n">
        <v>8</v>
      </c>
      <c r="K78" s="22" t="n">
        <v>9</v>
      </c>
      <c r="L78" s="22" t="n">
        <v>10</v>
      </c>
    </row>
    <row r="79">
      <c r="A79" s="7" t="inlineStr">
        <is>
          <t>Maquinaria fija (10%)</t>
        </is>
      </c>
      <c r="B79" s="14">
        <f>B29+B30+B31+B32</f>
        <v/>
      </c>
      <c r="C79" s="14">
        <f>$B79*0.1</f>
        <v/>
      </c>
      <c r="D79" s="14">
        <f>$B79*0.1</f>
        <v/>
      </c>
      <c r="E79" s="14">
        <f>$B79*0.1</f>
        <v/>
      </c>
      <c r="F79" s="14">
        <f>$B79*0.1</f>
        <v/>
      </c>
      <c r="G79" s="14">
        <f>$B79*0.1</f>
        <v/>
      </c>
      <c r="H79" s="14">
        <f>$B79*0.1</f>
        <v/>
      </c>
      <c r="I79" s="14">
        <f>$B79*0.1</f>
        <v/>
      </c>
      <c r="J79" s="14">
        <f>$B79*0.1</f>
        <v/>
      </c>
      <c r="K79" s="14">
        <f>$B79*0.1</f>
        <v/>
      </c>
      <c r="L79" s="14">
        <f>$B79*0.1</f>
        <v/>
      </c>
    </row>
    <row r="80">
      <c r="A80" s="7" t="inlineStr">
        <is>
          <t>Camión original (años 1-3)</t>
        </is>
      </c>
      <c r="B80" s="14">
        <f>B33</f>
        <v/>
      </c>
      <c r="C80" s="14">
        <f>$B80*0.3333</f>
        <v/>
      </c>
      <c r="D80" s="14">
        <f>$B80*0.3333</f>
        <v/>
      </c>
      <c r="E80" s="14">
        <f>$B80*0.3333</f>
        <v/>
      </c>
      <c r="F80" s="14" t="n">
        <v>0</v>
      </c>
      <c r="G80" s="14" t="n">
        <v>0</v>
      </c>
      <c r="H80" s="14" t="n">
        <v>0</v>
      </c>
      <c r="I80" s="14" t="n">
        <v>0</v>
      </c>
      <c r="J80" s="14" t="n">
        <v>0</v>
      </c>
      <c r="K80" s="14" t="n">
        <v>0</v>
      </c>
      <c r="L80" s="14" t="n">
        <v>0</v>
      </c>
    </row>
    <row r="81">
      <c r="A81" s="7" t="inlineStr">
        <is>
          <t>Camión reinversión Año 4 (años 4-6)</t>
        </is>
      </c>
      <c r="B81" s="14">
        <f>B33*(1+$B$7)^3</f>
        <v/>
      </c>
      <c r="C81" s="14" t="n">
        <v>0</v>
      </c>
      <c r="D81" s="14" t="n">
        <v>0</v>
      </c>
      <c r="E81" s="14" t="n">
        <v>0</v>
      </c>
      <c r="F81" s="14">
        <f>$B81*0.3333</f>
        <v/>
      </c>
      <c r="G81" s="14">
        <f>$B81*0.3333</f>
        <v/>
      </c>
      <c r="H81" s="14">
        <f>$B81*0.3333</f>
        <v/>
      </c>
      <c r="I81" s="14" t="n">
        <v>0</v>
      </c>
      <c r="J81" s="14" t="n">
        <v>0</v>
      </c>
      <c r="K81" s="14" t="n">
        <v>0</v>
      </c>
      <c r="L81" s="14" t="n">
        <v>0</v>
      </c>
    </row>
    <row r="82">
      <c r="A82" s="7" t="inlineStr">
        <is>
          <t>Camión reinversión Año 7 (años 7-9)</t>
        </is>
      </c>
      <c r="B82" s="14">
        <f>B33*(1+$B$7)^6</f>
        <v/>
      </c>
      <c r="C82" s="14" t="n">
        <v>0</v>
      </c>
      <c r="D82" s="14" t="n">
        <v>0</v>
      </c>
      <c r="E82" s="14" t="n">
        <v>0</v>
      </c>
      <c r="F82" s="14" t="n">
        <v>0</v>
      </c>
      <c r="G82" s="14" t="n">
        <v>0</v>
      </c>
      <c r="H82" s="14" t="n">
        <v>0</v>
      </c>
      <c r="I82" s="14">
        <f>$B82*0.3333</f>
        <v/>
      </c>
      <c r="J82" s="14">
        <f>$B82*0.3333</f>
        <v/>
      </c>
      <c r="K82" s="14">
        <f>$B82*0.3333</f>
        <v/>
      </c>
      <c r="L82" s="14" t="n">
        <v>0</v>
      </c>
    </row>
    <row r="83">
      <c r="A83" s="17" t="inlineStr">
        <is>
          <t>TOTAL DEPRECIACIÓN</t>
        </is>
      </c>
      <c r="B83" s="25" t="inlineStr"/>
      <c r="C83" s="18">
        <f>SUM(C79:C82)</f>
        <v/>
      </c>
      <c r="D83" s="18">
        <f>SUM(D79:D82)</f>
        <v/>
      </c>
      <c r="E83" s="18">
        <f>SUM(E79:E82)</f>
        <v/>
      </c>
      <c r="F83" s="18">
        <f>SUM(F79:F82)</f>
        <v/>
      </c>
      <c r="G83" s="18">
        <f>SUM(G79:G82)</f>
        <v/>
      </c>
      <c r="H83" s="18">
        <f>SUM(H79:H82)</f>
        <v/>
      </c>
      <c r="I83" s="18">
        <f>SUM(I79:I82)</f>
        <v/>
      </c>
      <c r="J83" s="18">
        <f>SUM(J79:J82)</f>
        <v/>
      </c>
      <c r="K83" s="18">
        <f>SUM(K79:K82)</f>
        <v/>
      </c>
      <c r="L83" s="18">
        <f>SUM(L79:L82)</f>
        <v/>
      </c>
    </row>
    <row r="85">
      <c r="A85" s="3" t="inlineStr">
        <is>
          <t>8. AMORTIZACIÓN DE DIFERIDOS (5 años)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>
      <c r="A86" s="5" t="inlineStr">
        <is>
          <t>Concepto</t>
        </is>
      </c>
      <c r="B86" s="1" t="inlineStr">
        <is>
          <t>Valor</t>
        </is>
      </c>
      <c r="C86" s="22" t="n">
        <v>1</v>
      </c>
      <c r="D86" s="22" t="n">
        <v>2</v>
      </c>
      <c r="E86" s="22" t="n">
        <v>3</v>
      </c>
      <c r="F86" s="22" t="n">
        <v>4</v>
      </c>
      <c r="G86" s="22" t="n">
        <v>5</v>
      </c>
      <c r="H86" s="22" t="n">
        <v>6</v>
      </c>
      <c r="I86" s="22" t="n">
        <v>7</v>
      </c>
      <c r="J86" s="22" t="n">
        <v>8</v>
      </c>
      <c r="K86" s="22" t="n">
        <v>9</v>
      </c>
      <c r="L86" s="22" t="n">
        <v>10</v>
      </c>
    </row>
    <row r="87">
      <c r="A87" s="17" t="inlineStr">
        <is>
          <t>Diferidos (preoperativos + permisos y legales)</t>
        </is>
      </c>
      <c r="B87" s="18">
        <f>B40</f>
        <v/>
      </c>
      <c r="C87" s="18">
        <f>$B87/5</f>
        <v/>
      </c>
      <c r="D87" s="18">
        <f>$B87/5</f>
        <v/>
      </c>
      <c r="E87" s="18">
        <f>$B87/5</f>
        <v/>
      </c>
      <c r="F87" s="18">
        <f>$B87/5</f>
        <v/>
      </c>
      <c r="G87" s="18">
        <f>$B87/5</f>
        <v/>
      </c>
      <c r="H87" s="18" t="n">
        <v>0</v>
      </c>
      <c r="I87" s="18" t="n">
        <v>0</v>
      </c>
      <c r="J87" s="18" t="n">
        <v>0</v>
      </c>
      <c r="K87" s="18" t="n">
        <v>0</v>
      </c>
      <c r="L87" s="18" t="n">
        <v>0</v>
      </c>
    </row>
    <row r="89">
      <c r="A89" s="3" t="inlineStr">
        <is>
          <t>9. CAPITAL DE TRABAJO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</row>
    <row r="90">
      <c r="A90" s="5" t="inlineStr">
        <is>
          <t>Concepto</t>
        </is>
      </c>
      <c r="B90" s="22" t="n">
        <v>0</v>
      </c>
      <c r="C90" s="22" t="n">
        <v>1</v>
      </c>
      <c r="D90" s="22" t="n">
        <v>2</v>
      </c>
      <c r="E90" s="22" t="n">
        <v>3</v>
      </c>
      <c r="F90" s="22" t="n">
        <v>4</v>
      </c>
      <c r="G90" s="22" t="n">
        <v>5</v>
      </c>
      <c r="H90" s="22" t="n">
        <v>6</v>
      </c>
      <c r="I90" s="22" t="n">
        <v>7</v>
      </c>
      <c r="J90" s="22" t="n">
        <v>8</v>
      </c>
      <c r="K90" s="22" t="n">
        <v>9</v>
      </c>
      <c r="L90" s="22" t="n">
        <v>10</v>
      </c>
    </row>
    <row r="91">
      <c r="A91" s="7" t="inlineStr">
        <is>
          <t>Capital de trabajo requerido (saldo)</t>
        </is>
      </c>
      <c r="B91" s="14">
        <f>(C58+C62+C63+C75)*$B$23/12</f>
        <v/>
      </c>
      <c r="C91" s="14">
        <f>(C58+C62+C63+C75)*$B$23/12</f>
        <v/>
      </c>
      <c r="D91" s="14">
        <f>(D58+D62+D63+D75)*$B$23/12</f>
        <v/>
      </c>
      <c r="E91" s="14">
        <f>(E58+E62+E63+E75)*$B$23/12</f>
        <v/>
      </c>
      <c r="F91" s="14">
        <f>(F58+F62+F63+F75)*$B$23/12</f>
        <v/>
      </c>
      <c r="G91" s="14">
        <f>(G58+G62+G63+G75)*$B$23/12</f>
        <v/>
      </c>
      <c r="H91" s="14">
        <f>(H58+H62+H63+H75)*$B$23/12</f>
        <v/>
      </c>
      <c r="I91" s="14">
        <f>(I58+I62+I63+I75)*$B$23/12</f>
        <v/>
      </c>
      <c r="J91" s="14">
        <f>(J58+J62+J63+J75)*$B$23/12</f>
        <v/>
      </c>
      <c r="K91" s="14">
        <f>(K58+K62+K63+K75)*$B$23/12</f>
        <v/>
      </c>
      <c r="L91" s="14">
        <f>(L58+L62+L63+L75)*$B$23/12</f>
        <v/>
      </c>
    </row>
    <row r="92">
      <c r="A92" s="7" t="inlineStr">
        <is>
          <t>Inversión en capital de trabajo (incremento)</t>
        </is>
      </c>
      <c r="B92" s="14">
        <f>B91</f>
        <v/>
      </c>
      <c r="C92" s="14">
        <f>C91-B91</f>
        <v/>
      </c>
      <c r="D92" s="14">
        <f>D91-C91</f>
        <v/>
      </c>
      <c r="E92" s="14">
        <f>E91-D91</f>
        <v/>
      </c>
      <c r="F92" s="14">
        <f>F91-E91</f>
        <v/>
      </c>
      <c r="G92" s="14">
        <f>G91-F91</f>
        <v/>
      </c>
      <c r="H92" s="14">
        <f>H91-G91</f>
        <v/>
      </c>
      <c r="I92" s="14">
        <f>I91-H91</f>
        <v/>
      </c>
      <c r="J92" s="14">
        <f>J91-I91</f>
        <v/>
      </c>
      <c r="K92" s="14">
        <f>K91-J91</f>
        <v/>
      </c>
      <c r="L92" s="14">
        <f>L91-K91</f>
        <v/>
      </c>
    </row>
    <row r="93">
      <c r="A93" s="7" t="inlineStr">
        <is>
          <t>Recuperación de capital de trabajo (Año 10)</t>
        </is>
      </c>
      <c r="B93" s="14" t="n">
        <v>0</v>
      </c>
      <c r="C93" s="14" t="n">
        <v>0</v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0</v>
      </c>
      <c r="L93" s="14">
        <f>L91</f>
        <v/>
      </c>
    </row>
    <row r="95">
      <c r="A95" s="3" t="inlineStr">
        <is>
          <t>10. TABLA DE AMORTIZACIÓN DEL PRÉSTAMO (cuota anual fija)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</row>
    <row r="96">
      <c r="A96" s="5" t="inlineStr">
        <is>
          <t>Concepto</t>
        </is>
      </c>
      <c r="B96" s="22" t="n">
        <v>0</v>
      </c>
      <c r="C96" s="22" t="n">
        <v>1</v>
      </c>
      <c r="D96" s="22" t="n">
        <v>2</v>
      </c>
      <c r="E96" s="22" t="n">
        <v>3</v>
      </c>
      <c r="F96" s="22" t="n">
        <v>4</v>
      </c>
      <c r="G96" s="22" t="n">
        <v>5</v>
      </c>
      <c r="H96" s="22" t="n">
        <v>6</v>
      </c>
      <c r="I96" s="22" t="n">
        <v>7</v>
      </c>
      <c r="J96" s="22" t="n">
        <v>8</v>
      </c>
      <c r="K96" s="22" t="n">
        <v>9</v>
      </c>
      <c r="L96" s="22" t="n">
        <v>10</v>
      </c>
    </row>
    <row r="97">
      <c r="A97" s="7" t="inlineStr">
        <is>
          <t>Saldo inicial</t>
        </is>
      </c>
      <c r="B97" s="14" t="n">
        <v>0</v>
      </c>
      <c r="C97" s="14">
        <f>B43</f>
        <v/>
      </c>
      <c r="D97" s="14">
        <f>C101</f>
        <v/>
      </c>
      <c r="E97" s="14">
        <f>D101</f>
        <v/>
      </c>
      <c r="F97" s="14">
        <f>E101</f>
        <v/>
      </c>
      <c r="G97" s="14">
        <f>F101</f>
        <v/>
      </c>
      <c r="H97" s="14">
        <f>G101</f>
        <v/>
      </c>
      <c r="I97" s="14">
        <f>H101</f>
        <v/>
      </c>
      <c r="J97" s="14">
        <f>I101</f>
        <v/>
      </c>
      <c r="K97" s="14">
        <f>J101</f>
        <v/>
      </c>
      <c r="L97" s="14">
        <f>K101</f>
        <v/>
      </c>
    </row>
    <row r="98">
      <c r="A98" s="7" t="inlineStr">
        <is>
          <t>Cuota anual (PMT)</t>
        </is>
      </c>
      <c r="B98" s="14" t="n">
        <v>0</v>
      </c>
      <c r="C98" s="14">
        <f>IF(C97&gt;0.01,IF(C97&gt;0,B43*$B$12/(1-(1+$B$12)^-$B$14),0),0)</f>
        <v/>
      </c>
      <c r="D98" s="14">
        <f>IF(D97&gt;0.01,IF(D97&gt;0,B43*$B$12/(1-(1+$B$12)^-$B$14),0),0)</f>
        <v/>
      </c>
      <c r="E98" s="14">
        <f>IF(E97&gt;0.01,IF(E97&gt;0,B43*$B$12/(1-(1+$B$12)^-$B$14),0),0)</f>
        <v/>
      </c>
      <c r="F98" s="14">
        <f>IF(F97&gt;0.01,IF(F97&gt;0,B43*$B$12/(1-(1+$B$12)^-$B$14),0),0)</f>
        <v/>
      </c>
      <c r="G98" s="14">
        <f>IF(G97&gt;0.01,IF(G97&gt;0,B43*$B$12/(1-(1+$B$12)^-$B$14),0),0)</f>
        <v/>
      </c>
      <c r="H98" s="14">
        <f>IF(H97&gt;0.01,IF(H97&gt;0,B43*$B$12/(1-(1+$B$12)^-$B$14),0),0)</f>
        <v/>
      </c>
      <c r="I98" s="14">
        <f>IF(I97&gt;0.01,IF(I97&gt;0,B43*$B$12/(1-(1+$B$12)^-$B$14),0),0)</f>
        <v/>
      </c>
      <c r="J98" s="14">
        <f>IF(J97&gt;0.01,IF(J97&gt;0,B43*$B$12/(1-(1+$B$12)^-$B$14),0),0)</f>
        <v/>
      </c>
      <c r="K98" s="14">
        <f>IF(K97&gt;0.01,IF(K97&gt;0,B43*$B$12/(1-(1+$B$12)^-$B$14),0),0)</f>
        <v/>
      </c>
      <c r="L98" s="14">
        <f>IF(L97&gt;0.01,IF(L97&gt;0,B43*$B$12/(1-(1+$B$12)^-$B$14),0),0)</f>
        <v/>
      </c>
    </row>
    <row r="99">
      <c r="A99" s="7" t="inlineStr">
        <is>
          <t>Interés</t>
        </is>
      </c>
      <c r="B99" s="14" t="n">
        <v>0</v>
      </c>
      <c r="C99" s="14">
        <f>C97*$B$12</f>
        <v/>
      </c>
      <c r="D99" s="14">
        <f>D97*$B$12</f>
        <v/>
      </c>
      <c r="E99" s="14">
        <f>E97*$B$12</f>
        <v/>
      </c>
      <c r="F99" s="14">
        <f>F97*$B$12</f>
        <v/>
      </c>
      <c r="G99" s="14">
        <f>G97*$B$12</f>
        <v/>
      </c>
      <c r="H99" s="14">
        <f>H97*$B$12</f>
        <v/>
      </c>
      <c r="I99" s="14">
        <f>I97*$B$12</f>
        <v/>
      </c>
      <c r="J99" s="14">
        <f>J97*$B$12</f>
        <v/>
      </c>
      <c r="K99" s="14">
        <f>K97*$B$12</f>
        <v/>
      </c>
      <c r="L99" s="14">
        <f>L97*$B$12</f>
        <v/>
      </c>
    </row>
    <row r="100">
      <c r="A100" s="7" t="inlineStr">
        <is>
          <t>Abono a capital</t>
        </is>
      </c>
      <c r="B100" s="14" t="n">
        <v>0</v>
      </c>
      <c r="C100" s="14">
        <f>MIN(C98-C99,C97)</f>
        <v/>
      </c>
      <c r="D100" s="14">
        <f>MIN(D98-D99,D97)</f>
        <v/>
      </c>
      <c r="E100" s="14">
        <f>MIN(E98-E99,E97)</f>
        <v/>
      </c>
      <c r="F100" s="14">
        <f>MIN(F98-F99,F97)</f>
        <v/>
      </c>
      <c r="G100" s="14">
        <f>MIN(G98-G99,G97)</f>
        <v/>
      </c>
      <c r="H100" s="14">
        <f>MIN(H98-H99,H97)</f>
        <v/>
      </c>
      <c r="I100" s="14">
        <f>MIN(I98-I99,I97)</f>
        <v/>
      </c>
      <c r="J100" s="14">
        <f>MIN(J98-J99,J97)</f>
        <v/>
      </c>
      <c r="K100" s="14">
        <f>MIN(K98-K99,K97)</f>
        <v/>
      </c>
      <c r="L100" s="14">
        <f>MIN(L98-L99,L97)</f>
        <v/>
      </c>
    </row>
    <row r="101">
      <c r="A101" s="7" t="inlineStr">
        <is>
          <t>Saldo final</t>
        </is>
      </c>
      <c r="B101" s="14" t="n">
        <v>0</v>
      </c>
      <c r="C101" s="14">
        <f>C97-C100</f>
        <v/>
      </c>
      <c r="D101" s="14">
        <f>D97-D100</f>
        <v/>
      </c>
      <c r="E101" s="14">
        <f>E97-E100</f>
        <v/>
      </c>
      <c r="F101" s="14">
        <f>F97-F100</f>
        <v/>
      </c>
      <c r="G101" s="14">
        <f>G97-G100</f>
        <v/>
      </c>
      <c r="H101" s="14">
        <f>H97-H100</f>
        <v/>
      </c>
      <c r="I101" s="14">
        <f>I97-I100</f>
        <v/>
      </c>
      <c r="J101" s="14">
        <f>J97-J100</f>
        <v/>
      </c>
      <c r="K101" s="14">
        <f>K97-K100</f>
        <v/>
      </c>
      <c r="L101" s="14">
        <f>L97-L100</f>
        <v/>
      </c>
    </row>
    <row r="103">
      <c r="A103" s="3" t="inlineStr">
        <is>
          <t>11. FLUJO DE CAJA DEL PROYECTO (SIN FINANCIAMIENTO)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</row>
    <row r="104">
      <c r="A104" s="5" t="inlineStr">
        <is>
          <t>Concepto</t>
        </is>
      </c>
      <c r="B104" s="22" t="n">
        <v>0</v>
      </c>
      <c r="C104" s="22" t="n">
        <v>1</v>
      </c>
      <c r="D104" s="22" t="n">
        <v>2</v>
      </c>
      <c r="E104" s="22" t="n">
        <v>3</v>
      </c>
      <c r="F104" s="22" t="n">
        <v>4</v>
      </c>
      <c r="G104" s="22" t="n">
        <v>5</v>
      </c>
      <c r="H104" s="22" t="n">
        <v>6</v>
      </c>
      <c r="I104" s="22" t="n">
        <v>7</v>
      </c>
      <c r="J104" s="22" t="n">
        <v>8</v>
      </c>
      <c r="K104" s="22" t="n">
        <v>9</v>
      </c>
      <c r="L104" s="22" t="n">
        <v>10</v>
      </c>
    </row>
    <row r="105">
      <c r="A105" s="7" t="inlineStr">
        <is>
          <t>(+) Ingresos por ventas</t>
        </is>
      </c>
      <c r="B105" s="14">
        <f>B51</f>
        <v/>
      </c>
      <c r="C105" s="14">
        <f>C51</f>
        <v/>
      </c>
      <c r="D105" s="14">
        <f>D51</f>
        <v/>
      </c>
      <c r="E105" s="14">
        <f>E51</f>
        <v/>
      </c>
      <c r="F105" s="14">
        <f>F51</f>
        <v/>
      </c>
      <c r="G105" s="14">
        <f>G51</f>
        <v/>
      </c>
      <c r="H105" s="14">
        <f>H51</f>
        <v/>
      </c>
      <c r="I105" s="14">
        <f>I51</f>
        <v/>
      </c>
      <c r="J105" s="14">
        <f>J51</f>
        <v/>
      </c>
      <c r="K105" s="14">
        <f>K51</f>
        <v/>
      </c>
      <c r="L105" s="14">
        <f>L51</f>
        <v/>
      </c>
    </row>
    <row r="106">
      <c r="A106" s="7" t="inlineStr">
        <is>
          <t>(−) Costos variables</t>
        </is>
      </c>
      <c r="B106" s="14">
        <f>B58</f>
        <v/>
      </c>
      <c r="C106" s="14">
        <f>C58</f>
        <v/>
      </c>
      <c r="D106" s="14">
        <f>D58</f>
        <v/>
      </c>
      <c r="E106" s="14">
        <f>E58</f>
        <v/>
      </c>
      <c r="F106" s="14">
        <f>F58</f>
        <v/>
      </c>
      <c r="G106" s="14">
        <f>G58</f>
        <v/>
      </c>
      <c r="H106" s="14">
        <f>H58</f>
        <v/>
      </c>
      <c r="I106" s="14">
        <f>I58</f>
        <v/>
      </c>
      <c r="J106" s="14">
        <f>J58</f>
        <v/>
      </c>
      <c r="K106" s="14">
        <f>K58</f>
        <v/>
      </c>
      <c r="L106" s="14">
        <f>L58</f>
        <v/>
      </c>
    </row>
    <row r="107">
      <c r="A107" s="7" t="inlineStr">
        <is>
          <t>(−) Costos fijos + administrativos + personal</t>
        </is>
      </c>
      <c r="B107" s="14" t="n">
        <v>0</v>
      </c>
      <c r="C107" s="14">
        <f>C62+C63+C75</f>
        <v/>
      </c>
      <c r="D107" s="14">
        <f>D62+D63+D75</f>
        <v/>
      </c>
      <c r="E107" s="14">
        <f>E62+E63+E75</f>
        <v/>
      </c>
      <c r="F107" s="14">
        <f>F62+F63+F75</f>
        <v/>
      </c>
      <c r="G107" s="14">
        <f>G62+G63+G75</f>
        <v/>
      </c>
      <c r="H107" s="14">
        <f>H62+H63+H75</f>
        <v/>
      </c>
      <c r="I107" s="14">
        <f>I62+I63+I75</f>
        <v/>
      </c>
      <c r="J107" s="14">
        <f>J62+J63+J75</f>
        <v/>
      </c>
      <c r="K107" s="14">
        <f>K62+K63+K75</f>
        <v/>
      </c>
      <c r="L107" s="14">
        <f>L62+L63+L75</f>
        <v/>
      </c>
    </row>
    <row r="108">
      <c r="A108" s="17" t="inlineStr">
        <is>
          <t>(=) UTILIDAD BRUTA</t>
        </is>
      </c>
      <c r="B108" s="18">
        <f>B105-B106-B107</f>
        <v/>
      </c>
      <c r="C108" s="18">
        <f>C105-C106-C107</f>
        <v/>
      </c>
      <c r="D108" s="18">
        <f>D105-D106-D107</f>
        <v/>
      </c>
      <c r="E108" s="18">
        <f>E105-E106-E107</f>
        <v/>
      </c>
      <c r="F108" s="18">
        <f>F105-F106-F107</f>
        <v/>
      </c>
      <c r="G108" s="18">
        <f>G105-G106-G107</f>
        <v/>
      </c>
      <c r="H108" s="18">
        <f>H105-H106-H107</f>
        <v/>
      </c>
      <c r="I108" s="18">
        <f>I105-I106-I107</f>
        <v/>
      </c>
      <c r="J108" s="18">
        <f>J105-J106-J107</f>
        <v/>
      </c>
      <c r="K108" s="18">
        <f>K105-K106-K107</f>
        <v/>
      </c>
      <c r="L108" s="18">
        <f>L105-L106-L107</f>
        <v/>
      </c>
    </row>
    <row r="109">
      <c r="A109" s="7" t="inlineStr">
        <is>
          <t>(−) Depreciación</t>
        </is>
      </c>
      <c r="B109" s="14" t="n">
        <v>0</v>
      </c>
      <c r="C109" s="14">
        <f>C83</f>
        <v/>
      </c>
      <c r="D109" s="14">
        <f>D83</f>
        <v/>
      </c>
      <c r="E109" s="14">
        <f>E83</f>
        <v/>
      </c>
      <c r="F109" s="14">
        <f>F83</f>
        <v/>
      </c>
      <c r="G109" s="14">
        <f>G83</f>
        <v/>
      </c>
      <c r="H109" s="14">
        <f>H83</f>
        <v/>
      </c>
      <c r="I109" s="14">
        <f>I83</f>
        <v/>
      </c>
      <c r="J109" s="14">
        <f>J83</f>
        <v/>
      </c>
      <c r="K109" s="14">
        <f>K83</f>
        <v/>
      </c>
      <c r="L109" s="14">
        <f>L83</f>
        <v/>
      </c>
    </row>
    <row r="110">
      <c r="A110" s="7" t="inlineStr">
        <is>
          <t>(−) Amortización de diferidos</t>
        </is>
      </c>
      <c r="B110" s="14" t="n">
        <v>0</v>
      </c>
      <c r="C110" s="14">
        <f>C87</f>
        <v/>
      </c>
      <c r="D110" s="14">
        <f>D87</f>
        <v/>
      </c>
      <c r="E110" s="14">
        <f>E87</f>
        <v/>
      </c>
      <c r="F110" s="14">
        <f>F87</f>
        <v/>
      </c>
      <c r="G110" s="14">
        <f>G87</f>
        <v/>
      </c>
      <c r="H110" s="14">
        <f>H87</f>
        <v/>
      </c>
      <c r="I110" s="14">
        <f>I87</f>
        <v/>
      </c>
      <c r="J110" s="14">
        <f>J87</f>
        <v/>
      </c>
      <c r="K110" s="14">
        <f>K87</f>
        <v/>
      </c>
      <c r="L110" s="14">
        <f>L87</f>
        <v/>
      </c>
    </row>
    <row r="111">
      <c r="A111" s="17" t="inlineStr">
        <is>
          <t>(=) UTILIDAD ANTES DE IMPUESTOS</t>
        </is>
      </c>
      <c r="B111" s="18">
        <f>B108-B109-B110</f>
        <v/>
      </c>
      <c r="C111" s="18">
        <f>C108-C109-C110</f>
        <v/>
      </c>
      <c r="D111" s="18">
        <f>D108-D109-D110</f>
        <v/>
      </c>
      <c r="E111" s="18">
        <f>E108-E109-E110</f>
        <v/>
      </c>
      <c r="F111" s="18">
        <f>F108-F109-F110</f>
        <v/>
      </c>
      <c r="G111" s="18">
        <f>G108-G109-G110</f>
        <v/>
      </c>
      <c r="H111" s="18">
        <f>H108-H109-H110</f>
        <v/>
      </c>
      <c r="I111" s="18">
        <f>I108-I109-I110</f>
        <v/>
      </c>
      <c r="J111" s="18">
        <f>J108-J109-J110</f>
        <v/>
      </c>
      <c r="K111" s="18">
        <f>K108-K109-K110</f>
        <v/>
      </c>
      <c r="L111" s="18">
        <f>L108-L109-L110</f>
        <v/>
      </c>
    </row>
    <row r="112">
      <c r="A112" s="7" t="inlineStr">
        <is>
          <t>(−) ISR (25% + 5% aportación solidaria)</t>
        </is>
      </c>
      <c r="B112" s="14">
        <f>IF(B111&gt;0,$B$8*B111+$B$9*MAX(0,B111-$B$10),0)</f>
        <v/>
      </c>
      <c r="C112" s="14">
        <f>IF(C111&gt;0,$B$8*C111+$B$9*MAX(0,C111-$B$10),0)</f>
        <v/>
      </c>
      <c r="D112" s="14">
        <f>IF(D111&gt;0,$B$8*D111+$B$9*MAX(0,D111-$B$10),0)</f>
        <v/>
      </c>
      <c r="E112" s="14">
        <f>IF(E111&gt;0,$B$8*E111+$B$9*MAX(0,E111-$B$10),0)</f>
        <v/>
      </c>
      <c r="F112" s="14">
        <f>IF(F111&gt;0,$B$8*F111+$B$9*MAX(0,F111-$B$10),0)</f>
        <v/>
      </c>
      <c r="G112" s="14">
        <f>IF(G111&gt;0,$B$8*G111+$B$9*MAX(0,G111-$B$10),0)</f>
        <v/>
      </c>
      <c r="H112" s="14">
        <f>IF(H111&gt;0,$B$8*H111+$B$9*MAX(0,H111-$B$10),0)</f>
        <v/>
      </c>
      <c r="I112" s="14">
        <f>IF(I111&gt;0,$B$8*I111+$B$9*MAX(0,I111-$B$10),0)</f>
        <v/>
      </c>
      <c r="J112" s="14">
        <f>IF(J111&gt;0,$B$8*J111+$B$9*MAX(0,J111-$B$10),0)</f>
        <v/>
      </c>
      <c r="K112" s="14">
        <f>IF(K111&gt;0,$B$8*K111+$B$9*MAX(0,K111-$B$10),0)</f>
        <v/>
      </c>
      <c r="L112" s="14">
        <f>IF(L111&gt;0,$B$8*L111+$B$9*MAX(0,L111-$B$10),0)</f>
        <v/>
      </c>
    </row>
    <row r="113">
      <c r="A113" s="17" t="inlineStr">
        <is>
          <t>(=) UTILIDAD NETA</t>
        </is>
      </c>
      <c r="B113" s="18">
        <f>B111-B112</f>
        <v/>
      </c>
      <c r="C113" s="18">
        <f>C111-C112</f>
        <v/>
      </c>
      <c r="D113" s="18">
        <f>D111-D112</f>
        <v/>
      </c>
      <c r="E113" s="18">
        <f>E111-E112</f>
        <v/>
      </c>
      <c r="F113" s="18">
        <f>F111-F112</f>
        <v/>
      </c>
      <c r="G113" s="18">
        <f>G111-G112</f>
        <v/>
      </c>
      <c r="H113" s="18">
        <f>H111-H112</f>
        <v/>
      </c>
      <c r="I113" s="18">
        <f>I111-I112</f>
        <v/>
      </c>
      <c r="J113" s="18">
        <f>J111-J112</f>
        <v/>
      </c>
      <c r="K113" s="18">
        <f>K111-K112</f>
        <v/>
      </c>
      <c r="L113" s="18">
        <f>L111-L112</f>
        <v/>
      </c>
    </row>
    <row r="114">
      <c r="A114" s="7" t="inlineStr">
        <is>
          <t>(+) Depreciación</t>
        </is>
      </c>
      <c r="B114" s="14">
        <f>B109</f>
        <v/>
      </c>
      <c r="C114" s="14">
        <f>C109</f>
        <v/>
      </c>
      <c r="D114" s="14">
        <f>D109</f>
        <v/>
      </c>
      <c r="E114" s="14">
        <f>E109</f>
        <v/>
      </c>
      <c r="F114" s="14">
        <f>F109</f>
        <v/>
      </c>
      <c r="G114" s="14">
        <f>G109</f>
        <v/>
      </c>
      <c r="H114" s="14">
        <f>H109</f>
        <v/>
      </c>
      <c r="I114" s="14">
        <f>I109</f>
        <v/>
      </c>
      <c r="J114" s="14">
        <f>J109</f>
        <v/>
      </c>
      <c r="K114" s="14">
        <f>K109</f>
        <v/>
      </c>
      <c r="L114" s="14">
        <f>L109</f>
        <v/>
      </c>
    </row>
    <row r="115">
      <c r="A115" s="7" t="inlineStr">
        <is>
          <t>(+) Amortización de diferidos</t>
        </is>
      </c>
      <c r="B115" s="14">
        <f>B110</f>
        <v/>
      </c>
      <c r="C115" s="14">
        <f>C110</f>
        <v/>
      </c>
      <c r="D115" s="14">
        <f>D110</f>
        <v/>
      </c>
      <c r="E115" s="14">
        <f>E110</f>
        <v/>
      </c>
      <c r="F115" s="14">
        <f>F110</f>
        <v/>
      </c>
      <c r="G115" s="14">
        <f>G110</f>
        <v/>
      </c>
      <c r="H115" s="14">
        <f>H110</f>
        <v/>
      </c>
      <c r="I115" s="14">
        <f>I110</f>
        <v/>
      </c>
      <c r="J115" s="14">
        <f>J110</f>
        <v/>
      </c>
      <c r="K115" s="14">
        <f>K110</f>
        <v/>
      </c>
      <c r="L115" s="14">
        <f>L110</f>
        <v/>
      </c>
    </row>
    <row r="116">
      <c r="A116" s="7" t="inlineStr">
        <is>
          <t>(+) Valor de salvamento (Año 10)</t>
        </is>
      </c>
      <c r="B116" s="14" t="n">
        <v>0</v>
      </c>
      <c r="C116" s="14" t="n">
        <v>0</v>
      </c>
      <c r="D116" s="14" t="n">
        <v>0</v>
      </c>
      <c r="E116" s="14" t="n">
        <v>0</v>
      </c>
      <c r="F116" s="14" t="n">
        <v>0</v>
      </c>
      <c r="G116" s="14" t="n">
        <v>0</v>
      </c>
      <c r="H116" s="14" t="n">
        <v>0</v>
      </c>
      <c r="I116" s="14" t="n">
        <v>0</v>
      </c>
      <c r="J116" s="14" t="n">
        <v>0</v>
      </c>
      <c r="K116" s="14" t="n">
        <v>0</v>
      </c>
      <c r="L116" s="14">
        <f>$B$25</f>
        <v/>
      </c>
    </row>
    <row r="117">
      <c r="A117" s="7" t="inlineStr">
        <is>
          <t>(+) Recuperación de capital de trabajo (Año 10)</t>
        </is>
      </c>
      <c r="B117" s="14">
        <f>B93</f>
        <v/>
      </c>
      <c r="C117" s="14">
        <f>C93</f>
        <v/>
      </c>
      <c r="D117" s="14">
        <f>D93</f>
        <v/>
      </c>
      <c r="E117" s="14">
        <f>E93</f>
        <v/>
      </c>
      <c r="F117" s="14">
        <f>F93</f>
        <v/>
      </c>
      <c r="G117" s="14">
        <f>G93</f>
        <v/>
      </c>
      <c r="H117" s="14">
        <f>H93</f>
        <v/>
      </c>
      <c r="I117" s="14">
        <f>I93</f>
        <v/>
      </c>
      <c r="J117" s="14">
        <f>J93</f>
        <v/>
      </c>
      <c r="K117" s="14">
        <f>K93</f>
        <v/>
      </c>
      <c r="L117" s="14">
        <f>L93</f>
        <v/>
      </c>
    </row>
    <row r="118">
      <c r="A118" s="7" t="inlineStr">
        <is>
          <t>(−) Inversión en activo fijo</t>
        </is>
      </c>
      <c r="B118" s="14">
        <f>B34</f>
        <v/>
      </c>
      <c r="C118" s="14" t="n">
        <v>0</v>
      </c>
      <c r="D118" s="14" t="n">
        <v>0</v>
      </c>
      <c r="E118" s="14" t="n">
        <v>0</v>
      </c>
      <c r="F118" s="14" t="n">
        <v>0</v>
      </c>
      <c r="G118" s="14" t="n">
        <v>0</v>
      </c>
      <c r="H118" s="14" t="n">
        <v>0</v>
      </c>
      <c r="I118" s="14" t="n">
        <v>0</v>
      </c>
      <c r="J118" s="14" t="n">
        <v>0</v>
      </c>
      <c r="K118" s="14" t="n">
        <v>0</v>
      </c>
      <c r="L118" s="14" t="n">
        <v>0</v>
      </c>
    </row>
    <row r="119">
      <c r="A119" s="7" t="inlineStr">
        <is>
          <t>(−) Inversión en diferidos</t>
        </is>
      </c>
      <c r="B119" s="14">
        <f>B40</f>
        <v/>
      </c>
      <c r="C119" s="14" t="n">
        <v>0</v>
      </c>
      <c r="D119" s="14" t="n">
        <v>0</v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</row>
    <row r="120">
      <c r="A120" s="7" t="inlineStr">
        <is>
          <t>(−) Inversión en capital de trabajo</t>
        </is>
      </c>
      <c r="B120" s="14">
        <f>B92</f>
        <v/>
      </c>
      <c r="C120" s="14">
        <f>C92</f>
        <v/>
      </c>
      <c r="D120" s="14">
        <f>D92</f>
        <v/>
      </c>
      <c r="E120" s="14">
        <f>E92</f>
        <v/>
      </c>
      <c r="F120" s="14">
        <f>F92</f>
        <v/>
      </c>
      <c r="G120" s="14">
        <f>G92</f>
        <v/>
      </c>
      <c r="H120" s="14">
        <f>H92</f>
        <v/>
      </c>
      <c r="I120" s="14">
        <f>I92</f>
        <v/>
      </c>
      <c r="J120" s="14">
        <f>J92</f>
        <v/>
      </c>
      <c r="K120" s="14">
        <f>K92</f>
        <v/>
      </c>
      <c r="L120" s="14">
        <f>L92</f>
        <v/>
      </c>
    </row>
    <row r="121">
      <c r="A121" s="7" t="inlineStr">
        <is>
          <t>(−) Reinversión de camión (años 4 y 7)</t>
        </is>
      </c>
      <c r="B121" s="14" t="inlineStr">
        <is>
          <t>0</t>
        </is>
      </c>
      <c r="C121" s="14" t="inlineStr">
        <is>
          <t>0</t>
        </is>
      </c>
      <c r="D121" s="14" t="inlineStr">
        <is>
          <t>0</t>
        </is>
      </c>
      <c r="E121" s="14" t="inlineStr">
        <is>
          <t>0</t>
        </is>
      </c>
      <c r="F121" s="14">
        <f>B33*(1+$B$7)^3</f>
        <v/>
      </c>
      <c r="G121" s="14" t="inlineStr">
        <is>
          <t>0</t>
        </is>
      </c>
      <c r="H121" s="14" t="inlineStr">
        <is>
          <t>0</t>
        </is>
      </c>
      <c r="I121" s="14">
        <f>B33*(1+$B$7)^6</f>
        <v/>
      </c>
      <c r="J121" s="14" t="inlineStr">
        <is>
          <t>0</t>
        </is>
      </c>
      <c r="K121" s="14" t="inlineStr">
        <is>
          <t>0</t>
        </is>
      </c>
      <c r="L121" s="14" t="inlineStr">
        <is>
          <t>0</t>
        </is>
      </c>
    </row>
    <row r="122">
      <c r="A122" s="3" t="inlineStr">
        <is>
          <t>(=) FLUJO DE CAJA DEL PROYECTO</t>
        </is>
      </c>
      <c r="B122" s="26">
        <f>B113+B114+B115+B116+B117-B118-B119-B120-B121</f>
        <v/>
      </c>
      <c r="C122" s="26">
        <f>C113+C114+C115+C116+C117-C118-C119-C120-C121</f>
        <v/>
      </c>
      <c r="D122" s="26">
        <f>D113+D114+D115+D116+D117-D118-D119-D120-D121</f>
        <v/>
      </c>
      <c r="E122" s="26">
        <f>E113+E114+E115+E116+E117-E118-E119-E120-E121</f>
        <v/>
      </c>
      <c r="F122" s="26">
        <f>F113+F114+F115+F116+F117-F118-F119-F120-F121</f>
        <v/>
      </c>
      <c r="G122" s="26">
        <f>G113+G114+G115+G116+G117-G118-G119-G120-G121</f>
        <v/>
      </c>
      <c r="H122" s="26">
        <f>H113+H114+H115+H116+H117-H118-H119-H120-H121</f>
        <v/>
      </c>
      <c r="I122" s="26">
        <f>I113+I114+I115+I116+I117-I118-I119-I120-I121</f>
        <v/>
      </c>
      <c r="J122" s="26">
        <f>J113+J114+J115+J116+J117-J118-J119-J120-J121</f>
        <v/>
      </c>
      <c r="K122" s="26">
        <f>K113+K114+K115+K116+K117-K118-K119-K120-K121</f>
        <v/>
      </c>
      <c r="L122" s="26">
        <f>L113+L114+L115+L116+L117-L118-L119-L120-L121</f>
        <v/>
      </c>
    </row>
    <row r="123">
      <c r="A123" s="27" t="inlineStr">
        <is>
          <t>Flujo de caja acumulado</t>
        </is>
      </c>
      <c r="B123" s="28">
        <f>B122</f>
        <v/>
      </c>
      <c r="C123" s="28">
        <f>B123+C122</f>
        <v/>
      </c>
      <c r="D123" s="28">
        <f>C123+D122</f>
        <v/>
      </c>
      <c r="E123" s="28">
        <f>D123+E122</f>
        <v/>
      </c>
      <c r="F123" s="28">
        <f>E123+F122</f>
        <v/>
      </c>
      <c r="G123" s="28">
        <f>F123+G122</f>
        <v/>
      </c>
      <c r="H123" s="28">
        <f>G123+H122</f>
        <v/>
      </c>
      <c r="I123" s="28">
        <f>H123+I122</f>
        <v/>
      </c>
      <c r="J123" s="28">
        <f>I123+J122</f>
        <v/>
      </c>
      <c r="K123" s="28">
        <f>J123+K122</f>
        <v/>
      </c>
      <c r="L123" s="28">
        <f>K123+L122</f>
        <v/>
      </c>
    </row>
    <row r="125">
      <c r="A125" s="3" t="inlineStr">
        <is>
          <t>12. COSTO DE CAPITAL E INDICADORES — PROYECTO (descuento a la TREMA)</t>
        </is>
      </c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</row>
    <row r="126">
      <c r="A126" s="27" t="inlineStr">
        <is>
          <t>VAN — Valor Actual Neto</t>
        </is>
      </c>
      <c r="B126" s="29">
        <f>NPV($B$11,C122:L122)+B122</f>
        <v/>
      </c>
      <c r="C126" s="7" t="inlineStr">
        <is>
          <t>Descontado a la TREMA. VAN&gt;0 ⇒ viable.</t>
        </is>
      </c>
      <c r="D126" s="9" t="n"/>
      <c r="E126" s="9" t="n"/>
      <c r="F126" s="9" t="n"/>
      <c r="G126" s="9" t="n"/>
      <c r="H126" s="9" t="n"/>
      <c r="I126" s="9" t="n"/>
      <c r="J126" s="9" t="n"/>
      <c r="K126" s="9" t="n"/>
      <c r="L126" s="9" t="n"/>
    </row>
    <row r="127">
      <c r="A127" s="27" t="inlineStr">
        <is>
          <t>TIR — Tasa Interna de Retorno</t>
        </is>
      </c>
      <c r="B127" s="30">
        <f>IRR(B122:L122)</f>
        <v/>
      </c>
      <c r="C127" s="7" t="inlineStr">
        <is>
          <t>TIR&gt;TREMA ⇒ rentable.</t>
        </is>
      </c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</row>
    <row r="128">
      <c r="A128" s="27" t="inlineStr">
        <is>
          <t>PRI — Periodo de recuperación (años)</t>
        </is>
      </c>
      <c r="B128" s="31">
        <f>IF(COUNTIF(B123:L123,"&lt;0")=11,"&gt;10",(COUNTIF(B123:L123,"&lt;0")-1)+(-INDEX(B123:L123,COUNTIF(B123:L123,"&lt;0")))/INDEX(B122:L122,COUNTIF(B123:L123,"&lt;0")+1))</f>
        <v/>
      </c>
      <c r="C128" s="7" t="inlineStr">
        <is>
          <t>Años para recuperar la inversión.</t>
        </is>
      </c>
      <c r="D128" s="9" t="n"/>
      <c r="E128" s="9" t="n"/>
      <c r="F128" s="9" t="n"/>
      <c r="G128" s="9" t="n"/>
      <c r="H128" s="9" t="n"/>
      <c r="I128" s="9" t="n"/>
      <c r="J128" s="9" t="n"/>
      <c r="K128" s="9" t="n"/>
      <c r="L128" s="9" t="n"/>
    </row>
    <row r="129">
      <c r="A129" s="27" t="inlineStr">
        <is>
          <t>Relación Beneficio/Costo (B/C)</t>
        </is>
      </c>
      <c r="B129" s="31">
        <f>NPV($B$11,C51:L51)/(B42+NPV($B$11,C58:L58)+NPV($B$11,C62:L62)+NPV($B$11,C63:L63)+NPV($B$11,C75:L75)+NPV($B$11,C112:L112))</f>
        <v/>
      </c>
      <c r="C129" s="7" t="inlineStr">
        <is>
          <t>VP ingresos / VP egresos (inversión + costos + ISR).</t>
        </is>
      </c>
      <c r="D129" s="9" t="n"/>
      <c r="E129" s="9" t="n"/>
      <c r="F129" s="9" t="n"/>
      <c r="G129" s="9" t="n"/>
      <c r="H129" s="9" t="n"/>
      <c r="I129" s="9" t="n"/>
      <c r="J129" s="9" t="n"/>
      <c r="K129" s="9" t="n"/>
      <c r="L129" s="9" t="n"/>
    </row>
    <row r="130">
      <c r="A130" s="20" t="inlineStr">
        <is>
          <t>DICTAMEN (proyecto puro)</t>
        </is>
      </c>
      <c r="B130" s="32">
        <f>IF(B126&gt;0,"VIABLE","NO VIABLE")</f>
        <v/>
      </c>
      <c r="C130" s="33" t="inlineStr">
        <is>
          <t>Con las ventas proyectadas en la tesis y costos reales, el VAN es negativo (ver hoja Sensibilidad para la ruta a viabilidad).</t>
        </is>
      </c>
      <c r="D130" s="34" t="n"/>
      <c r="E130" s="34" t="n"/>
      <c r="F130" s="34" t="n"/>
      <c r="G130" s="34" t="n"/>
      <c r="H130" s="34" t="n"/>
      <c r="I130" s="34" t="n"/>
      <c r="J130" s="34" t="n"/>
      <c r="K130" s="34" t="n"/>
      <c r="L130" s="34" t="n"/>
    </row>
    <row r="132">
      <c r="A132" s="3" t="inlineStr">
        <is>
          <t>13. FLUJO DE CAJA DEL INVERSIONISTA (CON FINANCIAMIENTO)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</row>
    <row r="133">
      <c r="A133" s="5" t="inlineStr">
        <is>
          <t>Concepto</t>
        </is>
      </c>
      <c r="B133" s="22" t="n">
        <v>0</v>
      </c>
      <c r="C133" s="22" t="n">
        <v>1</v>
      </c>
      <c r="D133" s="22" t="n">
        <v>2</v>
      </c>
      <c r="E133" s="22" t="n">
        <v>3</v>
      </c>
      <c r="F133" s="22" t="n">
        <v>4</v>
      </c>
      <c r="G133" s="22" t="n">
        <v>5</v>
      </c>
      <c r="H133" s="22" t="n">
        <v>6</v>
      </c>
      <c r="I133" s="22" t="n">
        <v>7</v>
      </c>
      <c r="J133" s="22" t="n">
        <v>8</v>
      </c>
      <c r="K133" s="22" t="n">
        <v>9</v>
      </c>
      <c r="L133" s="22" t="n">
        <v>10</v>
      </c>
    </row>
    <row r="134">
      <c r="A134" s="7" t="inlineStr">
        <is>
          <t>(+) Ingresos por ventas</t>
        </is>
      </c>
      <c r="B134" s="14">
        <f>B51</f>
        <v/>
      </c>
      <c r="C134" s="14">
        <f>C51</f>
        <v/>
      </c>
      <c r="D134" s="14">
        <f>D51</f>
        <v/>
      </c>
      <c r="E134" s="14">
        <f>E51</f>
        <v/>
      </c>
      <c r="F134" s="14">
        <f>F51</f>
        <v/>
      </c>
      <c r="G134" s="14">
        <f>G51</f>
        <v/>
      </c>
      <c r="H134" s="14">
        <f>H51</f>
        <v/>
      </c>
      <c r="I134" s="14">
        <f>I51</f>
        <v/>
      </c>
      <c r="J134" s="14">
        <f>J51</f>
        <v/>
      </c>
      <c r="K134" s="14">
        <f>K51</f>
        <v/>
      </c>
      <c r="L134" s="14">
        <f>L51</f>
        <v/>
      </c>
    </row>
    <row r="135">
      <c r="A135" s="7" t="inlineStr">
        <is>
          <t>(−) Costos variables</t>
        </is>
      </c>
      <c r="B135" s="14">
        <f>B58</f>
        <v/>
      </c>
      <c r="C135" s="14">
        <f>C58</f>
        <v/>
      </c>
      <c r="D135" s="14">
        <f>D58</f>
        <v/>
      </c>
      <c r="E135" s="14">
        <f>E58</f>
        <v/>
      </c>
      <c r="F135" s="14">
        <f>F58</f>
        <v/>
      </c>
      <c r="G135" s="14">
        <f>G58</f>
        <v/>
      </c>
      <c r="H135" s="14">
        <f>H58</f>
        <v/>
      </c>
      <c r="I135" s="14">
        <f>I58</f>
        <v/>
      </c>
      <c r="J135" s="14">
        <f>J58</f>
        <v/>
      </c>
      <c r="K135" s="14">
        <f>K58</f>
        <v/>
      </c>
      <c r="L135" s="14">
        <f>L58</f>
        <v/>
      </c>
    </row>
    <row r="136">
      <c r="A136" s="7" t="inlineStr">
        <is>
          <t>(−) Costos fijos + administrativos + personal</t>
        </is>
      </c>
      <c r="B136" s="14" t="n">
        <v>0</v>
      </c>
      <c r="C136" s="14">
        <f>C62+C63+C75</f>
        <v/>
      </c>
      <c r="D136" s="14">
        <f>D62+D63+D75</f>
        <v/>
      </c>
      <c r="E136" s="14">
        <f>E62+E63+E75</f>
        <v/>
      </c>
      <c r="F136" s="14">
        <f>F62+F63+F75</f>
        <v/>
      </c>
      <c r="G136" s="14">
        <f>G62+G63+G75</f>
        <v/>
      </c>
      <c r="H136" s="14">
        <f>H62+H63+H75</f>
        <v/>
      </c>
      <c r="I136" s="14">
        <f>I62+I63+I75</f>
        <v/>
      </c>
      <c r="J136" s="14">
        <f>J62+J63+J75</f>
        <v/>
      </c>
      <c r="K136" s="14">
        <f>K62+K63+K75</f>
        <v/>
      </c>
      <c r="L136" s="14">
        <f>L62+L63+L75</f>
        <v/>
      </c>
    </row>
    <row r="137">
      <c r="A137" s="17" t="inlineStr">
        <is>
          <t>(=) UTILIDAD BRUTA</t>
        </is>
      </c>
      <c r="B137" s="18">
        <f>B134-B135-B136</f>
        <v/>
      </c>
      <c r="C137" s="18">
        <f>C134-C135-C136</f>
        <v/>
      </c>
      <c r="D137" s="18">
        <f>D134-D135-D136</f>
        <v/>
      </c>
      <c r="E137" s="18">
        <f>E134-E135-E136</f>
        <v/>
      </c>
      <c r="F137" s="18">
        <f>F134-F135-F136</f>
        <v/>
      </c>
      <c r="G137" s="18">
        <f>G134-G135-G136</f>
        <v/>
      </c>
      <c r="H137" s="18">
        <f>H134-H135-H136</f>
        <v/>
      </c>
      <c r="I137" s="18">
        <f>I134-I135-I136</f>
        <v/>
      </c>
      <c r="J137" s="18">
        <f>J134-J135-J136</f>
        <v/>
      </c>
      <c r="K137" s="18">
        <f>K134-K135-K136</f>
        <v/>
      </c>
      <c r="L137" s="18">
        <f>L134-L135-L136</f>
        <v/>
      </c>
    </row>
    <row r="138">
      <c r="A138" s="7" t="inlineStr">
        <is>
          <t>(−) Depreciación</t>
        </is>
      </c>
      <c r="B138" s="14" t="n">
        <v>0</v>
      </c>
      <c r="C138" s="14">
        <f>C83</f>
        <v/>
      </c>
      <c r="D138" s="14">
        <f>D83</f>
        <v/>
      </c>
      <c r="E138" s="14">
        <f>E83</f>
        <v/>
      </c>
      <c r="F138" s="14">
        <f>F83</f>
        <v/>
      </c>
      <c r="G138" s="14">
        <f>G83</f>
        <v/>
      </c>
      <c r="H138" s="14">
        <f>H83</f>
        <v/>
      </c>
      <c r="I138" s="14">
        <f>I83</f>
        <v/>
      </c>
      <c r="J138" s="14">
        <f>J83</f>
        <v/>
      </c>
      <c r="K138" s="14">
        <f>K83</f>
        <v/>
      </c>
      <c r="L138" s="14">
        <f>L83</f>
        <v/>
      </c>
    </row>
    <row r="139">
      <c r="A139" s="7" t="inlineStr">
        <is>
          <t>(−) Amortización de diferidos</t>
        </is>
      </c>
      <c r="B139" s="14" t="n">
        <v>0</v>
      </c>
      <c r="C139" s="14">
        <f>C87</f>
        <v/>
      </c>
      <c r="D139" s="14">
        <f>D87</f>
        <v/>
      </c>
      <c r="E139" s="14">
        <f>E87</f>
        <v/>
      </c>
      <c r="F139" s="14">
        <f>F87</f>
        <v/>
      </c>
      <c r="G139" s="14">
        <f>G87</f>
        <v/>
      </c>
      <c r="H139" s="14">
        <f>H87</f>
        <v/>
      </c>
      <c r="I139" s="14">
        <f>I87</f>
        <v/>
      </c>
      <c r="J139" s="14">
        <f>J87</f>
        <v/>
      </c>
      <c r="K139" s="14">
        <f>K87</f>
        <v/>
      </c>
      <c r="L139" s="14">
        <f>L87</f>
        <v/>
      </c>
    </row>
    <row r="140">
      <c r="A140" s="17" t="inlineStr">
        <is>
          <t>(=) UTILIDAD OPERATIVA (UAII)</t>
        </is>
      </c>
      <c r="B140" s="18">
        <f>B137-B138-B139</f>
        <v/>
      </c>
      <c r="C140" s="18">
        <f>C137-C138-C139</f>
        <v/>
      </c>
      <c r="D140" s="18">
        <f>D137-D138-D139</f>
        <v/>
      </c>
      <c r="E140" s="18">
        <f>E137-E138-E139</f>
        <v/>
      </c>
      <c r="F140" s="18">
        <f>F137-F138-F139</f>
        <v/>
      </c>
      <c r="G140" s="18">
        <f>G137-G138-G139</f>
        <v/>
      </c>
      <c r="H140" s="18">
        <f>H137-H138-H139</f>
        <v/>
      </c>
      <c r="I140" s="18">
        <f>I137-I138-I139</f>
        <v/>
      </c>
      <c r="J140" s="18">
        <f>J137-J138-J139</f>
        <v/>
      </c>
      <c r="K140" s="18">
        <f>K137-K138-K139</f>
        <v/>
      </c>
      <c r="L140" s="18">
        <f>L137-L138-L139</f>
        <v/>
      </c>
    </row>
    <row r="141">
      <c r="A141" s="7" t="inlineStr">
        <is>
          <t>(−) Gastos financieros (intereses)</t>
        </is>
      </c>
      <c r="B141" s="14" t="n">
        <v>0</v>
      </c>
      <c r="C141" s="14">
        <f>C99</f>
        <v/>
      </c>
      <c r="D141" s="14">
        <f>D99</f>
        <v/>
      </c>
      <c r="E141" s="14">
        <f>E99</f>
        <v/>
      </c>
      <c r="F141" s="14">
        <f>F99</f>
        <v/>
      </c>
      <c r="G141" s="14">
        <f>G99</f>
        <v/>
      </c>
      <c r="H141" s="14">
        <f>H99</f>
        <v/>
      </c>
      <c r="I141" s="14">
        <f>I99</f>
        <v/>
      </c>
      <c r="J141" s="14">
        <f>J99</f>
        <v/>
      </c>
      <c r="K141" s="14">
        <f>K99</f>
        <v/>
      </c>
      <c r="L141" s="14">
        <f>L99</f>
        <v/>
      </c>
    </row>
    <row r="142">
      <c r="A142" s="17" t="inlineStr">
        <is>
          <t>(=) UTILIDAD ANTES DE IMPUESTOS</t>
        </is>
      </c>
      <c r="B142" s="18">
        <f>B140-B141</f>
        <v/>
      </c>
      <c r="C142" s="18">
        <f>C140-C141</f>
        <v/>
      </c>
      <c r="D142" s="18">
        <f>D140-D141</f>
        <v/>
      </c>
      <c r="E142" s="18">
        <f>E140-E141</f>
        <v/>
      </c>
      <c r="F142" s="18">
        <f>F140-F141</f>
        <v/>
      </c>
      <c r="G142" s="18">
        <f>G140-G141</f>
        <v/>
      </c>
      <c r="H142" s="18">
        <f>H140-H141</f>
        <v/>
      </c>
      <c r="I142" s="18">
        <f>I140-I141</f>
        <v/>
      </c>
      <c r="J142" s="18">
        <f>J140-J141</f>
        <v/>
      </c>
      <c r="K142" s="18">
        <f>K140-K141</f>
        <v/>
      </c>
      <c r="L142" s="18">
        <f>L140-L141</f>
        <v/>
      </c>
    </row>
    <row r="143">
      <c r="A143" s="7" t="inlineStr">
        <is>
          <t>(−) ISR (25% + 5% aportación solidaria)</t>
        </is>
      </c>
      <c r="B143" s="14">
        <f>IF(B142&gt;0,$B$8*B142+$B$9*MAX(0,B142-$B$10),0)</f>
        <v/>
      </c>
      <c r="C143" s="14">
        <f>IF(C142&gt;0,$B$8*C142+$B$9*MAX(0,C142-$B$10),0)</f>
        <v/>
      </c>
      <c r="D143" s="14">
        <f>IF(D142&gt;0,$B$8*D142+$B$9*MAX(0,D142-$B$10),0)</f>
        <v/>
      </c>
      <c r="E143" s="14">
        <f>IF(E142&gt;0,$B$8*E142+$B$9*MAX(0,E142-$B$10),0)</f>
        <v/>
      </c>
      <c r="F143" s="14">
        <f>IF(F142&gt;0,$B$8*F142+$B$9*MAX(0,F142-$B$10),0)</f>
        <v/>
      </c>
      <c r="G143" s="14">
        <f>IF(G142&gt;0,$B$8*G142+$B$9*MAX(0,G142-$B$10),0)</f>
        <v/>
      </c>
      <c r="H143" s="14">
        <f>IF(H142&gt;0,$B$8*H142+$B$9*MAX(0,H142-$B$10),0)</f>
        <v/>
      </c>
      <c r="I143" s="14">
        <f>IF(I142&gt;0,$B$8*I142+$B$9*MAX(0,I142-$B$10),0)</f>
        <v/>
      </c>
      <c r="J143" s="14">
        <f>IF(J142&gt;0,$B$8*J142+$B$9*MAX(0,J142-$B$10),0)</f>
        <v/>
      </c>
      <c r="K143" s="14">
        <f>IF(K142&gt;0,$B$8*K142+$B$9*MAX(0,K142-$B$10),0)</f>
        <v/>
      </c>
      <c r="L143" s="14">
        <f>IF(L142&gt;0,$B$8*L142+$B$9*MAX(0,L142-$B$10),0)</f>
        <v/>
      </c>
    </row>
    <row r="144">
      <c r="A144" s="17" t="inlineStr">
        <is>
          <t>(=) UTILIDAD NETA</t>
        </is>
      </c>
      <c r="B144" s="18">
        <f>B142-B143</f>
        <v/>
      </c>
      <c r="C144" s="18">
        <f>C142-C143</f>
        <v/>
      </c>
      <c r="D144" s="18">
        <f>D142-D143</f>
        <v/>
      </c>
      <c r="E144" s="18">
        <f>E142-E143</f>
        <v/>
      </c>
      <c r="F144" s="18">
        <f>F142-F143</f>
        <v/>
      </c>
      <c r="G144" s="18">
        <f>G142-G143</f>
        <v/>
      </c>
      <c r="H144" s="18">
        <f>H142-H143</f>
        <v/>
      </c>
      <c r="I144" s="18">
        <f>I142-I143</f>
        <v/>
      </c>
      <c r="J144" s="18">
        <f>J142-J143</f>
        <v/>
      </c>
      <c r="K144" s="18">
        <f>K142-K143</f>
        <v/>
      </c>
      <c r="L144" s="18">
        <f>L142-L143</f>
        <v/>
      </c>
    </row>
    <row r="145">
      <c r="A145" s="7" t="inlineStr">
        <is>
          <t>(+) Depreciación</t>
        </is>
      </c>
      <c r="B145" s="14">
        <f>B138</f>
        <v/>
      </c>
      <c r="C145" s="14">
        <f>C138</f>
        <v/>
      </c>
      <c r="D145" s="14">
        <f>D138</f>
        <v/>
      </c>
      <c r="E145" s="14">
        <f>E138</f>
        <v/>
      </c>
      <c r="F145" s="14">
        <f>F138</f>
        <v/>
      </c>
      <c r="G145" s="14">
        <f>G138</f>
        <v/>
      </c>
      <c r="H145" s="14">
        <f>H138</f>
        <v/>
      </c>
      <c r="I145" s="14">
        <f>I138</f>
        <v/>
      </c>
      <c r="J145" s="14">
        <f>J138</f>
        <v/>
      </c>
      <c r="K145" s="14">
        <f>K138</f>
        <v/>
      </c>
      <c r="L145" s="14">
        <f>L138</f>
        <v/>
      </c>
    </row>
    <row r="146">
      <c r="A146" s="7" t="inlineStr">
        <is>
          <t>(+) Amortización de diferidos</t>
        </is>
      </c>
      <c r="B146" s="14">
        <f>B139</f>
        <v/>
      </c>
      <c r="C146" s="14">
        <f>C139</f>
        <v/>
      </c>
      <c r="D146" s="14">
        <f>D139</f>
        <v/>
      </c>
      <c r="E146" s="14">
        <f>E139</f>
        <v/>
      </c>
      <c r="F146" s="14">
        <f>F139</f>
        <v/>
      </c>
      <c r="G146" s="14">
        <f>G139</f>
        <v/>
      </c>
      <c r="H146" s="14">
        <f>H139</f>
        <v/>
      </c>
      <c r="I146" s="14">
        <f>I139</f>
        <v/>
      </c>
      <c r="J146" s="14">
        <f>J139</f>
        <v/>
      </c>
      <c r="K146" s="14">
        <f>K139</f>
        <v/>
      </c>
      <c r="L146" s="14">
        <f>L139</f>
        <v/>
      </c>
    </row>
    <row r="147">
      <c r="A147" s="7" t="inlineStr">
        <is>
          <t>(+) Valor de salvamento (Año 10)</t>
        </is>
      </c>
      <c r="B147" s="14" t="n">
        <v>0</v>
      </c>
      <c r="C147" s="14" t="n">
        <v>0</v>
      </c>
      <c r="D147" s="14" t="n">
        <v>0</v>
      </c>
      <c r="E147" s="14" t="n">
        <v>0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>
        <f>$B$25</f>
        <v/>
      </c>
    </row>
    <row r="148">
      <c r="A148" s="7" t="inlineStr">
        <is>
          <t>(+) Recuperación de capital de trabajo (Año 10)</t>
        </is>
      </c>
      <c r="B148" s="14">
        <f>B93</f>
        <v/>
      </c>
      <c r="C148" s="14">
        <f>C93</f>
        <v/>
      </c>
      <c r="D148" s="14">
        <f>D93</f>
        <v/>
      </c>
      <c r="E148" s="14">
        <f>E93</f>
        <v/>
      </c>
      <c r="F148" s="14">
        <f>F93</f>
        <v/>
      </c>
      <c r="G148" s="14">
        <f>G93</f>
        <v/>
      </c>
      <c r="H148" s="14">
        <f>H93</f>
        <v/>
      </c>
      <c r="I148" s="14">
        <f>I93</f>
        <v/>
      </c>
      <c r="J148" s="14">
        <f>J93</f>
        <v/>
      </c>
      <c r="K148" s="14">
        <f>K93</f>
        <v/>
      </c>
      <c r="L148" s="14">
        <f>L93</f>
        <v/>
      </c>
    </row>
    <row r="149">
      <c r="A149" s="7" t="inlineStr">
        <is>
          <t>(+) Ingreso por préstamo (Año 0)</t>
        </is>
      </c>
      <c r="B149" s="14">
        <f>B43</f>
        <v/>
      </c>
      <c r="C149" s="14" t="n">
        <v>0</v>
      </c>
      <c r="D149" s="14" t="n">
        <v>0</v>
      </c>
      <c r="E149" s="14" t="n">
        <v>0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</row>
    <row r="150">
      <c r="A150" s="7" t="inlineStr">
        <is>
          <t>(−) Abono a capital del préstamo</t>
        </is>
      </c>
      <c r="B150" s="14" t="n">
        <v>0</v>
      </c>
      <c r="C150" s="14">
        <f>C100</f>
        <v/>
      </c>
      <c r="D150" s="14">
        <f>D100</f>
        <v/>
      </c>
      <c r="E150" s="14">
        <f>E100</f>
        <v/>
      </c>
      <c r="F150" s="14">
        <f>F100</f>
        <v/>
      </c>
      <c r="G150" s="14">
        <f>G100</f>
        <v/>
      </c>
      <c r="H150" s="14">
        <f>H100</f>
        <v/>
      </c>
      <c r="I150" s="14">
        <f>I100</f>
        <v/>
      </c>
      <c r="J150" s="14">
        <f>J100</f>
        <v/>
      </c>
      <c r="K150" s="14">
        <f>K100</f>
        <v/>
      </c>
      <c r="L150" s="14">
        <f>L100</f>
        <v/>
      </c>
    </row>
    <row r="151">
      <c r="A151" s="7" t="inlineStr">
        <is>
          <t>(−) Inversión en activo fijo</t>
        </is>
      </c>
      <c r="B151" s="14">
        <f>B34</f>
        <v/>
      </c>
      <c r="C151" s="14" t="n">
        <v>0</v>
      </c>
      <c r="D151" s="14" t="n">
        <v>0</v>
      </c>
      <c r="E151" s="14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</row>
    <row r="152">
      <c r="A152" s="7" t="inlineStr">
        <is>
          <t>(−) Inversión en diferidos</t>
        </is>
      </c>
      <c r="B152" s="14">
        <f>B40</f>
        <v/>
      </c>
      <c r="C152" s="14" t="n">
        <v>0</v>
      </c>
      <c r="D152" s="14" t="n">
        <v>0</v>
      </c>
      <c r="E152" s="14" t="n">
        <v>0</v>
      </c>
      <c r="F152" s="14" t="n">
        <v>0</v>
      </c>
      <c r="G152" s="14" t="n">
        <v>0</v>
      </c>
      <c r="H152" s="14" t="n">
        <v>0</v>
      </c>
      <c r="I152" s="14" t="n">
        <v>0</v>
      </c>
      <c r="J152" s="14" t="n">
        <v>0</v>
      </c>
      <c r="K152" s="14" t="n">
        <v>0</v>
      </c>
      <c r="L152" s="14" t="n">
        <v>0</v>
      </c>
    </row>
    <row r="153">
      <c r="A153" s="7" t="inlineStr">
        <is>
          <t>(−) Inversión en capital de trabajo</t>
        </is>
      </c>
      <c r="B153" s="14">
        <f>B92</f>
        <v/>
      </c>
      <c r="C153" s="14">
        <f>C92</f>
        <v/>
      </c>
      <c r="D153" s="14">
        <f>D92</f>
        <v/>
      </c>
      <c r="E153" s="14">
        <f>E92</f>
        <v/>
      </c>
      <c r="F153" s="14">
        <f>F92</f>
        <v/>
      </c>
      <c r="G153" s="14">
        <f>G92</f>
        <v/>
      </c>
      <c r="H153" s="14">
        <f>H92</f>
        <v/>
      </c>
      <c r="I153" s="14">
        <f>I92</f>
        <v/>
      </c>
      <c r="J153" s="14">
        <f>J92</f>
        <v/>
      </c>
      <c r="K153" s="14">
        <f>K92</f>
        <v/>
      </c>
      <c r="L153" s="14">
        <f>L92</f>
        <v/>
      </c>
    </row>
    <row r="154">
      <c r="A154" s="7" t="inlineStr">
        <is>
          <t>(−) Reinversión de camión (años 4 y 7)</t>
        </is>
      </c>
      <c r="B154" s="14" t="inlineStr">
        <is>
          <t>0</t>
        </is>
      </c>
      <c r="C154" s="14" t="inlineStr">
        <is>
          <t>0</t>
        </is>
      </c>
      <c r="D154" s="14" t="inlineStr">
        <is>
          <t>0</t>
        </is>
      </c>
      <c r="E154" s="14" t="inlineStr">
        <is>
          <t>0</t>
        </is>
      </c>
      <c r="F154" s="14">
        <f>B33*(1+$B$7)^3</f>
        <v/>
      </c>
      <c r="G154" s="14" t="inlineStr">
        <is>
          <t>0</t>
        </is>
      </c>
      <c r="H154" s="14" t="inlineStr">
        <is>
          <t>0</t>
        </is>
      </c>
      <c r="I154" s="14">
        <f>B33*(1+$B$7)^6</f>
        <v/>
      </c>
      <c r="J154" s="14" t="inlineStr">
        <is>
          <t>0</t>
        </is>
      </c>
      <c r="K154" s="14" t="inlineStr">
        <is>
          <t>0</t>
        </is>
      </c>
      <c r="L154" s="14" t="inlineStr">
        <is>
          <t>0</t>
        </is>
      </c>
    </row>
    <row r="155">
      <c r="A155" s="3" t="inlineStr">
        <is>
          <t>(=) FLUJO DE CAJA DEL INVERSIONISTA</t>
        </is>
      </c>
      <c r="B155" s="26">
        <f>B144+B145+B146+B147+B148+B149-B150-B151-B152-B153-B154</f>
        <v/>
      </c>
      <c r="C155" s="26">
        <f>C144+C145+C146+C147+C148+C149-C150-C151-C152-C153-C154</f>
        <v/>
      </c>
      <c r="D155" s="26">
        <f>D144+D145+D146+D147+D148+D149-D150-D151-D152-D153-D154</f>
        <v/>
      </c>
      <c r="E155" s="26">
        <f>E144+E145+E146+E147+E148+E149-E150-E151-E152-E153-E154</f>
        <v/>
      </c>
      <c r="F155" s="26">
        <f>F144+F145+F146+F147+F148+F149-F150-F151-F152-F153-F154</f>
        <v/>
      </c>
      <c r="G155" s="26">
        <f>G144+G145+G146+G147+G148+G149-G150-G151-G152-G153-G154</f>
        <v/>
      </c>
      <c r="H155" s="26">
        <f>H144+H145+H146+H147+H148+H149-H150-H151-H152-H153-H154</f>
        <v/>
      </c>
      <c r="I155" s="26">
        <f>I144+I145+I146+I147+I148+I149-I150-I151-I152-I153-I154</f>
        <v/>
      </c>
      <c r="J155" s="26">
        <f>J144+J145+J146+J147+J148+J149-J150-J151-J152-J153-J154</f>
        <v/>
      </c>
      <c r="K155" s="26">
        <f>K144+K145+K146+K147+K148+K149-K150-K151-K152-K153-K154</f>
        <v/>
      </c>
      <c r="L155" s="26">
        <f>L144+L145+L146+L147+L148+L149-L150-L151-L152-L153-L154</f>
        <v/>
      </c>
    </row>
    <row r="156">
      <c r="A156" s="27" t="inlineStr">
        <is>
          <t>Flujo de caja acumulado</t>
        </is>
      </c>
      <c r="B156" s="28">
        <f>B155</f>
        <v/>
      </c>
      <c r="C156" s="28">
        <f>B156+C155</f>
        <v/>
      </c>
      <c r="D156" s="28">
        <f>C156+D155</f>
        <v/>
      </c>
      <c r="E156" s="28">
        <f>D156+E155</f>
        <v/>
      </c>
      <c r="F156" s="28">
        <f>E156+F155</f>
        <v/>
      </c>
      <c r="G156" s="28">
        <f>F156+G155</f>
        <v/>
      </c>
      <c r="H156" s="28">
        <f>G156+H155</f>
        <v/>
      </c>
      <c r="I156" s="28">
        <f>H156+I155</f>
        <v/>
      </c>
      <c r="J156" s="28">
        <f>I156+J155</f>
        <v/>
      </c>
      <c r="K156" s="28">
        <f>J156+K155</f>
        <v/>
      </c>
      <c r="L156" s="28">
        <f>K156+L155</f>
        <v/>
      </c>
    </row>
    <row r="158">
      <c r="A158" s="3" t="inlineStr">
        <is>
          <t>14. WACC E INDICADORES — INVERSIONISTA</t>
        </is>
      </c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</row>
    <row r="159">
      <c r="A159" s="5" t="inlineStr">
        <is>
          <t>Fuente</t>
        </is>
      </c>
      <c r="B159" s="1" t="inlineStr">
        <is>
          <t>Monto</t>
        </is>
      </c>
      <c r="C159" s="1" t="inlineStr">
        <is>
          <t>Particip.</t>
        </is>
      </c>
      <c r="D159" s="1" t="inlineStr">
        <is>
          <t>Costo</t>
        </is>
      </c>
      <c r="E159" s="1" t="inlineStr">
        <is>
          <t>Ponderado</t>
        </is>
      </c>
      <c r="F159" s="6" t="n"/>
      <c r="G159" s="6" t="n"/>
      <c r="H159" s="6" t="n"/>
      <c r="I159" s="6" t="n"/>
      <c r="J159" s="6" t="n"/>
      <c r="K159" s="6" t="n"/>
      <c r="L159" s="6" t="n"/>
    </row>
    <row r="160">
      <c r="A160" s="7" t="inlineStr">
        <is>
          <t>Deuda (después de impuestos)</t>
        </is>
      </c>
      <c r="B160" s="14">
        <f>B43</f>
        <v/>
      </c>
      <c r="C160" s="16">
        <f>B160/B42</f>
        <v/>
      </c>
      <c r="D160" s="16">
        <f>$B$12*(1-$B$8)</f>
        <v/>
      </c>
      <c r="E160" s="16">
        <f>C160*D160</f>
        <v/>
      </c>
    </row>
    <row r="161">
      <c r="A161" s="7" t="inlineStr">
        <is>
          <t>Patrimonio (recursos propios)</t>
        </is>
      </c>
      <c r="B161" s="14">
        <f>B44</f>
        <v/>
      </c>
      <c r="C161" s="16">
        <f>B161/B42</f>
        <v/>
      </c>
      <c r="D161" s="16">
        <f>$B$11</f>
        <v/>
      </c>
      <c r="E161" s="16">
        <f>C161*D161</f>
        <v/>
      </c>
    </row>
    <row r="162">
      <c r="A162" s="17" t="inlineStr">
        <is>
          <t>WACC</t>
        </is>
      </c>
      <c r="B162" s="18">
        <f>B160+B161</f>
        <v/>
      </c>
      <c r="C162" s="35" t="n">
        <v>1</v>
      </c>
      <c r="D162" s="36" t="inlineStr">
        <is>
          <t>-</t>
        </is>
      </c>
      <c r="E162" s="35">
        <f>E160+E161</f>
        <v/>
      </c>
      <c r="F162" s="19" t="n"/>
      <c r="G162" s="19" t="n"/>
      <c r="H162" s="19" t="n"/>
      <c r="I162" s="19" t="n"/>
      <c r="J162" s="19" t="n"/>
      <c r="K162" s="19" t="n"/>
      <c r="L162" s="19" t="n"/>
    </row>
    <row r="163">
      <c r="A163" s="27" t="inlineStr">
        <is>
          <t>VAN (al WACC)</t>
        </is>
      </c>
      <c r="B163" s="29">
        <f>NPV(E162,C155:L155)+B155</f>
        <v/>
      </c>
      <c r="C163" s="7" t="inlineStr">
        <is>
          <t>VAN del inversionista descontado al WACC.</t>
        </is>
      </c>
      <c r="D163" s="9" t="n"/>
      <c r="E163" s="9" t="n"/>
      <c r="F163" s="9" t="n"/>
      <c r="G163" s="9" t="n"/>
      <c r="H163" s="9" t="n"/>
      <c r="I163" s="9" t="n"/>
      <c r="J163" s="9" t="n"/>
      <c r="K163" s="9" t="n"/>
      <c r="L163" s="9" t="n"/>
    </row>
    <row r="164">
      <c r="A164" s="27" t="inlineStr">
        <is>
          <t>TIR del inversionista</t>
        </is>
      </c>
      <c r="B164" s="30">
        <f>IRR(B155:L155)</f>
        <v/>
      </c>
      <c r="C164" s="7" t="inlineStr">
        <is>
          <t>TIR sobre el aporte propio.</t>
        </is>
      </c>
      <c r="D164" s="9" t="n"/>
      <c r="E164" s="9" t="n"/>
      <c r="F164" s="9" t="n"/>
      <c r="G164" s="9" t="n"/>
      <c r="H164" s="9" t="n"/>
      <c r="I164" s="9" t="n"/>
      <c r="J164" s="9" t="n"/>
      <c r="K164" s="9" t="n"/>
      <c r="L164" s="9" t="n"/>
    </row>
  </sheetData>
  <mergeCells count="66">
    <mergeCell ref="C71:L71"/>
    <mergeCell ref="C23:L23"/>
    <mergeCell ref="C8:L8"/>
    <mergeCell ref="C70:L70"/>
    <mergeCell ref="C17:L17"/>
    <mergeCell ref="E33:L33"/>
    <mergeCell ref="A46:L46"/>
    <mergeCell ref="A89:L89"/>
    <mergeCell ref="C7:L7"/>
    <mergeCell ref="C67:L67"/>
    <mergeCell ref="A27:L27"/>
    <mergeCell ref="A158:L158"/>
    <mergeCell ref="A3:L3"/>
    <mergeCell ref="C72:L72"/>
    <mergeCell ref="E39:L39"/>
    <mergeCell ref="C66:L66"/>
    <mergeCell ref="A95:L95"/>
    <mergeCell ref="C13:L13"/>
    <mergeCell ref="A2:L2"/>
    <mergeCell ref="C19:L19"/>
    <mergeCell ref="E35:L35"/>
    <mergeCell ref="E29:L29"/>
    <mergeCell ref="C18:L18"/>
    <mergeCell ref="C69:L69"/>
    <mergeCell ref="A85:L85"/>
    <mergeCell ref="A5:L5"/>
    <mergeCell ref="E38:L38"/>
    <mergeCell ref="E28:L28"/>
    <mergeCell ref="C68:L68"/>
    <mergeCell ref="C15:L15"/>
    <mergeCell ref="C6:L6"/>
    <mergeCell ref="C24:L24"/>
    <mergeCell ref="A53:L53"/>
    <mergeCell ref="E31:L31"/>
    <mergeCell ref="C14:L14"/>
    <mergeCell ref="A125:L125"/>
    <mergeCell ref="C126:L126"/>
    <mergeCell ref="E30:L30"/>
    <mergeCell ref="C73:L73"/>
    <mergeCell ref="C128:L128"/>
    <mergeCell ref="C20:L20"/>
    <mergeCell ref="E36:L36"/>
    <mergeCell ref="C10:L10"/>
    <mergeCell ref="C16:L16"/>
    <mergeCell ref="A77:L77"/>
    <mergeCell ref="C25:L25"/>
    <mergeCell ref="C44:L44"/>
    <mergeCell ref="C41:L41"/>
    <mergeCell ref="C164:L164"/>
    <mergeCell ref="A60:L60"/>
    <mergeCell ref="C22:L22"/>
    <mergeCell ref="C127:L127"/>
    <mergeCell ref="C9:L9"/>
    <mergeCell ref="C129:L129"/>
    <mergeCell ref="A1:L1"/>
    <mergeCell ref="A103:L103"/>
    <mergeCell ref="A132:L132"/>
    <mergeCell ref="E32:L32"/>
    <mergeCell ref="C21:L21"/>
    <mergeCell ref="C43:L43"/>
    <mergeCell ref="C12:L12"/>
    <mergeCell ref="C130:L130"/>
    <mergeCell ref="C163:L163"/>
    <mergeCell ref="E37:L37"/>
    <mergeCell ref="C11:L11"/>
    <mergeCell ref="A65:L6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40" customWidth="1" min="3" max="3"/>
    <col width="16" customWidth="1" min="4" max="4"/>
    <col width="18" customWidth="1" min="5" max="5"/>
    <col width="50" customWidth="1" min="6" max="6"/>
  </cols>
  <sheetData>
    <row r="1">
      <c r="A1" s="1" t="inlineStr">
        <is>
          <t>AUDITORÍA FINANCIERA Y CORRECCIONES PARA LA TESIS</t>
        </is>
      </c>
    </row>
    <row r="2">
      <c r="A2" s="2" t="inlineStr">
        <is>
          <t>Errores detectados en los datos de la tesis y qué corregir en el documento para que concuerde con el estudio financiero</t>
        </is>
      </c>
    </row>
    <row r="4">
      <c r="A4" s="3" t="inlineStr">
        <is>
          <t>IMPACTO GLOBAL DE LAS CORRECCIONES</t>
        </is>
      </c>
    </row>
    <row r="5" ht="32" customHeight="1">
      <c r="A5" s="5" t="inlineStr">
        <is>
          <t>Indicador</t>
        </is>
      </c>
      <c r="B5" s="6" t="n"/>
      <c r="C5" s="5" t="inlineStr">
        <is>
          <t>Tesis original (con errores)</t>
        </is>
      </c>
      <c r="D5" s="6" t="n"/>
      <c r="E5" s="5" t="inlineStr">
        <is>
          <t>Estudio corregido (real)</t>
        </is>
      </c>
      <c r="F5" s="6" t="n"/>
    </row>
    <row r="6" ht="32" customHeight="1">
      <c r="A6" s="7" t="inlineStr">
        <is>
          <t>VAN del proyecto (TREMA 15%)</t>
        </is>
      </c>
      <c r="B6" s="9" t="n"/>
      <c r="C6" s="33" t="inlineStr">
        <is>
          <t>L 16,373,835 (aparente, incorrecto)</t>
        </is>
      </c>
      <c r="D6" s="34" t="n"/>
      <c r="E6" s="37" t="inlineStr">
        <is>
          <t>L −5,361,310 (real)</t>
        </is>
      </c>
      <c r="F6" s="38" t="n"/>
    </row>
    <row r="7" ht="32" customHeight="1">
      <c r="A7" s="7" t="inlineStr">
        <is>
          <t>TIR del proyecto</t>
        </is>
      </c>
      <c r="B7" s="9" t="n"/>
      <c r="C7" s="33" t="inlineStr">
        <is>
          <t>49.78% (aparente)</t>
        </is>
      </c>
      <c r="D7" s="34" t="n"/>
      <c r="E7" s="37" t="inlineStr">
        <is>
          <t>0.80% (real)</t>
        </is>
      </c>
      <c r="F7" s="38" t="n"/>
    </row>
    <row r="8" ht="32" customHeight="1">
      <c r="A8" s="7" t="inlineStr">
        <is>
          <t>Dictamen</t>
        </is>
      </c>
      <c r="B8" s="9" t="n"/>
      <c r="C8" s="33" t="inlineStr">
        <is>
          <t>VIABLE (incorrecto)</t>
        </is>
      </c>
      <c r="D8" s="34" t="n"/>
      <c r="E8" s="37" t="inlineStr">
        <is>
          <t>NO VIABLE con las ventas proyectadas</t>
        </is>
      </c>
      <c r="F8" s="38" t="n"/>
    </row>
    <row r="9" ht="32" customHeight="1">
      <c r="A9" s="7" t="inlineStr">
        <is>
          <t>Causa principal</t>
        </is>
      </c>
      <c r="B9" s="9" t="n"/>
      <c r="C9" s="33" t="inlineStr">
        <is>
          <t>Costos mensuales usados como anuales y sin prestaciones</t>
        </is>
      </c>
      <c r="D9" s="34" t="n"/>
      <c r="E9" s="37" t="inlineStr">
        <is>
          <t>Costos reales anualizados + prestaciones de ley + ISR Honduras</t>
        </is>
      </c>
      <c r="F9" s="38" t="n"/>
    </row>
    <row r="11">
      <c r="A11" s="3" t="inlineStr">
        <is>
          <t>DETALLE DE HALLAZGOS Y CORRECCIONES</t>
        </is>
      </c>
    </row>
    <row r="12">
      <c r="A12" s="1" t="inlineStr">
        <is>
          <t>#</t>
        </is>
      </c>
      <c r="B12" s="5" t="inlineStr">
        <is>
          <t>Dónde corregir en la tesis</t>
        </is>
      </c>
      <c r="C12" s="5" t="inlineStr">
        <is>
          <t>Hallazgo / Error</t>
        </is>
      </c>
      <c r="D12" s="1" t="inlineStr">
        <is>
          <t>En tu tesis</t>
        </is>
      </c>
      <c r="E12" s="1" t="inlineStr">
        <is>
          <t>Valor corregido</t>
        </is>
      </c>
      <c r="F12" s="5" t="inlineStr">
        <is>
          <t>Qué debes cambiar en el documento</t>
        </is>
      </c>
    </row>
    <row r="13" ht="58" customHeight="1">
      <c r="A13" s="15" t="n">
        <v>1</v>
      </c>
      <c r="B13" s="7" t="inlineStr">
        <is>
          <t>Cuadro 6 y sección «Costo de personal» (P1093-1118)</t>
        </is>
      </c>
      <c r="C13" s="7" t="inlineStr">
        <is>
          <t>Planilla MENSUAL (L92,600/mes = suma de 6 salarios) usada como costo ANUAL.</t>
        </is>
      </c>
      <c r="D13" s="39" t="inlineStr">
        <is>
          <t>L 92,600/año</t>
        </is>
      </c>
      <c r="E13" s="40" t="inlineStr">
        <is>
          <t>L 1,494,082/año (Año 1)</t>
        </is>
      </c>
      <c r="F13" s="7" t="inlineStr">
        <is>
          <t>Anualizar la planilla (×12) e incluir aguinaldo (13º), catorceavo (14º) y aportes patronales IHSS+RAP+INFOP (~12%). Es el error de mayor impacto.</t>
        </is>
      </c>
    </row>
    <row r="14" ht="58" customHeight="1">
      <c r="A14" s="15" t="n">
        <v>2</v>
      </c>
      <c r="B14" s="7" t="inlineStr">
        <is>
          <t>Cuadro 5 vs Cuadro 6</t>
        </is>
      </c>
      <c r="C14" s="7" t="inlineStr">
        <is>
          <t>Doble conteo: el personal (L92,600) está DENTRO de «costos fijos operativos» (L543,100) y además como línea aparte en el Cuadro 6.</t>
        </is>
      </c>
      <c r="D14" s="39" t="inlineStr">
        <is>
          <t>Contado 2 veces</t>
        </is>
      </c>
      <c r="E14" s="40" t="inlineStr">
        <is>
          <t>1 sola vez</t>
        </is>
      </c>
      <c r="F14" s="7" t="inlineStr">
        <is>
          <t>Dejar el costo de personal en una única línea; no sumarlo dentro de los costos fijos operativos.</t>
        </is>
      </c>
    </row>
    <row r="15" ht="58" customHeight="1">
      <c r="A15" s="15" t="n">
        <v>3</v>
      </c>
      <c r="B15" s="7" t="inlineStr">
        <is>
          <t>Cuadro 5 y Cuadro 6</t>
        </is>
      </c>
      <c r="C15" s="7" t="inlineStr">
        <is>
          <t>Todos los costos operativos (fijos L543,100; admin L22,600; variables L19,500) son cifras MENSUALES presentadas como ANUALES.</t>
        </is>
      </c>
      <c r="D15" s="39" t="inlineStr">
        <is>
          <t>Mensual como anual</t>
        </is>
      </c>
      <c r="E15" s="40" t="inlineStr">
        <is>
          <t>× 12 (anual)</t>
        </is>
      </c>
      <c r="F15" s="7" t="inlineStr">
        <is>
          <t>Multiplicar por 12 los costos operativos y aclarar si son mensuales o anuales.</t>
        </is>
      </c>
    </row>
    <row r="16" ht="58" customHeight="1">
      <c r="A16" s="15" t="n">
        <v>4</v>
      </c>
      <c r="B16" s="7" t="inlineStr">
        <is>
          <t>Sección «Costos fijos» (P1011)</t>
        </is>
      </c>
      <c r="C16" s="7" t="inlineStr">
        <is>
          <t>La compra de leche (L390,000) se trató como costo FIJO a capacidad plena (30,000 L/mes), aunque el Año 1 solo se venden ~1,167 L/mes.</t>
        </is>
      </c>
      <c r="D16" s="39" t="inlineStr">
        <is>
          <t>Fijo a capacidad</t>
        </is>
      </c>
      <c r="E16" s="40" t="inlineStr">
        <is>
          <t>Variable por litro vendido</t>
        </is>
      </c>
      <c r="F16" s="7" t="inlineStr">
        <is>
          <t>Convertir leche, empaque y combustible en COSTOS VARIABLES = litros vendidos × costo unitario. El costo derivado de leche es ~L13/L.</t>
        </is>
      </c>
    </row>
    <row r="17" ht="58" customHeight="1">
      <c r="A17" s="15" t="n">
        <v>5</v>
      </c>
      <c r="B17" s="7" t="inlineStr">
        <is>
          <t>Gastos administrativos (P996-1003)</t>
        </is>
      </c>
      <c r="C17" s="7" t="inlineStr">
        <is>
          <t>Los 8 ítems suman L21,600, pero el Cuadro 5 reporta L22,600.</t>
        </is>
      </c>
      <c r="D17" s="39" t="inlineStr">
        <is>
          <t>L 22,600</t>
        </is>
      </c>
      <c r="E17" s="40" t="inlineStr">
        <is>
          <t>L 21,600</t>
        </is>
      </c>
      <c r="F17" s="7" t="inlineStr">
        <is>
          <t>Corregir la suma aritmética (diferencia de L1,000).</t>
        </is>
      </c>
    </row>
    <row r="18" ht="58" customHeight="1">
      <c r="A18" s="15" t="n">
        <v>6</v>
      </c>
      <c r="B18" s="7" t="inlineStr">
        <is>
          <t>Cuadro 1 (Año 1)</t>
        </is>
      </c>
      <c r="C18" s="7" t="inlineStr">
        <is>
          <t>Ingreso del Año 1: 14,000 L × L28 = L392,000, pero se reporta L396,000.</t>
        </is>
      </c>
      <c r="D18" s="39" t="inlineStr">
        <is>
          <t>L 396,000</t>
        </is>
      </c>
      <c r="E18" s="40" t="inlineStr">
        <is>
          <t>L 392,000</t>
        </is>
      </c>
      <c r="F18" s="7" t="inlineStr">
        <is>
          <t>Usar L392,000 o ajustar volumen/precio para que cuadre volumen × precio.</t>
        </is>
      </c>
    </row>
    <row r="19" ht="58" customHeight="1">
      <c r="A19" s="15" t="n">
        <v>7</v>
      </c>
      <c r="B19" s="7" t="inlineStr">
        <is>
          <t>Cuadro 3 (Depreciación)</t>
        </is>
      </c>
      <c r="C19" s="7" t="inlineStr">
        <is>
          <t>El camión se deprecia en 3 años (33.33%), pero el horizonte es de 10 años y no se contempla su reemplazo.</t>
        </is>
      </c>
      <c r="D19" s="39" t="inlineStr">
        <is>
          <t>Sin reinversión</t>
        </is>
      </c>
      <c r="E19" s="40" t="inlineStr">
        <is>
          <t>Reinversión años 4 y 7</t>
        </is>
      </c>
      <c r="F19" s="7" t="inlineStr">
        <is>
          <t>Agregar la reinversión del vehículo cada 3 años (o justificar arrendamiento/leasing).</t>
        </is>
      </c>
    </row>
    <row r="20" ht="58" customHeight="1">
      <c r="A20" s="15" t="n">
        <v>8</v>
      </c>
      <c r="B20" s="7" t="inlineStr">
        <is>
          <t>Estudio financiero (impuestos)</t>
        </is>
      </c>
      <c r="C20" s="7" t="inlineStr">
        <is>
          <t>No se aplica impuesto sobre la renta en el flujo.</t>
        </is>
      </c>
      <c r="D20" s="39" t="inlineStr">
        <is>
          <t>Sin ISR</t>
        </is>
      </c>
      <c r="E20" s="40" t="inlineStr">
        <is>
          <t>ISR 25% + 5% solidaria</t>
        </is>
      </c>
      <c r="F20" s="7" t="inlineStr">
        <is>
          <t>Incorporar el ISR de Honduras: 25% + aportación solidaria 5% sobre la renta neta que exceda L1,000,000.</t>
        </is>
      </c>
    </row>
    <row r="21" ht="58" customHeight="1">
      <c r="A21" s="15" t="n">
        <v>9</v>
      </c>
      <c r="B21" s="7" t="inlineStr">
        <is>
          <t>Estudio financiero (tasa de descuento)</t>
        </is>
      </c>
      <c r="C21" s="7" t="inlineStr">
        <is>
          <t>No se define la TREMA ni la tasa de descuento para VAN/TIR.</t>
        </is>
      </c>
      <c r="D21" s="39" t="inlineStr">
        <is>
          <t>No definida</t>
        </is>
      </c>
      <c r="E21" s="40" t="inlineStr">
        <is>
          <t>TREMA 15% / WACC 13.2%</t>
        </is>
      </c>
      <c r="F21" s="7" t="inlineStr">
        <is>
          <t>Definir y justificar la tasa de descuento (TREMA) y, con financiamiento, el WACC.</t>
        </is>
      </c>
    </row>
    <row r="22" ht="58" customHeight="1">
      <c r="A22" s="15" t="n">
        <v>10</v>
      </c>
      <c r="B22" s="7" t="inlineStr">
        <is>
          <t>Estudio financiero (capital de trabajo)</t>
        </is>
      </c>
      <c r="C22" s="7" t="inlineStr">
        <is>
          <t>No hay capital de trabajo explícito ni su recuperación al final.</t>
        </is>
      </c>
      <c r="D22" s="39" t="inlineStr">
        <is>
          <t>No incluido</t>
        </is>
      </c>
      <c r="E22" s="40" t="inlineStr">
        <is>
          <t>2 meses de costos, recuperado Año 10</t>
        </is>
      </c>
      <c r="F22" s="7" t="inlineStr">
        <is>
          <t>Incluir la inversión en capital de trabajo y su recuperación en el último año.</t>
        </is>
      </c>
    </row>
    <row r="23" ht="58" customHeight="1">
      <c r="A23" s="15" t="n">
        <v>11</v>
      </c>
      <c r="B23" s="7" t="inlineStr">
        <is>
          <t>Conclusión del estudio financiero</t>
        </is>
      </c>
      <c r="C23" s="7" t="inlineStr">
        <is>
          <t>La conclusión de viabilidad se basa en costos subestimados.</t>
        </is>
      </c>
      <c r="D23" s="39" t="inlineStr">
        <is>
          <t>VIABLE</t>
        </is>
      </c>
      <c r="E23" s="40" t="inlineStr">
        <is>
          <t>NO VIABLE con ventas proyectadas</t>
        </is>
      </c>
      <c r="F23" s="7" t="inlineStr">
        <is>
          <t>Revisar la proyección de ventas: 14,000 L/año (38 L/día) es muy baja frente a la capacidad (1,000 L/día) y al mercado meta de 2,000+ clientes. Ver hoja «Sensibilidad».</t>
        </is>
      </c>
    </row>
  </sheetData>
  <mergeCells count="19">
    <mergeCell ref="C6:D6"/>
    <mergeCell ref="C5:D5"/>
    <mergeCell ref="E5:F5"/>
    <mergeCell ref="E8:F8"/>
    <mergeCell ref="A6:B6"/>
    <mergeCell ref="A2:F2"/>
    <mergeCell ref="A7:B7"/>
    <mergeCell ref="A4:F4"/>
    <mergeCell ref="C9:D9"/>
    <mergeCell ref="E9:F9"/>
    <mergeCell ref="E6:F6"/>
    <mergeCell ref="A5:B5"/>
    <mergeCell ref="A8:B8"/>
    <mergeCell ref="C8:D8"/>
    <mergeCell ref="A11:F11"/>
    <mergeCell ref="C7:D7"/>
    <mergeCell ref="E7:F7"/>
    <mergeCell ref="A1:F1"/>
    <mergeCell ref="A9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8" customWidth="1" min="3" max="3"/>
    <col width="18" customWidth="1" min="4" max="4"/>
    <col width="40" customWidth="1" min="5" max="5"/>
  </cols>
  <sheetData>
    <row r="1">
      <c r="A1" s="1" t="inlineStr">
        <is>
          <t>ANÁLISIS DE SENSIBILIDAD Y ESCENARIOS (modelo corregido)</t>
        </is>
      </c>
    </row>
    <row r="2">
      <c r="A2" s="2" t="inlineStr">
        <is>
          <t>Qué se necesita para que el proyecto sea financieramente viable</t>
        </is>
      </c>
    </row>
    <row r="4">
      <c r="A4" s="3" t="inlineStr">
        <is>
          <t>1. PUNTO DE EQUILIBRIO (Año 1)</t>
        </is>
      </c>
    </row>
    <row r="5">
      <c r="A5" s="7" t="inlineStr">
        <is>
          <t>Costos fijos + admin + personal (Año 1)</t>
        </is>
      </c>
      <c r="B5" s="14">
        <f>'Estudio Corregido'!C62+'Estudio Corregido'!C63+'Estudio Corregido'!C75</f>
        <v/>
      </c>
    </row>
    <row r="6">
      <c r="A6" s="7" t="inlineStr">
        <is>
          <t>Margen de contribución por litro (Año 1)</t>
        </is>
      </c>
      <c r="B6" s="41">
        <f>'Estudio Corregido'!C50-'Estudio Corregido'!C58/'Estudio Corregido'!C49</f>
        <v/>
      </c>
    </row>
    <row r="7">
      <c r="A7" s="20" t="inlineStr">
        <is>
          <t>Volumen de equilibrio (L/año)</t>
        </is>
      </c>
      <c r="B7" s="28">
        <f>B5/B6</f>
        <v/>
      </c>
    </row>
    <row r="8">
      <c r="A8" s="7" t="inlineStr">
        <is>
          <t>Equivalente por día (L/día)</t>
        </is>
      </c>
      <c r="B8" s="14">
        <f>B7/365</f>
        <v/>
      </c>
    </row>
    <row r="9">
      <c r="A9" s="7" t="inlineStr">
        <is>
          <t>Volumen proyectado en la tesis (Año 1)</t>
        </is>
      </c>
      <c r="B9" s="42">
        <f>'Estudio Corregido'!C49</f>
        <v/>
      </c>
    </row>
    <row r="10">
      <c r="A10" s="7" t="inlineStr">
        <is>
          <t>Capacidad instalada de la planta (L/año)</t>
        </is>
      </c>
      <c r="B10" s="14" t="n">
        <v>365000</v>
      </c>
    </row>
    <row r="12">
      <c r="A12" s="3" t="inlineStr">
        <is>
          <t>2. SENSIBILIDAD AL VOLUMEN DE VENTAS (misma trayectoria × factor)</t>
        </is>
      </c>
    </row>
    <row r="13">
      <c r="A13" s="5" t="inlineStr">
        <is>
          <t>Escenario</t>
        </is>
      </c>
      <c r="B13" s="1" t="inlineStr">
        <is>
          <t>Ventas Año 1 (L)</t>
        </is>
      </c>
      <c r="C13" s="1" t="inlineStr">
        <is>
          <t>VAN proyecto</t>
        </is>
      </c>
      <c r="D13" s="1" t="inlineStr">
        <is>
          <t>TIR</t>
        </is>
      </c>
      <c r="E13" s="5" t="inlineStr">
        <is>
          <t>Dictamen</t>
        </is>
      </c>
    </row>
    <row r="14">
      <c r="A14" s="7" t="inlineStr">
        <is>
          <t>Tesis (×1.0)</t>
        </is>
      </c>
      <c r="B14" s="14" t="n">
        <v>14000</v>
      </c>
      <c r="C14" s="14" t="n">
        <v>-5361310</v>
      </c>
      <c r="D14" s="16" t="n">
        <v>0.008</v>
      </c>
      <c r="E14" s="33" t="inlineStr">
        <is>
          <t>NO VIABLE</t>
        </is>
      </c>
    </row>
    <row r="15">
      <c r="A15" s="7" t="inlineStr">
        <is>
          <t>Equilibrio VAN (×1.66)</t>
        </is>
      </c>
      <c r="B15" s="14" t="n">
        <v>23232</v>
      </c>
      <c r="C15" s="14" t="n">
        <v>0</v>
      </c>
      <c r="D15" s="16" t="n">
        <v>0.15</v>
      </c>
      <c r="E15" s="43" t="inlineStr">
        <is>
          <t>Punto de equilibrio (VAN=0)</t>
        </is>
      </c>
    </row>
    <row r="16">
      <c r="A16" s="7" t="inlineStr">
        <is>
          <t>×2.0</t>
        </is>
      </c>
      <c r="B16" s="14" t="n">
        <v>28000</v>
      </c>
      <c r="C16" s="14" t="n">
        <v>2707754</v>
      </c>
      <c r="D16" s="16" t="n">
        <v>0.2026</v>
      </c>
      <c r="E16" s="37" t="inlineStr">
        <is>
          <t>VIABLE</t>
        </is>
      </c>
    </row>
    <row r="17">
      <c r="A17" s="7" t="inlineStr">
        <is>
          <t>×3.0</t>
        </is>
      </c>
      <c r="B17" s="14" t="n">
        <v>42000</v>
      </c>
      <c r="C17" s="14" t="n">
        <v>10509353</v>
      </c>
      <c r="D17" s="16" t="n">
        <v>0.3212</v>
      </c>
      <c r="E17" s="37" t="inlineStr">
        <is>
          <t>VIABLE</t>
        </is>
      </c>
    </row>
    <row r="18">
      <c r="A18" s="7" t="inlineStr">
        <is>
          <t>×4.0</t>
        </is>
      </c>
      <c r="B18" s="14" t="n">
        <v>56000</v>
      </c>
      <c r="C18" s="14" t="n">
        <v>18190217</v>
      </c>
      <c r="D18" s="16" t="n">
        <v>0.4123</v>
      </c>
      <c r="E18" s="37" t="inlineStr">
        <is>
          <t>VIABLE</t>
        </is>
      </c>
    </row>
    <row r="19">
      <c r="A19" s="7" t="inlineStr">
        <is>
          <t>×5.0</t>
        </is>
      </c>
      <c r="B19" s="14" t="n">
        <v>70000</v>
      </c>
      <c r="C19" s="14" t="n">
        <v>25805439</v>
      </c>
      <c r="D19" s="16" t="n">
        <v>0.489</v>
      </c>
      <c r="E19" s="37" t="inlineStr">
        <is>
          <t>VIABLE</t>
        </is>
      </c>
    </row>
    <row r="21">
      <c r="A21" s="3" t="inlineStr">
        <is>
          <t>3. SENSIBILIDAD A LA TASA DE DESCUENTO (TREMA) — caso base ×1</t>
        </is>
      </c>
    </row>
    <row r="22">
      <c r="A22" s="1" t="inlineStr">
        <is>
          <t>TREMA</t>
        </is>
      </c>
      <c r="B22" s="1" t="inlineStr">
        <is>
          <t>VAN del proyecto</t>
        </is>
      </c>
      <c r="C22" s="5" t="inlineStr">
        <is>
          <t>El VAN es negativo en todo el rango razonable de TREMA</t>
        </is>
      </c>
    </row>
    <row r="23">
      <c r="A23" s="16" t="n">
        <v>0.1</v>
      </c>
      <c r="B23" s="42" t="n">
        <v>-4500387</v>
      </c>
      <c r="C23" s="44" t="inlineStr"/>
    </row>
    <row r="24">
      <c r="A24" s="16" t="n">
        <v>0.12</v>
      </c>
      <c r="B24" s="42" t="n">
        <v>-4925503</v>
      </c>
      <c r="C24" s="44" t="inlineStr"/>
    </row>
    <row r="25">
      <c r="A25" s="16" t="n">
        <v>0.15</v>
      </c>
      <c r="B25" s="42" t="n">
        <v>-5361310</v>
      </c>
      <c r="C25" s="44" t="inlineStr"/>
    </row>
    <row r="26">
      <c r="A26" s="16" t="n">
        <v>0.18</v>
      </c>
      <c r="B26" s="42" t="n">
        <v>-5620345</v>
      </c>
      <c r="C26" s="44" t="inlineStr"/>
    </row>
    <row r="27">
      <c r="A27" s="16" t="n">
        <v>0.2</v>
      </c>
      <c r="B27" s="42" t="n">
        <v>-5721887</v>
      </c>
      <c r="C27" s="44" t="inlineStr"/>
    </row>
    <row r="29">
      <c r="A29" s="3" t="inlineStr">
        <is>
          <t>4. CONCLUSIONES Y RECOMENDACIONES</t>
        </is>
      </c>
    </row>
    <row r="30" ht="46" customHeight="1">
      <c r="A30" s="7" t="inlineStr">
        <is>
          <t>• Con los datos corregidos, el proyecto NO es viable con la proyección de ventas de la tesis: el VAN es de aproximadamente −L5.4 millones y la TIR (0.80%) está muy por debajo de la TREMA (15%).</t>
        </is>
      </c>
    </row>
    <row r="31" ht="46" customHeight="1">
      <c r="A31" s="7" t="inlineStr">
        <is>
          <t>• La causa NO es el precio ni el margen (el margen de contribución es sano: ~L12/L), sino que las ventas proyectadas (38 L/día) son demasiado bajas para sostener una planta con 6 empleados y costos fijos anuales de ~L2.0 millones.</t>
        </is>
      </c>
    </row>
    <row r="32" ht="46" customHeight="1">
      <c r="A32" s="7" t="inlineStr">
        <is>
          <t>• El punto de equilibrio operativo del Año 1 es de ~174,000 L/año (476 L/día). En VAN, el proyecto se vuelve viable con ventas ~1.66× las proyectadas (≈23,000 L el Año 1 y creciendo).</t>
        </is>
      </c>
    </row>
    <row r="33" ht="46" customHeight="1">
      <c r="A33" s="7" t="inlineStr">
        <is>
          <t>• RECOMENDACIÓN 1: Revisar al alza la proyección de ventas. Tu propio estudio de mercado identifica 2,000+ clientes «A» de alto volumen; captar una fracción mayor haría el proyecto viable y usaría la capacidad instalada (hoy solo 3.8%).</t>
        </is>
      </c>
    </row>
    <row r="34" ht="46" customHeight="1">
      <c r="A34" s="7" t="inlineStr">
        <is>
          <t>• RECOMENDACIÓN 2: Alternativamente, iniciar con una estructura más ligera (menos personal a tiempo completo, tercerizar distribución) hasta alcanzar el volumen de equilibrio.</t>
        </is>
      </c>
    </row>
    <row r="35" ht="46" customHeight="1">
      <c r="A35" s="7" t="inlineStr">
        <is>
          <t>• RECOMENDACIÓN 3: Corregir en el documento de tesis todos los puntos de la hoja «Auditoría y Correcciones» para que el estudio financiero sea consistente y defendible.</t>
        </is>
      </c>
    </row>
  </sheetData>
  <mergeCells count="18">
    <mergeCell ref="A21:E21"/>
    <mergeCell ref="A30:E30"/>
    <mergeCell ref="A34:E34"/>
    <mergeCell ref="A12:E12"/>
    <mergeCell ref="A4:E4"/>
    <mergeCell ref="A29:E29"/>
    <mergeCell ref="C27:E27"/>
    <mergeCell ref="A35:E35"/>
    <mergeCell ref="A2:E2"/>
    <mergeCell ref="C23:E23"/>
    <mergeCell ref="C22:E22"/>
    <mergeCell ref="A33:E33"/>
    <mergeCell ref="A1:E1"/>
    <mergeCell ref="C26:E26"/>
    <mergeCell ref="A32:E32"/>
    <mergeCell ref="A31:E31"/>
    <mergeCell ref="C25:E25"/>
    <mergeCell ref="C24:E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2026-07-10T21:26:00Z</dcterms:created>
  <dcterms:modified xmlns:dcterms="http://purl.org/dc/terms/" xmlns:xsi="http://www.w3.org/2001/XMLSchema-instance" xsi:type="dcterms:W3CDTF">2026-07-10T21:26:00Z</dcterms:modified>
</cp:coreProperties>
</file>